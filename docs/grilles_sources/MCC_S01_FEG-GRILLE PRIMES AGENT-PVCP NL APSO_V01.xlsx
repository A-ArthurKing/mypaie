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4235" activeTab="2"/>
  </bookViews>
  <sheets>
    <sheet name="Cartouche" sheetId="4" r:id="rId1"/>
    <sheet name="Variable" sheetId="2" r:id="rId2"/>
    <sheet name="OBJECTIFS" sheetId="3" r:id="rId3"/>
  </sheets>
  <definedNames>
    <definedName name="_xlnm._FilterDatabase" localSheetId="1" hidden="1">Variable!$A$8:$AM$13</definedName>
    <definedName name="Matrice">OBJECTIFS!$C$45:$J$49</definedName>
  </definedNames>
  <calcPr calcId="152511"/>
</workbook>
</file>

<file path=xl/calcChain.xml><?xml version="1.0" encoding="utf-8"?>
<calcChain xmlns="http://schemas.openxmlformats.org/spreadsheetml/2006/main">
  <c r="W79" i="2" l="1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H69" i="2" l="1"/>
  <c r="AI82" i="2"/>
  <c r="AI84" i="2"/>
  <c r="AI83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AF7" i="2" l="1"/>
  <c r="AE7" i="2"/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70" i="2"/>
  <c r="H71" i="2"/>
  <c r="H72" i="2"/>
  <c r="H73" i="2"/>
  <c r="H74" i="2"/>
  <c r="H75" i="2"/>
  <c r="H76" i="2"/>
  <c r="H77" i="2"/>
  <c r="H78" i="2"/>
  <c r="H79" i="2"/>
  <c r="H10" i="2"/>
  <c r="H9" i="2"/>
  <c r="Z9" i="2" l="1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08" i="3"/>
  <c r="AG63" i="2" l="1"/>
  <c r="AF63" i="2"/>
  <c r="AE63" i="2"/>
  <c r="AB63" i="2"/>
  <c r="AC63" i="2" s="1"/>
  <c r="Z63" i="2"/>
  <c r="U63" i="2"/>
  <c r="AG62" i="2"/>
  <c r="AF62" i="2"/>
  <c r="AE62" i="2"/>
  <c r="AB62" i="2"/>
  <c r="AC62" i="2" s="1"/>
  <c r="Z62" i="2"/>
  <c r="U62" i="2"/>
  <c r="AG61" i="2"/>
  <c r="AF61" i="2"/>
  <c r="AE61" i="2"/>
  <c r="AB61" i="2"/>
  <c r="AC61" i="2" s="1"/>
  <c r="Z61" i="2"/>
  <c r="U61" i="2"/>
  <c r="AG60" i="2"/>
  <c r="AF60" i="2"/>
  <c r="AE60" i="2"/>
  <c r="AB60" i="2"/>
  <c r="AC60" i="2" s="1"/>
  <c r="Z60" i="2"/>
  <c r="U60" i="2"/>
  <c r="AG59" i="2"/>
  <c r="AF59" i="2"/>
  <c r="AE59" i="2"/>
  <c r="AB59" i="2"/>
  <c r="AC59" i="2" s="1"/>
  <c r="Z59" i="2"/>
  <c r="U59" i="2"/>
  <c r="AG58" i="2"/>
  <c r="AF58" i="2"/>
  <c r="AE58" i="2"/>
  <c r="AB58" i="2"/>
  <c r="AC58" i="2" s="1"/>
  <c r="Z58" i="2"/>
  <c r="U58" i="2"/>
  <c r="AG57" i="2"/>
  <c r="AF57" i="2"/>
  <c r="AE57" i="2"/>
  <c r="AB57" i="2"/>
  <c r="AC57" i="2" s="1"/>
  <c r="Z57" i="2"/>
  <c r="U57" i="2"/>
  <c r="AG56" i="2"/>
  <c r="AF56" i="2"/>
  <c r="AE56" i="2"/>
  <c r="AB56" i="2"/>
  <c r="AC56" i="2" s="1"/>
  <c r="Z56" i="2"/>
  <c r="U56" i="2"/>
  <c r="AG55" i="2"/>
  <c r="AF55" i="2"/>
  <c r="AE55" i="2"/>
  <c r="AB55" i="2"/>
  <c r="AC55" i="2" s="1"/>
  <c r="Z55" i="2"/>
  <c r="U55" i="2"/>
  <c r="AG54" i="2"/>
  <c r="AF54" i="2"/>
  <c r="AE54" i="2"/>
  <c r="AB54" i="2"/>
  <c r="AC54" i="2" s="1"/>
  <c r="Z54" i="2"/>
  <c r="U54" i="2"/>
  <c r="AG53" i="2"/>
  <c r="AF53" i="2"/>
  <c r="AE53" i="2"/>
  <c r="AB53" i="2"/>
  <c r="AC53" i="2" s="1"/>
  <c r="Z53" i="2"/>
  <c r="U53" i="2"/>
  <c r="AG52" i="2"/>
  <c r="AF52" i="2"/>
  <c r="AE52" i="2"/>
  <c r="AB52" i="2"/>
  <c r="AC52" i="2" s="1"/>
  <c r="Z52" i="2"/>
  <c r="U52" i="2"/>
  <c r="AG51" i="2"/>
  <c r="AF51" i="2"/>
  <c r="AE51" i="2"/>
  <c r="AB51" i="2"/>
  <c r="AC51" i="2" s="1"/>
  <c r="Z51" i="2"/>
  <c r="U51" i="2"/>
  <c r="AG50" i="2"/>
  <c r="AF50" i="2"/>
  <c r="AE50" i="2"/>
  <c r="AB50" i="2"/>
  <c r="AC50" i="2" s="1"/>
  <c r="Z50" i="2"/>
  <c r="U50" i="2"/>
  <c r="AG49" i="2"/>
  <c r="AF49" i="2"/>
  <c r="AE49" i="2"/>
  <c r="AB49" i="2"/>
  <c r="AC49" i="2" s="1"/>
  <c r="Z49" i="2"/>
  <c r="U49" i="2"/>
  <c r="AG48" i="2"/>
  <c r="AF48" i="2"/>
  <c r="AE48" i="2"/>
  <c r="AB48" i="2"/>
  <c r="AC48" i="2" s="1"/>
  <c r="Z48" i="2"/>
  <c r="U48" i="2"/>
  <c r="AG47" i="2"/>
  <c r="AF47" i="2"/>
  <c r="AE47" i="2"/>
  <c r="AB47" i="2"/>
  <c r="AC47" i="2" s="1"/>
  <c r="Z47" i="2"/>
  <c r="U47" i="2"/>
  <c r="AG46" i="2"/>
  <c r="AF46" i="2"/>
  <c r="AE46" i="2"/>
  <c r="AB46" i="2"/>
  <c r="AC46" i="2" s="1"/>
  <c r="Z46" i="2"/>
  <c r="U46" i="2"/>
  <c r="AG45" i="2"/>
  <c r="AF45" i="2"/>
  <c r="AE45" i="2"/>
  <c r="AB45" i="2"/>
  <c r="AC45" i="2" s="1"/>
  <c r="Z45" i="2"/>
  <c r="U45" i="2"/>
  <c r="AG44" i="2"/>
  <c r="AF44" i="2"/>
  <c r="AE44" i="2"/>
  <c r="AB44" i="2"/>
  <c r="AC44" i="2" s="1"/>
  <c r="Z44" i="2"/>
  <c r="U44" i="2"/>
  <c r="AG43" i="2"/>
  <c r="AF43" i="2"/>
  <c r="AE43" i="2"/>
  <c r="AB43" i="2"/>
  <c r="AC43" i="2" s="1"/>
  <c r="Z43" i="2"/>
  <c r="U43" i="2"/>
  <c r="AG42" i="2"/>
  <c r="AF42" i="2"/>
  <c r="AE42" i="2"/>
  <c r="AB42" i="2"/>
  <c r="AC42" i="2" s="1"/>
  <c r="Z42" i="2"/>
  <c r="U42" i="2"/>
  <c r="AG41" i="2"/>
  <c r="AF41" i="2"/>
  <c r="AE41" i="2"/>
  <c r="AB41" i="2"/>
  <c r="AC41" i="2" s="1"/>
  <c r="Z41" i="2"/>
  <c r="U41" i="2"/>
  <c r="AG40" i="2"/>
  <c r="AF40" i="2"/>
  <c r="AE40" i="2"/>
  <c r="AB40" i="2"/>
  <c r="AC40" i="2" s="1"/>
  <c r="Z40" i="2"/>
  <c r="U40" i="2"/>
  <c r="AG39" i="2"/>
  <c r="AF39" i="2"/>
  <c r="AE39" i="2"/>
  <c r="AB39" i="2"/>
  <c r="AC39" i="2" s="1"/>
  <c r="Z39" i="2"/>
  <c r="U39" i="2"/>
  <c r="AG38" i="2"/>
  <c r="AF38" i="2"/>
  <c r="AE38" i="2"/>
  <c r="AB38" i="2"/>
  <c r="AC38" i="2" s="1"/>
  <c r="Z38" i="2"/>
  <c r="U38" i="2"/>
  <c r="AG37" i="2"/>
  <c r="AF37" i="2"/>
  <c r="AE37" i="2"/>
  <c r="AB37" i="2"/>
  <c r="AC37" i="2" s="1"/>
  <c r="Z37" i="2"/>
  <c r="U37" i="2"/>
  <c r="AG36" i="2"/>
  <c r="AF36" i="2"/>
  <c r="AE36" i="2"/>
  <c r="AB36" i="2"/>
  <c r="AC36" i="2" s="1"/>
  <c r="Z36" i="2"/>
  <c r="U36" i="2"/>
  <c r="AG35" i="2"/>
  <c r="AF35" i="2"/>
  <c r="AE35" i="2"/>
  <c r="AB35" i="2"/>
  <c r="AC35" i="2" s="1"/>
  <c r="Z35" i="2"/>
  <c r="U35" i="2"/>
  <c r="AG34" i="2"/>
  <c r="AF34" i="2"/>
  <c r="AE34" i="2"/>
  <c r="AB34" i="2"/>
  <c r="AC34" i="2" s="1"/>
  <c r="Z34" i="2"/>
  <c r="U34" i="2"/>
  <c r="AG33" i="2"/>
  <c r="AF33" i="2"/>
  <c r="AE33" i="2"/>
  <c r="AB33" i="2"/>
  <c r="AC33" i="2" s="1"/>
  <c r="Z33" i="2"/>
  <c r="U33" i="2"/>
  <c r="AG32" i="2"/>
  <c r="AF32" i="2"/>
  <c r="AE32" i="2"/>
  <c r="AB32" i="2"/>
  <c r="AC32" i="2" s="1"/>
  <c r="Z32" i="2"/>
  <c r="U32" i="2"/>
  <c r="AG31" i="2"/>
  <c r="AF31" i="2"/>
  <c r="AE31" i="2"/>
  <c r="AB31" i="2"/>
  <c r="AC31" i="2" s="1"/>
  <c r="Z31" i="2"/>
  <c r="U31" i="2"/>
  <c r="AG30" i="2"/>
  <c r="AF30" i="2"/>
  <c r="AE30" i="2"/>
  <c r="AB30" i="2"/>
  <c r="AC30" i="2" s="1"/>
  <c r="Z30" i="2"/>
  <c r="U30" i="2"/>
  <c r="AG29" i="2"/>
  <c r="AF29" i="2"/>
  <c r="AE29" i="2"/>
  <c r="AB29" i="2"/>
  <c r="AC29" i="2" s="1"/>
  <c r="Z29" i="2"/>
  <c r="U29" i="2"/>
  <c r="AG28" i="2"/>
  <c r="AF28" i="2"/>
  <c r="AE28" i="2"/>
  <c r="AB28" i="2"/>
  <c r="AC28" i="2" s="1"/>
  <c r="Z28" i="2"/>
  <c r="U28" i="2"/>
  <c r="AG27" i="2"/>
  <c r="AF27" i="2"/>
  <c r="AE27" i="2"/>
  <c r="AB27" i="2"/>
  <c r="AC27" i="2" s="1"/>
  <c r="Z27" i="2"/>
  <c r="U27" i="2"/>
  <c r="AG26" i="2"/>
  <c r="AF26" i="2"/>
  <c r="AE26" i="2"/>
  <c r="AB26" i="2"/>
  <c r="AC26" i="2" s="1"/>
  <c r="Z26" i="2"/>
  <c r="U26" i="2"/>
  <c r="AG25" i="2"/>
  <c r="AF25" i="2"/>
  <c r="AE25" i="2"/>
  <c r="AB25" i="2"/>
  <c r="AC25" i="2" s="1"/>
  <c r="Z25" i="2"/>
  <c r="U25" i="2"/>
  <c r="AG24" i="2"/>
  <c r="AF24" i="2"/>
  <c r="AE24" i="2"/>
  <c r="AB24" i="2"/>
  <c r="AC24" i="2" s="1"/>
  <c r="Z24" i="2"/>
  <c r="U24" i="2"/>
  <c r="AG23" i="2"/>
  <c r="AF23" i="2"/>
  <c r="AE23" i="2"/>
  <c r="AB23" i="2"/>
  <c r="AC23" i="2" s="1"/>
  <c r="Z23" i="2"/>
  <c r="U23" i="2"/>
  <c r="G139" i="3" l="1"/>
  <c r="B139" i="3"/>
  <c r="G73" i="3"/>
  <c r="B73" i="3"/>
  <c r="AG79" i="2" l="1"/>
  <c r="AF79" i="2"/>
  <c r="AE79" i="2"/>
  <c r="AB79" i="2"/>
  <c r="AC79" i="2" s="1"/>
  <c r="Z79" i="2"/>
  <c r="AG78" i="2"/>
  <c r="AF78" i="2"/>
  <c r="AE78" i="2"/>
  <c r="AB78" i="2"/>
  <c r="AC78" i="2" s="1"/>
  <c r="Z78" i="2"/>
  <c r="AG77" i="2"/>
  <c r="AF77" i="2"/>
  <c r="AE77" i="2"/>
  <c r="AB77" i="2"/>
  <c r="AC77" i="2" s="1"/>
  <c r="Z77" i="2"/>
  <c r="AG76" i="2"/>
  <c r="AF76" i="2"/>
  <c r="AE76" i="2"/>
  <c r="AB76" i="2"/>
  <c r="AC76" i="2" s="1"/>
  <c r="Z76" i="2"/>
  <c r="AG75" i="2"/>
  <c r="AF75" i="2"/>
  <c r="AE75" i="2"/>
  <c r="AB75" i="2"/>
  <c r="AC75" i="2" s="1"/>
  <c r="Z75" i="2"/>
  <c r="AG74" i="2"/>
  <c r="AF74" i="2"/>
  <c r="AE74" i="2"/>
  <c r="AB74" i="2"/>
  <c r="AC74" i="2" s="1"/>
  <c r="Z74" i="2"/>
  <c r="AG73" i="2"/>
  <c r="AF73" i="2"/>
  <c r="AE73" i="2"/>
  <c r="AB73" i="2"/>
  <c r="AC73" i="2" s="1"/>
  <c r="Z73" i="2"/>
  <c r="AG72" i="2"/>
  <c r="AF72" i="2"/>
  <c r="AE72" i="2"/>
  <c r="AB72" i="2"/>
  <c r="AC72" i="2" s="1"/>
  <c r="Z72" i="2"/>
  <c r="AG71" i="2"/>
  <c r="AF71" i="2"/>
  <c r="AE71" i="2"/>
  <c r="AB71" i="2"/>
  <c r="AC71" i="2" s="1"/>
  <c r="Z71" i="2"/>
  <c r="AG70" i="2"/>
  <c r="AF70" i="2"/>
  <c r="AE70" i="2"/>
  <c r="AB70" i="2"/>
  <c r="AC70" i="2" s="1"/>
  <c r="Z70" i="2"/>
  <c r="AG69" i="2"/>
  <c r="AF69" i="2"/>
  <c r="AE69" i="2"/>
  <c r="AB69" i="2"/>
  <c r="AC69" i="2" s="1"/>
  <c r="Z69" i="2"/>
  <c r="AG68" i="2"/>
  <c r="AF68" i="2"/>
  <c r="AE68" i="2"/>
  <c r="AB68" i="2"/>
  <c r="AC68" i="2" s="1"/>
  <c r="Z68" i="2"/>
  <c r="AG67" i="2"/>
  <c r="AF67" i="2"/>
  <c r="AE67" i="2"/>
  <c r="AB67" i="2"/>
  <c r="AC67" i="2" s="1"/>
  <c r="Z67" i="2"/>
  <c r="AG66" i="2"/>
  <c r="AF66" i="2"/>
  <c r="AE66" i="2"/>
  <c r="AB66" i="2"/>
  <c r="AC66" i="2" s="1"/>
  <c r="Z66" i="2"/>
  <c r="AG65" i="2"/>
  <c r="AF65" i="2"/>
  <c r="AE65" i="2"/>
  <c r="AB65" i="2"/>
  <c r="AC65" i="2" s="1"/>
  <c r="Z65" i="2"/>
  <c r="AG64" i="2"/>
  <c r="AF64" i="2"/>
  <c r="AE64" i="2"/>
  <c r="AB64" i="2"/>
  <c r="AC64" i="2" s="1"/>
  <c r="Z64" i="2"/>
  <c r="AG22" i="2"/>
  <c r="AF22" i="2"/>
  <c r="AE22" i="2"/>
  <c r="AB22" i="2"/>
  <c r="AC22" i="2" s="1"/>
  <c r="Z22" i="2"/>
  <c r="AG21" i="2"/>
  <c r="AF21" i="2"/>
  <c r="AE21" i="2"/>
  <c r="AB21" i="2"/>
  <c r="AC21" i="2" s="1"/>
  <c r="Z21" i="2"/>
  <c r="AG20" i="2"/>
  <c r="AF20" i="2"/>
  <c r="AE20" i="2"/>
  <c r="AB20" i="2"/>
  <c r="AC20" i="2" s="1"/>
  <c r="Z20" i="2"/>
  <c r="AG19" i="2"/>
  <c r="AF19" i="2"/>
  <c r="AE19" i="2"/>
  <c r="AB19" i="2"/>
  <c r="AC19" i="2" s="1"/>
  <c r="Z19" i="2"/>
  <c r="AG18" i="2"/>
  <c r="AF18" i="2"/>
  <c r="AE18" i="2"/>
  <c r="AB18" i="2"/>
  <c r="AC18" i="2" s="1"/>
  <c r="Z18" i="2"/>
  <c r="AG17" i="2"/>
  <c r="AF17" i="2"/>
  <c r="AE17" i="2"/>
  <c r="AB17" i="2"/>
  <c r="AC17" i="2" s="1"/>
  <c r="Z17" i="2"/>
  <c r="AG16" i="2"/>
  <c r="AF16" i="2"/>
  <c r="AE16" i="2"/>
  <c r="AB16" i="2"/>
  <c r="AC16" i="2" s="1"/>
  <c r="Z16" i="2"/>
  <c r="AG15" i="2"/>
  <c r="AF15" i="2"/>
  <c r="AE15" i="2"/>
  <c r="AB15" i="2"/>
  <c r="AC15" i="2" s="1"/>
  <c r="Z15" i="2"/>
  <c r="AG14" i="2"/>
  <c r="AF14" i="2"/>
  <c r="AE14" i="2"/>
  <c r="AB14" i="2"/>
  <c r="AC14" i="2" s="1"/>
  <c r="Z14" i="2"/>
  <c r="AG13" i="2"/>
  <c r="AF13" i="2"/>
  <c r="AE13" i="2"/>
  <c r="AB13" i="2"/>
  <c r="AC13" i="2" s="1"/>
  <c r="Z13" i="2"/>
  <c r="AG12" i="2"/>
  <c r="AF12" i="2"/>
  <c r="AE12" i="2"/>
  <c r="AB12" i="2"/>
  <c r="AC12" i="2" s="1"/>
  <c r="Z12" i="2"/>
  <c r="AG11" i="2"/>
  <c r="AF11" i="2"/>
  <c r="AE11" i="2"/>
  <c r="AB11" i="2"/>
  <c r="AC11" i="2" s="1"/>
  <c r="Z11" i="2"/>
  <c r="AG10" i="2"/>
  <c r="AF10" i="2"/>
  <c r="AE10" i="2"/>
  <c r="AB10" i="2"/>
  <c r="AC10" i="2" s="1"/>
  <c r="Z10" i="2"/>
  <c r="AF9" i="2"/>
  <c r="AE9" i="2"/>
  <c r="AB9" i="2"/>
  <c r="AC9" i="2" l="1"/>
  <c r="AF80" i="2"/>
  <c r="Z80" i="2"/>
  <c r="AB80" i="2"/>
  <c r="AE80" i="2"/>
  <c r="AG9" i="2" l="1"/>
  <c r="AG80" i="2" l="1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W9" i="2" s="1"/>
  <c r="X9" i="2" l="1"/>
  <c r="AI9" i="2" s="1"/>
  <c r="V10" i="2" l="1"/>
  <c r="AI86" i="2"/>
  <c r="B34" i="3"/>
  <c r="G36" i="3" s="1"/>
  <c r="C32" i="3"/>
  <c r="C31" i="3"/>
  <c r="C30" i="3"/>
  <c r="D27" i="3"/>
  <c r="C27" i="3"/>
  <c r="B27" i="3"/>
  <c r="I29" i="3" s="1"/>
  <c r="C25" i="3"/>
  <c r="C24" i="3"/>
  <c r="C23" i="3"/>
  <c r="D20" i="3"/>
  <c r="C20" i="3"/>
  <c r="B20" i="3"/>
  <c r="A24" i="3" s="1"/>
  <c r="C18" i="3"/>
  <c r="C39" i="3" s="1"/>
  <c r="C17" i="3"/>
  <c r="C38" i="3" s="1"/>
  <c r="C16" i="3"/>
  <c r="C37" i="3" s="1"/>
  <c r="D13" i="3"/>
  <c r="D34" i="3" s="1"/>
  <c r="C13" i="3"/>
  <c r="C34" i="3" s="1"/>
  <c r="B13" i="3"/>
  <c r="A15" i="3" s="1"/>
  <c r="B6" i="3"/>
  <c r="A10" i="3" l="1"/>
  <c r="H8" i="3"/>
  <c r="H5" i="3" s="1"/>
  <c r="K7" i="2" s="1"/>
  <c r="E8" i="3"/>
  <c r="E5" i="3" s="1"/>
  <c r="J7" i="2" s="1"/>
  <c r="V11" i="2"/>
  <c r="G15" i="3"/>
  <c r="A11" i="3"/>
  <c r="H22" i="3"/>
  <c r="A25" i="3"/>
  <c r="J22" i="3"/>
  <c r="A39" i="3"/>
  <c r="A30" i="3"/>
  <c r="H29" i="3"/>
  <c r="A32" i="3"/>
  <c r="F36" i="3"/>
  <c r="A35" i="3"/>
  <c r="J36" i="3"/>
  <c r="A28" i="3"/>
  <c r="A37" i="3"/>
  <c r="F22" i="3"/>
  <c r="A21" i="3"/>
  <c r="A7" i="3"/>
  <c r="I15" i="3"/>
  <c r="E15" i="3"/>
  <c r="A16" i="3"/>
  <c r="I8" i="3"/>
  <c r="I5" i="3" s="1"/>
  <c r="H15" i="3"/>
  <c r="E22" i="3"/>
  <c r="I22" i="3"/>
  <c r="J29" i="3"/>
  <c r="A8" i="3"/>
  <c r="A13" i="3"/>
  <c r="A17" i="3"/>
  <c r="A22" i="3"/>
  <c r="A27" i="3"/>
  <c r="A31" i="3"/>
  <c r="A36" i="3"/>
  <c r="F8" i="3"/>
  <c r="F5" i="3" s="1"/>
  <c r="J8" i="3"/>
  <c r="J5" i="3" s="1"/>
  <c r="A9" i="3"/>
  <c r="A14" i="3"/>
  <c r="A18" i="3"/>
  <c r="A23" i="3"/>
  <c r="G8" i="3"/>
  <c r="G5" i="3" s="1"/>
  <c r="F15" i="3"/>
  <c r="J15" i="3"/>
  <c r="G22" i="3"/>
  <c r="F29" i="3"/>
  <c r="H36" i="3"/>
  <c r="A6" i="3"/>
  <c r="A20" i="3"/>
  <c r="A29" i="3"/>
  <c r="A34" i="3"/>
  <c r="A38" i="3"/>
  <c r="G29" i="3"/>
  <c r="E36" i="3"/>
  <c r="I36" i="3"/>
  <c r="E29" i="3"/>
  <c r="V12" i="2" l="1"/>
  <c r="V13" i="2" l="1"/>
  <c r="V14" i="2" l="1"/>
  <c r="V15" i="2"/>
  <c r="V16" i="2" l="1"/>
  <c r="AK14" i="2"/>
  <c r="AK16" i="2"/>
  <c r="AK13" i="2"/>
  <c r="AK15" i="2"/>
  <c r="X10" i="2"/>
  <c r="AI10" i="2" s="1"/>
  <c r="AK10" i="2"/>
  <c r="AK9" i="2"/>
  <c r="X13" i="2"/>
  <c r="AI13" i="2" s="1"/>
  <c r="X14" i="2"/>
  <c r="AI14" i="2" s="1"/>
  <c r="X15" i="2"/>
  <c r="AI15" i="2" s="1"/>
  <c r="V17" i="2"/>
  <c r="X16" i="2"/>
  <c r="AI16" i="2" s="1"/>
  <c r="V18" i="2" l="1"/>
  <c r="AK17" i="2"/>
  <c r="V19" i="2" l="1"/>
  <c r="X17" i="2"/>
  <c r="AI17" i="2" s="1"/>
  <c r="AK18" i="2"/>
  <c r="AK12" i="2"/>
  <c r="X11" i="2"/>
  <c r="AI11" i="2" s="1"/>
  <c r="AK11" i="2"/>
  <c r="X12" i="2"/>
  <c r="AI12" i="2" s="1"/>
  <c r="V20" i="2" l="1"/>
  <c r="X18" i="2"/>
  <c r="AI18" i="2" s="1"/>
  <c r="AK19" i="2"/>
  <c r="V21" i="2" l="1"/>
  <c r="X19" i="2"/>
  <c r="AI19" i="2" s="1"/>
  <c r="AK20" i="2"/>
  <c r="V22" i="2" l="1"/>
  <c r="X20" i="2"/>
  <c r="AI20" i="2" s="1"/>
  <c r="AK21" i="2"/>
  <c r="V23" i="2" l="1"/>
  <c r="X21" i="2"/>
  <c r="AI21" i="2" s="1"/>
  <c r="AK22" i="2"/>
  <c r="V24" i="2" l="1"/>
  <c r="AK23" i="2"/>
  <c r="X22" i="2"/>
  <c r="AI22" i="2" s="1"/>
  <c r="V25" i="2" l="1"/>
  <c r="AK24" i="2"/>
  <c r="X23" i="2"/>
  <c r="AI23" i="2" s="1"/>
  <c r="V26" i="2" l="1"/>
  <c r="AK25" i="2"/>
  <c r="X24" i="2"/>
  <c r="AI24" i="2" s="1"/>
  <c r="V27" i="2" l="1"/>
  <c r="AK26" i="2"/>
  <c r="X25" i="2"/>
  <c r="AI25" i="2" s="1"/>
  <c r="V28" i="2" l="1"/>
  <c r="AK27" i="2"/>
  <c r="X26" i="2"/>
  <c r="AI26" i="2" s="1"/>
  <c r="V29" i="2" l="1"/>
  <c r="AK28" i="2"/>
  <c r="X27" i="2"/>
  <c r="AI27" i="2" s="1"/>
  <c r="V30" i="2" l="1"/>
  <c r="AK29" i="2"/>
  <c r="X28" i="2"/>
  <c r="AI28" i="2" s="1"/>
  <c r="V31" i="2" l="1"/>
  <c r="AK30" i="2"/>
  <c r="X29" i="2"/>
  <c r="AI29" i="2" s="1"/>
  <c r="X30" i="2" l="1"/>
  <c r="AI30" i="2" s="1"/>
  <c r="AK31" i="2"/>
  <c r="V32" i="2"/>
  <c r="X31" i="2" l="1"/>
  <c r="AI31" i="2" s="1"/>
  <c r="AK32" i="2"/>
  <c r="V33" i="2"/>
  <c r="AK33" i="2" l="1"/>
  <c r="V34" i="2"/>
  <c r="X32" i="2"/>
  <c r="AI32" i="2" s="1"/>
  <c r="V35" i="2" l="1"/>
  <c r="AK34" i="2"/>
  <c r="X33" i="2"/>
  <c r="AI33" i="2" s="1"/>
  <c r="AK35" i="2" l="1"/>
  <c r="V36" i="2"/>
  <c r="X34" i="2"/>
  <c r="AI34" i="2" s="1"/>
  <c r="AK36" i="2" l="1"/>
  <c r="V37" i="2"/>
  <c r="X35" i="2"/>
  <c r="AI35" i="2" s="1"/>
  <c r="AK37" i="2" l="1"/>
  <c r="V38" i="2"/>
  <c r="X36" i="2"/>
  <c r="AI36" i="2" s="1"/>
  <c r="V39" i="2" l="1"/>
  <c r="AK38" i="2"/>
  <c r="X37" i="2"/>
  <c r="AI37" i="2" s="1"/>
  <c r="X38" i="2" l="1"/>
  <c r="AI38" i="2" s="1"/>
  <c r="AK39" i="2"/>
  <c r="V40" i="2"/>
  <c r="AK40" i="2" l="1"/>
  <c r="V41" i="2"/>
  <c r="X39" i="2"/>
  <c r="AI39" i="2" s="1"/>
  <c r="AK41" i="2" l="1"/>
  <c r="V42" i="2"/>
  <c r="X40" i="2"/>
  <c r="AI40" i="2" s="1"/>
  <c r="V43" i="2" l="1"/>
  <c r="AK42" i="2"/>
  <c r="X41" i="2"/>
  <c r="AI41" i="2" s="1"/>
  <c r="AK43" i="2" l="1"/>
  <c r="V44" i="2"/>
  <c r="X42" i="2"/>
  <c r="AI42" i="2" s="1"/>
  <c r="AK44" i="2" l="1"/>
  <c r="V45" i="2"/>
  <c r="X43" i="2"/>
  <c r="AI43" i="2" s="1"/>
  <c r="V46" i="2" l="1"/>
  <c r="AK45" i="2"/>
  <c r="X44" i="2"/>
  <c r="AI44" i="2" s="1"/>
  <c r="AK46" i="2" l="1"/>
  <c r="V47" i="2"/>
  <c r="X45" i="2"/>
  <c r="AI45" i="2" s="1"/>
  <c r="X46" i="2" l="1"/>
  <c r="AI46" i="2" s="1"/>
  <c r="V48" i="2"/>
  <c r="AK47" i="2"/>
  <c r="AK48" i="2" l="1"/>
  <c r="V49" i="2"/>
  <c r="X47" i="2"/>
  <c r="AI47" i="2" s="1"/>
  <c r="AK49" i="2" l="1"/>
  <c r="V50" i="2"/>
  <c r="X48" i="2"/>
  <c r="AI48" i="2" s="1"/>
  <c r="V51" i="2" l="1"/>
  <c r="AK50" i="2"/>
  <c r="X49" i="2"/>
  <c r="AI49" i="2" s="1"/>
  <c r="AK51" i="2" l="1"/>
  <c r="V52" i="2"/>
  <c r="X50" i="2"/>
  <c r="AI50" i="2" s="1"/>
  <c r="AK52" i="2" l="1"/>
  <c r="V53" i="2"/>
  <c r="X51" i="2"/>
  <c r="AI51" i="2" s="1"/>
  <c r="AK53" i="2" l="1"/>
  <c r="V54" i="2"/>
  <c r="X52" i="2"/>
  <c r="AI52" i="2" s="1"/>
  <c r="AK54" i="2" l="1"/>
  <c r="V55" i="2"/>
  <c r="X53" i="2"/>
  <c r="AI53" i="2" s="1"/>
  <c r="AK55" i="2" l="1"/>
  <c r="V56" i="2"/>
  <c r="X54" i="2"/>
  <c r="AI54" i="2" s="1"/>
  <c r="AK56" i="2" l="1"/>
  <c r="V57" i="2"/>
  <c r="X55" i="2"/>
  <c r="AI55" i="2" s="1"/>
  <c r="V58" i="2" l="1"/>
  <c r="AK57" i="2"/>
  <c r="X56" i="2"/>
  <c r="AI56" i="2" s="1"/>
  <c r="AK58" i="2" l="1"/>
  <c r="V59" i="2"/>
  <c r="X57" i="2"/>
  <c r="AI57" i="2" s="1"/>
  <c r="X58" i="2" l="1"/>
  <c r="AI58" i="2" s="1"/>
  <c r="V60" i="2"/>
  <c r="AK59" i="2"/>
  <c r="V61" i="2" l="1"/>
  <c r="AK60" i="2"/>
  <c r="X59" i="2"/>
  <c r="AI59" i="2" s="1"/>
  <c r="AK61" i="2" l="1"/>
  <c r="V62" i="2"/>
  <c r="X60" i="2"/>
  <c r="AI60" i="2" s="1"/>
  <c r="V63" i="2" l="1"/>
  <c r="AK62" i="2"/>
  <c r="X61" i="2"/>
  <c r="AI61" i="2" s="1"/>
  <c r="V64" i="2" l="1"/>
  <c r="AK63" i="2"/>
  <c r="X62" i="2"/>
  <c r="AI62" i="2" s="1"/>
  <c r="AK64" i="2" l="1"/>
  <c r="V65" i="2"/>
  <c r="X63" i="2"/>
  <c r="AI63" i="2" s="1"/>
  <c r="AK65" i="2" l="1"/>
  <c r="V66" i="2"/>
  <c r="X64" i="2"/>
  <c r="AI64" i="2" s="1"/>
  <c r="V67" i="2" l="1"/>
  <c r="AK66" i="2"/>
  <c r="X65" i="2"/>
  <c r="AI65" i="2" s="1"/>
  <c r="AK67" i="2" l="1"/>
  <c r="V68" i="2"/>
  <c r="X66" i="2"/>
  <c r="AI66" i="2" s="1"/>
  <c r="V69" i="2" l="1"/>
  <c r="AK68" i="2"/>
  <c r="X67" i="2"/>
  <c r="AI67" i="2" s="1"/>
  <c r="AK69" i="2" l="1"/>
  <c r="V70" i="2"/>
  <c r="X68" i="2"/>
  <c r="AI68" i="2" s="1"/>
  <c r="AK70" i="2" l="1"/>
  <c r="V71" i="2"/>
  <c r="X69" i="2"/>
  <c r="AI69" i="2" s="1"/>
  <c r="V72" i="2" l="1"/>
  <c r="AK71" i="2"/>
  <c r="X70" i="2"/>
  <c r="AI70" i="2" s="1"/>
  <c r="AK72" i="2" l="1"/>
  <c r="V73" i="2"/>
  <c r="X71" i="2"/>
  <c r="AI71" i="2" s="1"/>
  <c r="V74" i="2" l="1"/>
  <c r="AK73" i="2"/>
  <c r="X72" i="2"/>
  <c r="AI72" i="2" s="1"/>
  <c r="AK74" i="2" l="1"/>
  <c r="V75" i="2"/>
  <c r="X73" i="2"/>
  <c r="AI73" i="2" s="1"/>
  <c r="AK75" i="2" l="1"/>
  <c r="V76" i="2"/>
  <c r="X74" i="2"/>
  <c r="AI74" i="2" s="1"/>
  <c r="AM23" i="2"/>
  <c r="AL23" i="2" s="1"/>
  <c r="AM24" i="2"/>
  <c r="AL24" i="2" s="1"/>
  <c r="AM25" i="2"/>
  <c r="AL25" i="2" s="1"/>
  <c r="AM26" i="2"/>
  <c r="AL26" i="2" s="1"/>
  <c r="AM27" i="2"/>
  <c r="AL27" i="2" s="1"/>
  <c r="AM28" i="2"/>
  <c r="AL28" i="2" s="1"/>
  <c r="AM29" i="2"/>
  <c r="AL29" i="2" s="1"/>
  <c r="AM30" i="2"/>
  <c r="AL30" i="2" s="1"/>
  <c r="AM31" i="2"/>
  <c r="AL31" i="2" s="1"/>
  <c r="AM32" i="2"/>
  <c r="AL32" i="2" s="1"/>
  <c r="AM33" i="2"/>
  <c r="AL33" i="2" s="1"/>
  <c r="AM34" i="2"/>
  <c r="AL34" i="2" s="1"/>
  <c r="AM35" i="2"/>
  <c r="AL35" i="2" s="1"/>
  <c r="AM36" i="2"/>
  <c r="AL36" i="2" s="1"/>
  <c r="AM37" i="2"/>
  <c r="AL37" i="2" s="1"/>
  <c r="AM38" i="2"/>
  <c r="AL38" i="2" s="1"/>
  <c r="AM39" i="2"/>
  <c r="AL39" i="2" s="1"/>
  <c r="AM40" i="2"/>
  <c r="AL40" i="2" s="1"/>
  <c r="AM41" i="2"/>
  <c r="AL41" i="2" s="1"/>
  <c r="AM19" i="2"/>
  <c r="AL19" i="2" s="1"/>
  <c r="AM42" i="2"/>
  <c r="AL42" i="2" s="1"/>
  <c r="AM22" i="2"/>
  <c r="AL22" i="2" s="1"/>
  <c r="AM21" i="2"/>
  <c r="AL21" i="2" s="1"/>
  <c r="AM15" i="2"/>
  <c r="AL15" i="2" s="1"/>
  <c r="AM20" i="2"/>
  <c r="AL20" i="2" s="1"/>
  <c r="AM14" i="2"/>
  <c r="AL14" i="2" s="1"/>
  <c r="AM43" i="2"/>
  <c r="AL43" i="2" s="1"/>
  <c r="AM17" i="2"/>
  <c r="AL17" i="2" s="1"/>
  <c r="AM18" i="2"/>
  <c r="AL18" i="2" s="1"/>
  <c r="AM13" i="2"/>
  <c r="AL13" i="2" s="1"/>
  <c r="AM12" i="2"/>
  <c r="AL12" i="2" s="1"/>
  <c r="AM11" i="2"/>
  <c r="AL11" i="2" s="1"/>
  <c r="AM16" i="2"/>
  <c r="AL16" i="2" s="1"/>
  <c r="AM45" i="2"/>
  <c r="AL45" i="2" s="1"/>
  <c r="AM44" i="2"/>
  <c r="AL44" i="2" s="1"/>
  <c r="AM46" i="2"/>
  <c r="AL46" i="2" s="1"/>
  <c r="AM47" i="2"/>
  <c r="AL47" i="2" s="1"/>
  <c r="AM48" i="2"/>
  <c r="AL48" i="2" s="1"/>
  <c r="AM49" i="2"/>
  <c r="AL49" i="2" s="1"/>
  <c r="AM50" i="2"/>
  <c r="AL50" i="2" s="1"/>
  <c r="AM51" i="2"/>
  <c r="AL51" i="2" s="1"/>
  <c r="AM52" i="2"/>
  <c r="AL52" i="2" s="1"/>
  <c r="AM53" i="2"/>
  <c r="AL53" i="2" s="1"/>
  <c r="AM54" i="2"/>
  <c r="AL54" i="2" s="1"/>
  <c r="AM55" i="2"/>
  <c r="AL55" i="2" s="1"/>
  <c r="AM57" i="2"/>
  <c r="AL57" i="2" s="1"/>
  <c r="AM58" i="2"/>
  <c r="AL58" i="2" s="1"/>
  <c r="AM56" i="2"/>
  <c r="AL56" i="2" s="1"/>
  <c r="AM60" i="2"/>
  <c r="AL60" i="2" s="1"/>
  <c r="AM59" i="2"/>
  <c r="AL59" i="2" s="1"/>
  <c r="AM61" i="2"/>
  <c r="AL61" i="2" s="1"/>
  <c r="AM62" i="2"/>
  <c r="AL62" i="2" s="1"/>
  <c r="AM63" i="2"/>
  <c r="AL63" i="2" s="1"/>
  <c r="AM65" i="2"/>
  <c r="AL65" i="2" s="1"/>
  <c r="AM64" i="2"/>
  <c r="AL64" i="2" s="1"/>
  <c r="AM66" i="2"/>
  <c r="AL66" i="2" s="1"/>
  <c r="AM67" i="2"/>
  <c r="AL67" i="2" s="1"/>
  <c r="AM69" i="2"/>
  <c r="AL69" i="2" s="1"/>
  <c r="AM68" i="2"/>
  <c r="AL68" i="2" s="1"/>
  <c r="AM71" i="2"/>
  <c r="AL71" i="2" s="1"/>
  <c r="AM70" i="2"/>
  <c r="AL70" i="2" s="1"/>
  <c r="AM72" i="2"/>
  <c r="AL72" i="2" s="1"/>
  <c r="AM74" i="2"/>
  <c r="AL74" i="2" s="1"/>
  <c r="AM73" i="2"/>
  <c r="AL73" i="2" s="1"/>
  <c r="AM75" i="2"/>
  <c r="AL75" i="2" s="1"/>
  <c r="V77" i="2" l="1"/>
  <c r="AK76" i="2"/>
  <c r="AM76" i="2" s="1"/>
  <c r="AL76" i="2" s="1"/>
  <c r="X75" i="2"/>
  <c r="AI75" i="2" s="1"/>
  <c r="AM9" i="2"/>
  <c r="AL9" i="2" s="1"/>
  <c r="AK77" i="2" l="1"/>
  <c r="AM77" i="2" s="1"/>
  <c r="AL77" i="2" s="1"/>
  <c r="V78" i="2"/>
  <c r="X76" i="2"/>
  <c r="AI76" i="2" s="1"/>
  <c r="V79" i="2" l="1"/>
  <c r="AK78" i="2"/>
  <c r="AM78" i="2" s="1"/>
  <c r="AL78" i="2" s="1"/>
  <c r="X77" i="2"/>
  <c r="AI77" i="2" s="1"/>
  <c r="AK79" i="2" l="1"/>
  <c r="X78" i="2"/>
  <c r="AI78" i="2" s="1"/>
  <c r="X79" i="2" l="1"/>
  <c r="AI79" i="2" s="1"/>
  <c r="AI85" i="2" s="1"/>
  <c r="AM10" i="2"/>
  <c r="AL10" i="2" s="1"/>
  <c r="AM79" i="2"/>
  <c r="AL79" i="2" s="1"/>
  <c r="AI81" i="2" l="1"/>
</calcChain>
</file>

<file path=xl/sharedStrings.xml><?xml version="1.0" encoding="utf-8"?>
<sst xmlns="http://schemas.openxmlformats.org/spreadsheetml/2006/main" count="202" uniqueCount="136">
  <si>
    <t>DOCUMENT</t>
  </si>
  <si>
    <t>Référence</t>
  </si>
  <si>
    <t>Intitulé</t>
  </si>
  <si>
    <t>Qui le remplit</t>
  </si>
  <si>
    <t>Quand le remplir</t>
  </si>
  <si>
    <t>A qui l'envoyer</t>
  </si>
  <si>
    <t>Diffusion</t>
  </si>
  <si>
    <t>TITRES</t>
  </si>
  <si>
    <t>DESIGNATION</t>
  </si>
  <si>
    <t>FORMAT</t>
  </si>
  <si>
    <t>DATE</t>
  </si>
  <si>
    <t>VERSION</t>
  </si>
  <si>
    <t>NATURE MODIFICATION</t>
  </si>
  <si>
    <t>REDACTEUR</t>
  </si>
  <si>
    <t>VERIFICATEUR</t>
  </si>
  <si>
    <t>APPROBATEUR</t>
  </si>
  <si>
    <t>TABLEAU DE REVISION</t>
  </si>
  <si>
    <t>CARTOUCHE</t>
  </si>
  <si>
    <t>Auteur EG:</t>
  </si>
  <si>
    <t>Date émission EG:</t>
  </si>
  <si>
    <t>Noms prénoms</t>
  </si>
  <si>
    <t>Matricule</t>
  </si>
  <si>
    <t>Manager</t>
  </si>
  <si>
    <t>Opération</t>
  </si>
  <si>
    <t>Sanction disciplinaire</t>
  </si>
  <si>
    <t>Statut</t>
  </si>
  <si>
    <t>Montant Cible</t>
  </si>
  <si>
    <t>Confirmé</t>
  </si>
  <si>
    <t>Règles d'assiduité</t>
  </si>
  <si>
    <t>En cas d'execo on choisit par ordre</t>
  </si>
  <si>
    <t>1 réclamation client sur le mois</t>
  </si>
  <si>
    <t>1 Absence injustifiée ou 4 Retards</t>
  </si>
  <si>
    <t>Moitié de la prime est perdue</t>
  </si>
  <si>
    <t>Le statut le plus Haut</t>
  </si>
  <si>
    <t>2 Absences injustifiée ou 8 Retards ou sanction</t>
  </si>
  <si>
    <t>Totalité de la prime est perdue</t>
  </si>
  <si>
    <t>La progression en nombre de points /mois précédent</t>
  </si>
  <si>
    <t>Le nombre moyen de points du dernier trimestre</t>
  </si>
  <si>
    <t>Productivité</t>
  </si>
  <si>
    <t>Qualité</t>
  </si>
  <si>
    <t>Satisfaction client</t>
  </si>
  <si>
    <t>Nb de points avant l'assiduité</t>
  </si>
  <si>
    <t>Assiduité, Comportement &amp; Prorata</t>
  </si>
  <si>
    <t>Malus (en %)</t>
  </si>
  <si>
    <t>Montant de la prime hors Super Bonus</t>
  </si>
  <si>
    <t>Montant Final de la prime</t>
  </si>
  <si>
    <t>Nombre de points Final</t>
  </si>
  <si>
    <t>L'agent du mois de l'activité</t>
  </si>
  <si>
    <t>Nb de points</t>
  </si>
  <si>
    <t>Réclamation client sur Agent</t>
  </si>
  <si>
    <t>Abs injust.</t>
  </si>
  <si>
    <t>Retards</t>
  </si>
  <si>
    <t>Abs just.</t>
  </si>
  <si>
    <t>Congé payé + CSS (en j)</t>
  </si>
  <si>
    <t>Nb de jours non travaillés</t>
  </si>
  <si>
    <t xml:space="preserve">Nb de jours ouvrés du mois </t>
  </si>
  <si>
    <t>Prime (Montant Brut)</t>
  </si>
  <si>
    <t>Objectifs / Indicateurs / Statuts</t>
  </si>
  <si>
    <t>Sat Client</t>
  </si>
  <si>
    <t>Débutant</t>
  </si>
  <si>
    <t>Sénior</t>
  </si>
  <si>
    <t>Matrice des indicateurs par typologie d'activité</t>
  </si>
  <si>
    <t>Paliers VS % Points</t>
  </si>
  <si>
    <t>Min</t>
  </si>
  <si>
    <t>Objectif</t>
  </si>
  <si>
    <t>Max</t>
  </si>
  <si>
    <t>Palier 1</t>
  </si>
  <si>
    <t>Palier 2</t>
  </si>
  <si>
    <t>Palier 3</t>
  </si>
  <si>
    <t>Prime moyenne</t>
  </si>
  <si>
    <t>Projet</t>
  </si>
  <si>
    <t>Montant total de la prime</t>
  </si>
  <si>
    <t>MALUS</t>
  </si>
  <si>
    <t>Matrice des primes bonus sur l'activité</t>
  </si>
  <si>
    <t>PRIME 1</t>
  </si>
  <si>
    <t>PRIME 2</t>
  </si>
  <si>
    <t>PRIME 3</t>
  </si>
  <si>
    <t>PRIME 4</t>
  </si>
  <si>
    <t>DENOMINATION PRIME</t>
  </si>
  <si>
    <t>PRIME</t>
  </si>
  <si>
    <t>Heures produites</t>
  </si>
  <si>
    <t>MISSION</t>
  </si>
  <si>
    <t>PRIME DE LANGUE</t>
  </si>
  <si>
    <t>Chef de projet</t>
  </si>
  <si>
    <t>avant le 10 de chaque mois</t>
  </si>
  <si>
    <t>Prod et service paie</t>
  </si>
  <si>
    <t>Directeur Général, Directeur des Opérations, DRH, Responsable Service Administratif RH</t>
  </si>
  <si>
    <t>Eléments déclencheurs</t>
  </si>
  <si>
    <t>Nom du manager responsable de l'équipe</t>
  </si>
  <si>
    <t>Nom de l'opération ( Liste de choix)</t>
  </si>
  <si>
    <t>Le montant total possible de la prime</t>
  </si>
  <si>
    <t>Engloble 3 indicateurs quantitatifs de l'activité</t>
  </si>
  <si>
    <t>Englobe 2 indicateurs qualitatifs de l'activité</t>
  </si>
  <si>
    <t>Le nombre de réclamations sur agent : Elément déclencheur de la prime)</t>
  </si>
  <si>
    <t>Absences, retards, congés … etc. (Plus les mesures disciplinaires)</t>
  </si>
  <si>
    <t>Taux de malus appliqué à la totalité de la prime</t>
  </si>
  <si>
    <t>Montant en dirham (Nb de points x prorata Assiduité x Montant de la prime par statut)</t>
  </si>
  <si>
    <t>Le complément de prime du Barème MCC</t>
  </si>
  <si>
    <t>Le montant total de la prime qui sera perçu par le CC</t>
  </si>
  <si>
    <t>Règles de déclenchement de la prime</t>
  </si>
  <si>
    <t>Texte</t>
  </si>
  <si>
    <t>Monétaire</t>
  </si>
  <si>
    <t>Nombre</t>
  </si>
  <si>
    <t>Pourcentage</t>
  </si>
  <si>
    <t>Le matricule de l'agent</t>
  </si>
  <si>
    <t>alpha numérique</t>
  </si>
  <si>
    <t>Liste de choix des différents statuts agent</t>
  </si>
  <si>
    <t>les heures produites par l'agent en M-1</t>
  </si>
  <si>
    <t>Super Bonus (challenge, prime de langue)</t>
  </si>
  <si>
    <t>Création</t>
  </si>
  <si>
    <t>FATIH FATIMA ZAHRA</t>
  </si>
  <si>
    <t>Montant Prime</t>
  </si>
  <si>
    <t>SUPER BONUS VENTES</t>
  </si>
  <si>
    <t>TAUX DE CHANGE</t>
  </si>
  <si>
    <t>CA Net / RDV Net</t>
  </si>
  <si>
    <t>PRIX RDV</t>
  </si>
  <si>
    <t>BASE SUPER BONUS</t>
  </si>
  <si>
    <t>A RENSEIGNER</t>
  </si>
  <si>
    <t>Liste des bénéficiaires des différents bonus</t>
  </si>
  <si>
    <t>Réalisation</t>
  </si>
  <si>
    <t>pay plan du super bonus vente/RDV</t>
  </si>
  <si>
    <t>SOURCE PLANILICATION</t>
  </si>
  <si>
    <t>Interne</t>
  </si>
  <si>
    <t>préciser si la planification des ressources se fait à notre niveau (interne) ou par le client</t>
  </si>
  <si>
    <t>Montant Cible (BRUT) Bonus prod</t>
  </si>
  <si>
    <t>Montant Cible (BRUT) Bonus TLV</t>
  </si>
  <si>
    <t>SUPER BONUS VENTES TLV</t>
  </si>
  <si>
    <t>Toute la prime est perdue</t>
  </si>
  <si>
    <t>Note qualité</t>
  </si>
  <si>
    <t>CA</t>
  </si>
  <si>
    <t>Autres Primes</t>
  </si>
  <si>
    <t>Prime LANGUE</t>
  </si>
  <si>
    <t>PRIME DE LANGUE Finale</t>
  </si>
  <si>
    <t>PVCP NL APSO</t>
  </si>
  <si>
    <t>MCC_S01_FEG-GRILLE PRIMES AGENT-PVCP NL APSO</t>
  </si>
  <si>
    <t>Grille de prime agent pour PVCP NL APSO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</si>
</sst>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[$MAD];\-#,##0\ [$MAD]"/>
    <numFmt numFmtId="165" formatCode="_-* #,##0.00&quot; €&quot;_-;\-* #,##0.00&quot; €&quot;_-;_-* \-??&quot; €&quot;_-;_-@_-"/>
    <numFmt numFmtId="166" formatCode="_-* #,##0.0\ _€_-;\-* #,##0.0\ _€_-;_-* &quot;-&quot;??\ _€_-;_-@_-"/>
    <numFmt numFmtId="167" formatCode="_-* #,##0.00\ [$MAD]_-;\-* #,##0.00\ [$MAD]_-;_-* &quot;-&quot;??\ [$MAD]_-;_-@_-"/>
    <numFmt numFmtId="168" formatCode="_-* #,##0\ _€_-;\-* #,##0\ _€_-;_-* &quot;-&quot;??\ _€_-;_-@_-"/>
    <numFmt numFmtId="169" formatCode="#,##0\ [$MAD]"/>
    <numFmt numFmtId="170" formatCode="0.0%"/>
    <numFmt numFmtId="171" formatCode="[$-F400]h:mm:ss\ AM/PM"/>
    <numFmt numFmtId="172" formatCode="#,##0\ &quot;€&quot;"/>
    <numFmt numFmtId="173" formatCode="#,##0.00\ [$MAD]"/>
    <numFmt numFmtId="174" formatCode="_-* #,##0.00\ [$€-40C]_-;\-* #,##0.00\ [$€-40C]_-;_-* &quot;-&quot;??\ [$€-40C]_-;_-@_-"/>
  </numFmts>
  <fonts count="28" x14ac:knownFonts="1">
    <font>
      <sz val="10"/>
      <name val="Arial"/>
      <family val="2"/>
    </font>
    <font>
      <b/>
      <sz val="12"/>
      <color theme="1"/>
      <name val="Sansation"/>
    </font>
    <font>
      <sz val="10"/>
      <color theme="1"/>
      <name val="Sansation"/>
    </font>
    <font>
      <sz val="10"/>
      <color rgb="FFFFFFFF"/>
      <name val="Sansation"/>
    </font>
    <font>
      <sz val="11"/>
      <color theme="1"/>
      <name val="Sansation"/>
    </font>
    <font>
      <sz val="10"/>
      <color rgb="FF000000"/>
      <name val="Sansation"/>
    </font>
    <font>
      <b/>
      <sz val="10"/>
      <color rgb="FFFFFFFF"/>
      <name val="Sansation"/>
    </font>
    <font>
      <b/>
      <u/>
      <sz val="10"/>
      <color theme="1"/>
      <name val="Sansatio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sz val="10"/>
      <color theme="1"/>
      <name val="Trebuchet MS"/>
      <family val="2"/>
    </font>
    <font>
      <b/>
      <sz val="18"/>
      <color indexed="56"/>
      <name val="Cambria"/>
      <family val="2"/>
    </font>
    <font>
      <u/>
      <sz val="9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rgb="FF333399"/>
      <name val="Sansation"/>
    </font>
    <font>
      <sz val="10"/>
      <color theme="0"/>
      <name val="Sansation"/>
    </font>
    <font>
      <b/>
      <u/>
      <sz val="10"/>
      <color theme="1"/>
      <name val="Trebuchet MS"/>
      <family val="2"/>
    </font>
    <font>
      <b/>
      <sz val="10"/>
      <color theme="0"/>
      <name val="Sansation"/>
    </font>
    <font>
      <sz val="10"/>
      <color theme="1" tint="0.14999847407452621"/>
      <name val="Sansation"/>
    </font>
    <font>
      <u/>
      <sz val="10"/>
      <color theme="1"/>
      <name val="Sansation"/>
    </font>
    <font>
      <b/>
      <sz val="10"/>
      <color theme="1" tint="0.14999847407452621"/>
      <name val="Sansation"/>
    </font>
    <font>
      <sz val="10"/>
      <color theme="0" tint="-4.9989318521683403E-2"/>
      <name val="Sansation"/>
    </font>
    <font>
      <b/>
      <sz val="10"/>
      <color theme="1"/>
      <name val="Sansation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3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indexed="65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theme="2"/>
      </patternFill>
    </fill>
  </fills>
  <borders count="76">
    <border>
      <left/>
      <right/>
      <top/>
      <bottom/>
      <diagonal/>
    </border>
    <border>
      <left style="medium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 style="medium">
        <color rgb="FF595959"/>
      </top>
      <bottom style="hair">
        <color rgb="FF595959"/>
      </bottom>
      <diagonal/>
    </border>
    <border>
      <left/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/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/>
      <right/>
      <top/>
      <bottom style="hair">
        <color theme="4" tint="-0.24994659260841701"/>
      </bottom>
      <diagonal/>
    </border>
    <border>
      <left style="hair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/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/>
      <top style="thin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double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</borders>
  <cellStyleXfs count="14">
    <xf numFmtId="0" fontId="0" fillId="0" borderId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  <xf numFmtId="43" fontId="11" fillId="0" borderId="0" applyFont="0" applyFill="0" applyBorder="0" applyAlignment="0" applyProtection="0"/>
    <xf numFmtId="165" fontId="12" fillId="0" borderId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>
      <alignment vertical="top"/>
    </xf>
    <xf numFmtId="9" fontId="12" fillId="0" borderId="0" applyFill="0" applyBorder="0" applyAlignment="0" applyProtection="0"/>
    <xf numFmtId="9" fontId="12" fillId="0" borderId="0" applyFill="0" applyBorder="0" applyAlignment="0" applyProtection="0"/>
    <xf numFmtId="0" fontId="14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300">
    <xf numFmtId="0" fontId="0" fillId="0" borderId="0" xfId="0"/>
    <xf numFmtId="0" fontId="2" fillId="0" borderId="0" xfId="0" applyFont="1"/>
    <xf numFmtId="0" fontId="5" fillId="2" borderId="4" xfId="0" applyFont="1" applyFill="1" applyBorder="1"/>
    <xf numFmtId="0" fontId="5" fillId="2" borderId="7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17" fillId="4" borderId="17" xfId="0" applyFont="1" applyFill="1" applyBorder="1" applyAlignment="1" applyProtection="1">
      <alignment horizontal="center" vertical="center"/>
      <protection locked="0"/>
    </xf>
    <xf numFmtId="0" fontId="17" fillId="11" borderId="17" xfId="0" applyFont="1" applyFill="1" applyBorder="1" applyAlignment="1" applyProtection="1">
      <alignment horizontal="center" vertical="center" wrapText="1"/>
      <protection locked="0"/>
    </xf>
    <xf numFmtId="9" fontId="13" fillId="4" borderId="17" xfId="1" applyFont="1" applyFill="1" applyBorder="1" applyAlignment="1" applyProtection="1">
      <alignment horizontal="center"/>
      <protection locked="0"/>
    </xf>
    <xf numFmtId="9" fontId="13" fillId="4" borderId="17" xfId="0" applyNumberFormat="1" applyFont="1" applyFill="1" applyBorder="1" applyAlignment="1" applyProtection="1">
      <alignment horizontal="center"/>
      <protection locked="0"/>
    </xf>
    <xf numFmtId="1" fontId="13" fillId="4" borderId="17" xfId="1" applyNumberFormat="1" applyFont="1" applyFill="1" applyBorder="1" applyAlignment="1" applyProtection="1">
      <alignment horizontal="center"/>
      <protection locked="0"/>
    </xf>
    <xf numFmtId="170" fontId="13" fillId="4" borderId="17" xfId="1" applyNumberFormat="1" applyFont="1" applyFill="1" applyBorder="1" applyAlignment="1" applyProtection="1">
      <alignment horizontal="center"/>
      <protection locked="0"/>
    </xf>
    <xf numFmtId="1" fontId="13" fillId="4" borderId="17" xfId="0" applyNumberFormat="1" applyFont="1" applyFill="1" applyBorder="1" applyAlignment="1" applyProtection="1">
      <alignment horizontal="center"/>
      <protection locked="0"/>
    </xf>
    <xf numFmtId="2" fontId="13" fillId="4" borderId="17" xfId="1" applyNumberFormat="1" applyFont="1" applyFill="1" applyBorder="1" applyAlignment="1" applyProtection="1">
      <alignment horizontal="center"/>
      <protection locked="0"/>
    </xf>
    <xf numFmtId="10" fontId="13" fillId="4" borderId="17" xfId="0" applyNumberFormat="1" applyFont="1" applyFill="1" applyBorder="1" applyAlignment="1" applyProtection="1">
      <alignment horizontal="center"/>
      <protection locked="0"/>
    </xf>
    <xf numFmtId="171" fontId="13" fillId="4" borderId="17" xfId="0" applyNumberFormat="1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 applyProtection="1">
      <alignment horizontal="center"/>
      <protection locked="0"/>
    </xf>
    <xf numFmtId="169" fontId="13" fillId="0" borderId="17" xfId="0" applyNumberFormat="1" applyFont="1" applyFill="1" applyBorder="1" applyAlignment="1" applyProtection="1">
      <alignment horizontal="left" indent="1"/>
      <protection locked="0"/>
    </xf>
    <xf numFmtId="172" fontId="13" fillId="0" borderId="17" xfId="0" applyNumberFormat="1" applyFont="1" applyFill="1" applyBorder="1" applyAlignment="1" applyProtection="1">
      <alignment horizontal="right" indent="1"/>
      <protection locked="0"/>
    </xf>
    <xf numFmtId="0" fontId="13" fillId="4" borderId="17" xfId="0" applyFont="1" applyFill="1" applyBorder="1" applyAlignment="1" applyProtection="1">
      <alignment horizontal="left"/>
      <protection locked="0"/>
    </xf>
    <xf numFmtId="0" fontId="13" fillId="4" borderId="17" xfId="0" applyFont="1" applyFill="1" applyBorder="1" applyProtection="1">
      <protection locked="0"/>
    </xf>
    <xf numFmtId="2" fontId="13" fillId="4" borderId="17" xfId="0" applyNumberFormat="1" applyFont="1" applyFill="1" applyBorder="1" applyProtection="1">
      <protection locked="0"/>
    </xf>
    <xf numFmtId="0" fontId="20" fillId="10" borderId="21" xfId="0" applyFont="1" applyFill="1" applyBorder="1" applyAlignment="1" applyProtection="1">
      <alignment horizontal="center" vertical="center" wrapText="1"/>
    </xf>
    <xf numFmtId="0" fontId="20" fillId="10" borderId="23" xfId="0" applyFont="1" applyFill="1" applyBorder="1" applyAlignment="1" applyProtection="1">
      <alignment horizontal="center" vertical="center" wrapText="1"/>
    </xf>
    <xf numFmtId="0" fontId="23" fillId="6" borderId="0" xfId="0" applyFont="1" applyFill="1" applyProtection="1"/>
    <xf numFmtId="0" fontId="19" fillId="4" borderId="0" xfId="0" applyFont="1" applyFill="1" applyAlignment="1" applyProtection="1"/>
    <xf numFmtId="0" fontId="19" fillId="4" borderId="0" xfId="0" applyFont="1" applyFill="1" applyProtection="1"/>
    <xf numFmtId="0" fontId="19" fillId="4" borderId="0" xfId="0" applyFont="1" applyFill="1" applyAlignment="1" applyProtection="1">
      <alignment horizontal="center"/>
    </xf>
    <xf numFmtId="0" fontId="24" fillId="4" borderId="0" xfId="0" applyFont="1" applyFill="1" applyAlignment="1" applyProtection="1">
      <alignment horizontal="left" vertical="center" indent="1"/>
    </xf>
    <xf numFmtId="0" fontId="2" fillId="4" borderId="0" xfId="0" applyFont="1" applyFill="1" applyProtection="1"/>
    <xf numFmtId="0" fontId="23" fillId="6" borderId="17" xfId="0" applyFont="1" applyFill="1" applyBorder="1" applyProtection="1"/>
    <xf numFmtId="167" fontId="23" fillId="6" borderId="17" xfId="0" applyNumberFormat="1" applyFont="1" applyFill="1" applyBorder="1" applyProtection="1"/>
    <xf numFmtId="0" fontId="13" fillId="4" borderId="0" xfId="0" applyFont="1" applyFill="1" applyProtection="1"/>
    <xf numFmtId="0" fontId="15" fillId="4" borderId="0" xfId="0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left"/>
    </xf>
    <xf numFmtId="14" fontId="15" fillId="4" borderId="0" xfId="0" applyNumberFormat="1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center"/>
    </xf>
    <xf numFmtId="0" fontId="16" fillId="4" borderId="0" xfId="0" applyFont="1" applyFill="1" applyAlignment="1" applyProtection="1">
      <alignment horizontal="center"/>
    </xf>
    <xf numFmtId="0" fontId="21" fillId="4" borderId="29" xfId="0" applyFont="1" applyFill="1" applyBorder="1" applyAlignment="1" applyProtection="1">
      <alignment horizontal="left"/>
    </xf>
    <xf numFmtId="0" fontId="17" fillId="4" borderId="17" xfId="0" applyFont="1" applyFill="1" applyBorder="1" applyAlignment="1" applyProtection="1">
      <alignment horizontal="center" vertical="center"/>
    </xf>
    <xf numFmtId="0" fontId="17" fillId="4" borderId="17" xfId="0" applyFont="1" applyFill="1" applyBorder="1" applyAlignment="1" applyProtection="1">
      <alignment horizontal="center" vertical="center" wrapText="1"/>
    </xf>
    <xf numFmtId="0" fontId="13" fillId="4" borderId="17" xfId="0" applyFont="1" applyFill="1" applyBorder="1" applyAlignment="1" applyProtection="1">
      <alignment horizontal="center"/>
    </xf>
    <xf numFmtId="9" fontId="13" fillId="4" borderId="0" xfId="0" applyNumberFormat="1" applyFont="1" applyFill="1" applyProtection="1"/>
    <xf numFmtId="0" fontId="13" fillId="4" borderId="0" xfId="0" applyNumberFormat="1" applyFont="1" applyFill="1" applyProtection="1"/>
    <xf numFmtId="0" fontId="17" fillId="11" borderId="17" xfId="0" applyFont="1" applyFill="1" applyBorder="1" applyAlignment="1" applyProtection="1">
      <alignment horizontal="center" vertical="center" wrapText="1"/>
    </xf>
    <xf numFmtId="0" fontId="13" fillId="4" borderId="0" xfId="0" applyFont="1" applyFill="1" applyAlignment="1" applyProtection="1">
      <alignment horizontal="left" indent="1"/>
    </xf>
    <xf numFmtId="9" fontId="13" fillId="0" borderId="0" xfId="0" applyNumberFormat="1" applyFont="1" applyFill="1" applyBorder="1" applyAlignment="1" applyProtection="1">
      <alignment horizontal="center"/>
    </xf>
    <xf numFmtId="9" fontId="17" fillId="2" borderId="0" xfId="1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 vertical="center"/>
    </xf>
    <xf numFmtId="9" fontId="10" fillId="16" borderId="17" xfId="0" applyNumberFormat="1" applyFont="1" applyFill="1" applyBorder="1" applyAlignment="1" applyProtection="1">
      <alignment horizontal="center"/>
    </xf>
    <xf numFmtId="173" fontId="13" fillId="0" borderId="17" xfId="0" applyNumberFormat="1" applyFont="1" applyFill="1" applyBorder="1" applyAlignment="1" applyProtection="1">
      <alignment horizontal="right" indent="1"/>
    </xf>
    <xf numFmtId="9" fontId="10" fillId="14" borderId="0" xfId="0" applyNumberFormat="1" applyFont="1" applyFill="1" applyBorder="1" applyAlignment="1" applyProtection="1">
      <alignment horizontal="center"/>
    </xf>
    <xf numFmtId="9" fontId="10" fillId="16" borderId="0" xfId="0" applyNumberFormat="1" applyFont="1" applyFill="1" applyBorder="1" applyAlignment="1" applyProtection="1">
      <alignment horizontal="center"/>
    </xf>
    <xf numFmtId="0" fontId="17" fillId="11" borderId="22" xfId="0" applyFont="1" applyFill="1" applyBorder="1" applyAlignment="1" applyProtection="1">
      <alignment horizontal="center" vertical="center" wrapText="1"/>
      <protection locked="0"/>
    </xf>
    <xf numFmtId="0" fontId="17" fillId="11" borderId="21" xfId="0" applyFont="1" applyFill="1" applyBorder="1" applyAlignment="1" applyProtection="1">
      <alignment horizontal="center" vertical="center" wrapText="1"/>
      <protection locked="0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74" fontId="13" fillId="4" borderId="17" xfId="0" applyNumberFormat="1" applyFont="1" applyFill="1" applyBorder="1" applyAlignment="1" applyProtection="1">
      <alignment horizontal="left"/>
      <protection locked="0"/>
    </xf>
    <xf numFmtId="167" fontId="13" fillId="4" borderId="17" xfId="0" applyNumberFormat="1" applyFont="1" applyFill="1" applyBorder="1" applyProtection="1">
      <protection locked="0"/>
    </xf>
    <xf numFmtId="0" fontId="20" fillId="12" borderId="0" xfId="2" applyFont="1" applyFill="1" applyBorder="1" applyAlignment="1" applyProtection="1">
      <alignment horizontal="center" vertical="center" wrapText="1"/>
    </xf>
    <xf numFmtId="0" fontId="20" fillId="10" borderId="0" xfId="2" applyFont="1" applyFill="1" applyBorder="1" applyAlignment="1" applyProtection="1">
      <alignment horizontal="left" vertical="center" wrapText="1" indent="1"/>
    </xf>
    <xf numFmtId="44" fontId="13" fillId="4" borderId="17" xfId="13" applyFont="1" applyFill="1" applyBorder="1" applyAlignment="1" applyProtection="1">
      <alignment horizontal="center"/>
      <protection locked="0"/>
    </xf>
    <xf numFmtId="168" fontId="2" fillId="7" borderId="35" xfId="1" applyNumberFormat="1" applyFont="1" applyFill="1" applyBorder="1" applyAlignment="1" applyProtection="1">
      <alignment horizontal="left" indent="1"/>
    </xf>
    <xf numFmtId="168" fontId="2" fillId="7" borderId="26" xfId="1" applyNumberFormat="1" applyFont="1" applyFill="1" applyBorder="1" applyAlignment="1" applyProtection="1">
      <alignment horizontal="left" indent="1"/>
    </xf>
    <xf numFmtId="168" fontId="2" fillId="7" borderId="36" xfId="1" applyNumberFormat="1" applyFont="1" applyFill="1" applyBorder="1" applyAlignment="1" applyProtection="1">
      <alignment horizontal="left" indent="1"/>
    </xf>
    <xf numFmtId="0" fontId="20" fillId="8" borderId="16" xfId="0" applyFont="1" applyFill="1" applyBorder="1" applyAlignment="1" applyProtection="1">
      <alignment horizontal="center" vertical="center" wrapText="1"/>
    </xf>
    <xf numFmtId="0" fontId="26" fillId="4" borderId="0" xfId="0" applyFont="1" applyFill="1" applyAlignment="1" applyProtection="1">
      <alignment horizontal="center"/>
    </xf>
    <xf numFmtId="0" fontId="26" fillId="4" borderId="0" xfId="0" applyFont="1" applyFill="1" applyProtection="1"/>
    <xf numFmtId="0" fontId="26" fillId="6" borderId="0" xfId="0" applyFont="1" applyFill="1" applyProtection="1"/>
    <xf numFmtId="44" fontId="2" fillId="4" borderId="37" xfId="13" applyFont="1" applyFill="1" applyBorder="1" applyAlignment="1" applyProtection="1">
      <alignment horizontal="center"/>
      <protection locked="0"/>
    </xf>
    <xf numFmtId="9" fontId="2" fillId="4" borderId="38" xfId="1" applyFont="1" applyFill="1" applyBorder="1" applyAlignment="1" applyProtection="1">
      <alignment horizontal="center"/>
      <protection locked="0"/>
    </xf>
    <xf numFmtId="166" fontId="22" fillId="17" borderId="39" xfId="3" applyNumberFormat="1" applyFont="1" applyFill="1" applyBorder="1" applyAlignment="1" applyProtection="1">
      <alignment horizontal="center"/>
    </xf>
    <xf numFmtId="44" fontId="2" fillId="4" borderId="40" xfId="13" applyFont="1" applyFill="1" applyBorder="1" applyAlignment="1" applyProtection="1">
      <alignment horizontal="center"/>
      <protection locked="0"/>
    </xf>
    <xf numFmtId="9" fontId="2" fillId="4" borderId="41" xfId="1" applyFont="1" applyFill="1" applyBorder="1" applyAlignment="1" applyProtection="1">
      <alignment horizontal="center"/>
      <protection locked="0"/>
    </xf>
    <xf numFmtId="166" fontId="22" fillId="17" borderId="42" xfId="3" applyNumberFormat="1" applyFont="1" applyFill="1" applyBorder="1" applyAlignment="1" applyProtection="1">
      <alignment horizontal="center"/>
    </xf>
    <xf numFmtId="44" fontId="2" fillId="4" borderId="43" xfId="13" applyFont="1" applyFill="1" applyBorder="1" applyAlignment="1" applyProtection="1">
      <alignment horizontal="center"/>
      <protection locked="0"/>
    </xf>
    <xf numFmtId="9" fontId="2" fillId="4" borderId="44" xfId="1" applyFont="1" applyFill="1" applyBorder="1" applyAlignment="1" applyProtection="1">
      <alignment horizontal="center"/>
      <protection locked="0"/>
    </xf>
    <xf numFmtId="166" fontId="22" fillId="17" borderId="45" xfId="3" applyNumberFormat="1" applyFont="1" applyFill="1" applyBorder="1" applyAlignment="1" applyProtection="1">
      <alignment horizontal="center"/>
    </xf>
    <xf numFmtId="164" fontId="2" fillId="0" borderId="48" xfId="3" applyNumberFormat="1" applyFont="1" applyFill="1" applyBorder="1" applyAlignment="1" applyProtection="1">
      <alignment horizontal="right" indent="1"/>
    </xf>
    <xf numFmtId="164" fontId="2" fillId="0" borderId="49" xfId="3" applyNumberFormat="1" applyFont="1" applyFill="1" applyBorder="1" applyAlignment="1" applyProtection="1">
      <alignment horizontal="right" indent="1"/>
    </xf>
    <xf numFmtId="0" fontId="2" fillId="4" borderId="37" xfId="0" applyFont="1" applyFill="1" applyBorder="1" applyAlignment="1" applyProtection="1">
      <alignment horizontal="left" indent="1"/>
      <protection locked="0"/>
    </xf>
    <xf numFmtId="0" fontId="2" fillId="4" borderId="38" xfId="0" applyFont="1" applyFill="1" applyBorder="1" applyAlignment="1" applyProtection="1">
      <alignment horizontal="left" indent="1"/>
      <protection locked="0"/>
    </xf>
    <xf numFmtId="0" fontId="2" fillId="0" borderId="38" xfId="0" applyFont="1" applyBorder="1" applyAlignment="1" applyProtection="1">
      <alignment horizontal="left" indent="1"/>
      <protection locked="0"/>
    </xf>
    <xf numFmtId="0" fontId="2" fillId="4" borderId="38" xfId="0" applyFont="1" applyFill="1" applyBorder="1" applyAlignment="1" applyProtection="1">
      <alignment horizontal="center"/>
      <protection locked="0"/>
    </xf>
    <xf numFmtId="164" fontId="2" fillId="0" borderId="39" xfId="3" applyNumberFormat="1" applyFont="1" applyFill="1" applyBorder="1" applyAlignment="1" applyProtection="1">
      <alignment horizontal="right" indent="1"/>
      <protection locked="0"/>
    </xf>
    <xf numFmtId="0" fontId="2" fillId="4" borderId="40" xfId="0" applyFont="1" applyFill="1" applyBorder="1" applyAlignment="1" applyProtection="1">
      <alignment horizontal="left" indent="1"/>
      <protection locked="0"/>
    </xf>
    <xf numFmtId="0" fontId="2" fillId="4" borderId="41" xfId="0" applyFont="1" applyFill="1" applyBorder="1" applyAlignment="1" applyProtection="1">
      <alignment horizontal="left" indent="1"/>
      <protection locked="0"/>
    </xf>
    <xf numFmtId="0" fontId="2" fillId="0" borderId="41" xfId="0" applyFont="1" applyBorder="1" applyAlignment="1" applyProtection="1">
      <alignment horizontal="left" indent="1"/>
      <protection locked="0"/>
    </xf>
    <xf numFmtId="0" fontId="2" fillId="4" borderId="41" xfId="0" applyFont="1" applyFill="1" applyBorder="1" applyAlignment="1" applyProtection="1">
      <alignment horizontal="center"/>
      <protection locked="0"/>
    </xf>
    <xf numFmtId="164" fontId="2" fillId="0" borderId="42" xfId="3" applyNumberFormat="1" applyFont="1" applyFill="1" applyBorder="1" applyAlignment="1" applyProtection="1">
      <alignment horizontal="right" indent="1"/>
      <protection locked="0"/>
    </xf>
    <xf numFmtId="0" fontId="2" fillId="4" borderId="43" xfId="0" applyFont="1" applyFill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left" indent="1"/>
      <protection locked="0"/>
    </xf>
    <xf numFmtId="0" fontId="2" fillId="0" borderId="44" xfId="0" applyFont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center"/>
      <protection locked="0"/>
    </xf>
    <xf numFmtId="164" fontId="2" fillId="0" borderId="45" xfId="3" applyNumberFormat="1" applyFont="1" applyFill="1" applyBorder="1" applyAlignment="1" applyProtection="1">
      <alignment horizontal="right" indent="1"/>
      <protection locked="0"/>
    </xf>
    <xf numFmtId="164" fontId="2" fillId="0" borderId="58" xfId="3" applyNumberFormat="1" applyFont="1" applyFill="1" applyBorder="1" applyAlignment="1" applyProtection="1">
      <alignment horizontal="right" indent="1"/>
    </xf>
    <xf numFmtId="0" fontId="2" fillId="4" borderId="37" xfId="0" applyFont="1" applyFill="1" applyBorder="1" applyAlignment="1" applyProtection="1">
      <alignment horizontal="center"/>
      <protection locked="0"/>
    </xf>
    <xf numFmtId="0" fontId="2" fillId="7" borderId="38" xfId="0" applyFont="1" applyFill="1" applyBorder="1" applyAlignment="1" applyProtection="1">
      <alignment horizontal="center"/>
    </xf>
    <xf numFmtId="0" fontId="2" fillId="9" borderId="38" xfId="0" applyFont="1" applyFill="1" applyBorder="1" applyAlignment="1" applyProtection="1">
      <alignment horizontal="center"/>
      <protection locked="0"/>
    </xf>
    <xf numFmtId="170" fontId="2" fillId="7" borderId="38" xfId="1" applyNumberFormat="1" applyFont="1" applyFill="1" applyBorder="1" applyAlignment="1" applyProtection="1">
      <alignment horizontal="center"/>
    </xf>
    <xf numFmtId="167" fontId="2" fillId="7" borderId="39" xfId="1" applyNumberFormat="1" applyFont="1" applyFill="1" applyBorder="1" applyAlignment="1" applyProtection="1"/>
    <xf numFmtId="0" fontId="2" fillId="4" borderId="40" xfId="0" applyFont="1" applyFill="1" applyBorder="1" applyAlignment="1" applyProtection="1">
      <alignment horizontal="center"/>
      <protection locked="0"/>
    </xf>
    <xf numFmtId="0" fontId="2" fillId="7" borderId="41" xfId="0" applyFont="1" applyFill="1" applyBorder="1" applyAlignment="1" applyProtection="1">
      <alignment horizontal="center"/>
    </xf>
    <xf numFmtId="170" fontId="2" fillId="7" borderId="41" xfId="1" applyNumberFormat="1" applyFont="1" applyFill="1" applyBorder="1" applyAlignment="1" applyProtection="1">
      <alignment horizontal="center"/>
    </xf>
    <xf numFmtId="167" fontId="2" fillId="7" borderId="42" xfId="1" applyNumberFormat="1" applyFont="1" applyFill="1" applyBorder="1" applyAlignment="1" applyProtection="1"/>
    <xf numFmtId="0" fontId="2" fillId="4" borderId="43" xfId="0" applyFont="1" applyFill="1" applyBorder="1" applyAlignment="1" applyProtection="1">
      <alignment horizontal="center"/>
      <protection locked="0"/>
    </xf>
    <xf numFmtId="0" fontId="2" fillId="7" borderId="44" xfId="0" applyFont="1" applyFill="1" applyBorder="1" applyAlignment="1" applyProtection="1">
      <alignment horizontal="center"/>
    </xf>
    <xf numFmtId="170" fontId="2" fillId="7" borderId="44" xfId="1" applyNumberFormat="1" applyFont="1" applyFill="1" applyBorder="1" applyAlignment="1" applyProtection="1">
      <alignment horizontal="center"/>
    </xf>
    <xf numFmtId="167" fontId="2" fillId="7" borderId="45" xfId="1" applyNumberFormat="1" applyFont="1" applyFill="1" applyBorder="1" applyAlignment="1" applyProtection="1"/>
    <xf numFmtId="0" fontId="22" fillId="17" borderId="37" xfId="0" applyFont="1" applyFill="1" applyBorder="1" applyAlignment="1" applyProtection="1">
      <alignment horizontal="center" vertical="center"/>
    </xf>
    <xf numFmtId="0" fontId="22" fillId="17" borderId="38" xfId="0" applyFont="1" applyFill="1" applyBorder="1" applyAlignment="1" applyProtection="1">
      <alignment horizontal="center" vertical="center"/>
    </xf>
    <xf numFmtId="0" fontId="20" fillId="8" borderId="15" xfId="0" applyFont="1" applyFill="1" applyBorder="1" applyAlignment="1" applyProtection="1">
      <alignment horizontal="center" vertical="center" wrapText="1"/>
    </xf>
    <xf numFmtId="168" fontId="2" fillId="7" borderId="65" xfId="1" applyNumberFormat="1" applyFont="1" applyFill="1" applyBorder="1" applyAlignment="1" applyProtection="1">
      <alignment horizontal="left" indent="1"/>
    </xf>
    <xf numFmtId="168" fontId="2" fillId="7" borderId="66" xfId="1" applyNumberFormat="1" applyFont="1" applyFill="1" applyBorder="1" applyAlignment="1" applyProtection="1">
      <alignment horizontal="left" indent="1"/>
    </xf>
    <xf numFmtId="168" fontId="2" fillId="7" borderId="68" xfId="3" applyNumberFormat="1" applyFont="1" applyFill="1" applyBorder="1" applyAlignment="1" applyProtection="1">
      <alignment horizontal="center"/>
    </xf>
    <xf numFmtId="168" fontId="2" fillId="18" borderId="69" xfId="3" applyNumberFormat="1" applyFont="1" applyFill="1" applyBorder="1" applyAlignment="1" applyProtection="1">
      <alignment horizontal="center"/>
    </xf>
    <xf numFmtId="168" fontId="2" fillId="7" borderId="70" xfId="3" applyNumberFormat="1" applyFont="1" applyFill="1" applyBorder="1" applyAlignment="1" applyProtection="1">
      <alignment horizontal="center"/>
    </xf>
    <xf numFmtId="168" fontId="2" fillId="18" borderId="71" xfId="3" applyNumberFormat="1" applyFont="1" applyFill="1" applyBorder="1" applyAlignment="1" applyProtection="1">
      <alignment horizontal="center"/>
    </xf>
    <xf numFmtId="168" fontId="2" fillId="7" borderId="35" xfId="3" applyNumberFormat="1" applyFont="1" applyFill="1" applyBorder="1" applyAlignment="1" applyProtection="1">
      <alignment horizontal="center"/>
    </xf>
    <xf numFmtId="168" fontId="2" fillId="7" borderId="26" xfId="3" applyNumberFormat="1" applyFont="1" applyFill="1" applyBorder="1" applyAlignment="1" applyProtection="1">
      <alignment horizontal="center"/>
    </xf>
    <xf numFmtId="168" fontId="2" fillId="7" borderId="36" xfId="3" applyNumberFormat="1" applyFont="1" applyFill="1" applyBorder="1" applyAlignment="1" applyProtection="1">
      <alignment horizontal="center"/>
    </xf>
    <xf numFmtId="168" fontId="2" fillId="7" borderId="41" xfId="3" applyNumberFormat="1" applyFont="1" applyFill="1" applyBorder="1" applyAlignment="1" applyProtection="1">
      <alignment horizontal="center"/>
    </xf>
    <xf numFmtId="168" fontId="2" fillId="7" borderId="44" xfId="3" applyNumberFormat="1" applyFont="1" applyFill="1" applyBorder="1" applyAlignment="1" applyProtection="1">
      <alignment horizontal="center"/>
    </xf>
    <xf numFmtId="167" fontId="2" fillId="7" borderId="48" xfId="1" applyNumberFormat="1" applyFont="1" applyFill="1" applyBorder="1" applyAlignment="1" applyProtection="1"/>
    <xf numFmtId="167" fontId="2" fillId="7" borderId="49" xfId="1" applyNumberFormat="1" applyFont="1" applyFill="1" applyBorder="1" applyAlignment="1" applyProtection="1"/>
    <xf numFmtId="166" fontId="19" fillId="7" borderId="48" xfId="3" applyNumberFormat="1" applyFont="1" applyFill="1" applyBorder="1" applyAlignment="1" applyProtection="1">
      <alignment horizontal="right" indent="1"/>
    </xf>
    <xf numFmtId="166" fontId="19" fillId="7" borderId="49" xfId="3" applyNumberFormat="1" applyFont="1" applyFill="1" applyBorder="1" applyAlignment="1" applyProtection="1">
      <alignment horizontal="right" indent="1"/>
    </xf>
    <xf numFmtId="0" fontId="19" fillId="4" borderId="48" xfId="0" applyFont="1" applyFill="1" applyBorder="1" applyAlignment="1" applyProtection="1">
      <alignment horizontal="left" indent="1"/>
    </xf>
    <xf numFmtId="0" fontId="19" fillId="0" borderId="48" xfId="0" applyFont="1" applyFill="1" applyBorder="1" applyAlignment="1" applyProtection="1">
      <alignment horizontal="left" indent="1"/>
    </xf>
    <xf numFmtId="0" fontId="19" fillId="4" borderId="49" xfId="0" applyFont="1" applyFill="1" applyBorder="1" applyAlignment="1" applyProtection="1">
      <alignment horizontal="left" indent="1"/>
    </xf>
    <xf numFmtId="0" fontId="18" fillId="17" borderId="17" xfId="0" applyFont="1" applyFill="1" applyBorder="1" applyAlignment="1" applyProtection="1">
      <alignment horizontal="center"/>
    </xf>
    <xf numFmtId="0" fontId="10" fillId="17" borderId="17" xfId="0" applyFont="1" applyFill="1" applyBorder="1" applyAlignment="1" applyProtection="1">
      <alignment horizontal="center"/>
    </xf>
    <xf numFmtId="0" fontId="10" fillId="17" borderId="17" xfId="0" applyFont="1" applyFill="1" applyBorder="1" applyAlignment="1" applyProtection="1">
      <alignment horizontal="left" indent="1"/>
    </xf>
    <xf numFmtId="169" fontId="10" fillId="17" borderId="17" xfId="0" applyNumberFormat="1" applyFont="1" applyFill="1" applyBorder="1" applyAlignment="1" applyProtection="1">
      <alignment horizontal="right" indent="1"/>
      <protection locked="0"/>
    </xf>
    <xf numFmtId="9" fontId="10" fillId="17" borderId="0" xfId="0" applyNumberFormat="1" applyFont="1" applyFill="1" applyBorder="1" applyAlignment="1" applyProtection="1">
      <alignment horizontal="center"/>
    </xf>
    <xf numFmtId="0" fontId="10" fillId="19" borderId="0" xfId="0" applyFont="1" applyFill="1" applyBorder="1" applyAlignment="1" applyProtection="1">
      <alignment horizontal="center"/>
    </xf>
    <xf numFmtId="0" fontId="20" fillId="19" borderId="21" xfId="0" applyFont="1" applyFill="1" applyBorder="1" applyAlignment="1" applyProtection="1">
      <alignment horizontal="center" vertical="center" wrapText="1"/>
    </xf>
    <xf numFmtId="0" fontId="20" fillId="19" borderId="23" xfId="0" applyFont="1" applyFill="1" applyBorder="1" applyAlignment="1" applyProtection="1">
      <alignment horizontal="center" vertical="center" wrapText="1"/>
    </xf>
    <xf numFmtId="0" fontId="22" fillId="20" borderId="0" xfId="0" applyFont="1" applyFill="1" applyProtection="1"/>
    <xf numFmtId="0" fontId="27" fillId="6" borderId="0" xfId="0" applyFont="1" applyFill="1" applyAlignment="1" applyProtection="1">
      <alignment horizontal="center" vertical="center"/>
      <protection locked="0"/>
    </xf>
    <xf numFmtId="0" fontId="10" fillId="19" borderId="17" xfId="0" applyFont="1" applyFill="1" applyBorder="1" applyAlignment="1" applyProtection="1">
      <alignment horizontal="center"/>
    </xf>
    <xf numFmtId="0" fontId="18" fillId="19" borderId="22" xfId="0" applyFont="1" applyFill="1" applyBorder="1" applyAlignment="1" applyProtection="1">
      <alignment horizontal="center" vertical="center" wrapText="1"/>
    </xf>
    <xf numFmtId="0" fontId="18" fillId="19" borderId="17" xfId="0" applyFont="1" applyFill="1" applyBorder="1" applyAlignment="1" applyProtection="1">
      <alignment horizontal="center" vertical="center" wrapText="1"/>
    </xf>
    <xf numFmtId="0" fontId="18" fillId="19" borderId="17" xfId="0" applyFont="1" applyFill="1" applyBorder="1" applyAlignment="1" applyProtection="1">
      <alignment horizontal="center" wrapText="1"/>
    </xf>
    <xf numFmtId="174" fontId="13" fillId="4" borderId="17" xfId="0" applyNumberFormat="1" applyFont="1" applyFill="1" applyBorder="1" applyAlignment="1" applyProtection="1">
      <alignment horizontal="left"/>
    </xf>
    <xf numFmtId="167" fontId="13" fillId="4" borderId="17" xfId="0" applyNumberFormat="1" applyFont="1" applyFill="1" applyBorder="1" applyProtection="1"/>
    <xf numFmtId="0" fontId="2" fillId="2" borderId="3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2" fillId="4" borderId="41" xfId="0" applyFont="1" applyFill="1" applyBorder="1" applyAlignment="1" applyProtection="1">
      <alignment horizontal="center"/>
      <protection locked="0"/>
    </xf>
    <xf numFmtId="0" fontId="25" fillId="6" borderId="20" xfId="0" applyFont="1" applyFill="1" applyBorder="1" applyAlignment="1" applyProtection="1">
      <alignment horizontal="center" vertical="center"/>
    </xf>
    <xf numFmtId="0" fontId="25" fillId="6" borderId="18" xfId="0" applyFont="1" applyFill="1" applyBorder="1" applyAlignment="1" applyProtection="1">
      <alignment horizontal="center" vertical="center"/>
    </xf>
    <xf numFmtId="0" fontId="25" fillId="6" borderId="25" xfId="0" applyFont="1" applyFill="1" applyBorder="1" applyAlignment="1" applyProtection="1">
      <alignment horizontal="center" vertical="center"/>
    </xf>
    <xf numFmtId="0" fontId="25" fillId="6" borderId="23" xfId="0" applyFont="1" applyFill="1" applyBorder="1" applyAlignment="1" applyProtection="1">
      <alignment horizontal="center" vertical="center"/>
    </xf>
    <xf numFmtId="0" fontId="25" fillId="6" borderId="28" xfId="0" applyFont="1" applyFill="1" applyBorder="1" applyAlignment="1" applyProtection="1">
      <alignment horizontal="center" vertical="center"/>
    </xf>
    <xf numFmtId="0" fontId="25" fillId="6" borderId="29" xfId="0" applyFont="1" applyFill="1" applyBorder="1" applyAlignment="1" applyProtection="1">
      <alignment horizontal="center" vertical="center"/>
    </xf>
    <xf numFmtId="0" fontId="2" fillId="4" borderId="44" xfId="0" applyFont="1" applyFill="1" applyBorder="1" applyAlignment="1" applyProtection="1">
      <alignment horizontal="center"/>
      <protection locked="0"/>
    </xf>
    <xf numFmtId="0" fontId="25" fillId="6" borderId="22" xfId="0" applyFont="1" applyFill="1" applyBorder="1" applyAlignment="1" applyProtection="1">
      <alignment horizontal="center" vertical="center"/>
    </xf>
    <xf numFmtId="0" fontId="25" fillId="6" borderId="26" xfId="0" applyFont="1" applyFill="1" applyBorder="1" applyAlignment="1" applyProtection="1">
      <alignment horizontal="center" vertical="center"/>
    </xf>
    <xf numFmtId="0" fontId="25" fillId="6" borderId="21" xfId="0" applyFont="1" applyFill="1" applyBorder="1" applyAlignment="1" applyProtection="1">
      <alignment horizontal="center" vertical="center"/>
    </xf>
    <xf numFmtId="0" fontId="25" fillId="6" borderId="27" xfId="0" applyFont="1" applyFill="1" applyBorder="1" applyAlignment="1" applyProtection="1">
      <alignment horizontal="center" vertical="center"/>
    </xf>
    <xf numFmtId="0" fontId="25" fillId="6" borderId="0" xfId="0" applyFont="1" applyFill="1" applyBorder="1" applyAlignment="1" applyProtection="1">
      <alignment horizontal="center" vertical="center"/>
    </xf>
    <xf numFmtId="0" fontId="25" fillId="6" borderId="30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41" xfId="0" applyFont="1" applyFill="1" applyBorder="1" applyAlignment="1" applyProtection="1">
      <alignment horizontal="center" vertical="center" wrapText="1"/>
    </xf>
    <xf numFmtId="0" fontId="2" fillId="4" borderId="44" xfId="0" applyFont="1" applyFill="1" applyBorder="1" applyAlignment="1" applyProtection="1">
      <alignment horizontal="center" vertical="center" wrapText="1"/>
    </xf>
    <xf numFmtId="0" fontId="2" fillId="4" borderId="38" xfId="0" applyFont="1" applyFill="1" applyBorder="1" applyAlignment="1" applyProtection="1">
      <alignment horizontal="center"/>
      <protection locked="0"/>
    </xf>
    <xf numFmtId="0" fontId="2" fillId="0" borderId="41" xfId="0" applyFont="1" applyFill="1" applyBorder="1" applyAlignment="1" applyProtection="1">
      <alignment horizontal="center" vertical="center" wrapText="1"/>
    </xf>
    <xf numFmtId="0" fontId="2" fillId="0" borderId="44" xfId="0" applyFont="1" applyFill="1" applyBorder="1" applyAlignment="1" applyProtection="1">
      <alignment horizontal="center" vertical="center" wrapText="1"/>
    </xf>
    <xf numFmtId="0" fontId="22" fillId="17" borderId="73" xfId="0" applyFont="1" applyFill="1" applyBorder="1" applyAlignment="1" applyProtection="1">
      <alignment horizontal="center" vertical="center" wrapText="1"/>
    </xf>
    <xf numFmtId="0" fontId="22" fillId="17" borderId="75" xfId="0" applyFont="1" applyFill="1" applyBorder="1" applyAlignment="1" applyProtection="1">
      <alignment horizontal="center" vertical="center" wrapText="1"/>
    </xf>
    <xf numFmtId="0" fontId="22" fillId="17" borderId="39" xfId="0" applyFont="1" applyFill="1" applyBorder="1" applyAlignment="1" applyProtection="1">
      <alignment horizontal="center" vertical="center" wrapText="1"/>
    </xf>
    <xf numFmtId="0" fontId="22" fillId="17" borderId="42" xfId="0" applyFont="1" applyFill="1" applyBorder="1" applyAlignment="1" applyProtection="1">
      <alignment horizontal="center" vertical="center" wrapText="1"/>
    </xf>
    <xf numFmtId="0" fontId="22" fillId="17" borderId="45" xfId="0" applyFont="1" applyFill="1" applyBorder="1" applyAlignment="1" applyProtection="1">
      <alignment horizontal="center" vertical="center" wrapText="1"/>
    </xf>
    <xf numFmtId="0" fontId="22" fillId="17" borderId="38" xfId="0" applyFont="1" applyFill="1" applyBorder="1" applyAlignment="1" applyProtection="1">
      <alignment horizontal="center" vertical="center" wrapText="1"/>
    </xf>
    <xf numFmtId="0" fontId="22" fillId="17" borderId="37" xfId="0" applyFont="1" applyFill="1" applyBorder="1" applyAlignment="1" applyProtection="1">
      <alignment horizontal="center" vertical="center"/>
    </xf>
    <xf numFmtId="0" fontId="22" fillId="17" borderId="38" xfId="0" applyFont="1" applyFill="1" applyBorder="1" applyAlignment="1" applyProtection="1">
      <alignment horizontal="center" vertical="center"/>
    </xf>
    <xf numFmtId="0" fontId="22" fillId="17" borderId="41" xfId="0" applyFont="1" applyFill="1" applyBorder="1" applyAlignment="1" applyProtection="1">
      <alignment horizontal="center" vertical="center" wrapText="1"/>
    </xf>
    <xf numFmtId="0" fontId="22" fillId="17" borderId="44" xfId="0" applyFont="1" applyFill="1" applyBorder="1" applyAlignment="1" applyProtection="1">
      <alignment horizontal="center" vertical="center" wrapText="1"/>
    </xf>
    <xf numFmtId="0" fontId="22" fillId="17" borderId="68" xfId="0" applyFont="1" applyFill="1" applyBorder="1" applyAlignment="1" applyProtection="1">
      <alignment horizontal="center" vertical="center" wrapText="1"/>
    </xf>
    <xf numFmtId="0" fontId="22" fillId="17" borderId="69" xfId="0" applyFont="1" applyFill="1" applyBorder="1" applyAlignment="1" applyProtection="1">
      <alignment horizontal="center" vertical="center" wrapText="1"/>
    </xf>
    <xf numFmtId="0" fontId="22" fillId="17" borderId="72" xfId="0" applyFont="1" applyFill="1" applyBorder="1" applyAlignment="1" applyProtection="1">
      <alignment horizontal="center" vertical="center" wrapText="1"/>
    </xf>
    <xf numFmtId="0" fontId="22" fillId="17" borderId="74" xfId="0" applyFont="1" applyFill="1" applyBorder="1" applyAlignment="1" applyProtection="1">
      <alignment horizontal="center" vertical="center" wrapText="1"/>
    </xf>
    <xf numFmtId="0" fontId="2" fillId="4" borderId="40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 vertical="center" wrapText="1"/>
    </xf>
    <xf numFmtId="0" fontId="22" fillId="17" borderId="47" xfId="0" applyFont="1" applyFill="1" applyBorder="1" applyAlignment="1" applyProtection="1">
      <alignment horizontal="center" vertical="center" wrapText="1"/>
    </xf>
    <xf numFmtId="0" fontId="22" fillId="17" borderId="48" xfId="0" applyFont="1" applyFill="1" applyBorder="1" applyAlignment="1" applyProtection="1">
      <alignment horizontal="center" vertical="center" wrapText="1"/>
    </xf>
    <xf numFmtId="0" fontId="22" fillId="17" borderId="64" xfId="0" applyFont="1" applyFill="1" applyBorder="1" applyAlignment="1" applyProtection="1">
      <alignment horizontal="center" vertical="center" wrapText="1"/>
    </xf>
    <xf numFmtId="0" fontId="22" fillId="17" borderId="62" xfId="0" applyFont="1" applyFill="1" applyBorder="1" applyAlignment="1" applyProtection="1">
      <alignment horizontal="center" vertical="center" wrapText="1"/>
    </xf>
    <xf numFmtId="0" fontId="22" fillId="17" borderId="67" xfId="0" applyFont="1" applyFill="1" applyBorder="1" applyAlignment="1" applyProtection="1">
      <alignment horizontal="center" vertical="center" wrapText="1"/>
    </xf>
    <xf numFmtId="0" fontId="22" fillId="17" borderId="63" xfId="0" applyFont="1" applyFill="1" applyBorder="1" applyAlignment="1" applyProtection="1">
      <alignment horizontal="center" vertical="center" wrapText="1"/>
    </xf>
    <xf numFmtId="0" fontId="22" fillId="17" borderId="65" xfId="0" applyFont="1" applyFill="1" applyBorder="1" applyAlignment="1" applyProtection="1">
      <alignment horizontal="center" vertical="center"/>
    </xf>
    <xf numFmtId="0" fontId="22" fillId="19" borderId="18" xfId="0" applyFont="1" applyFill="1" applyBorder="1" applyAlignment="1" applyProtection="1">
      <alignment horizontal="center" vertical="center" wrapText="1"/>
    </xf>
    <xf numFmtId="0" fontId="22" fillId="19" borderId="19" xfId="0" applyFont="1" applyFill="1" applyBorder="1" applyAlignment="1" applyProtection="1">
      <alignment horizontal="center" vertical="center" wrapText="1"/>
    </xf>
    <xf numFmtId="0" fontId="22" fillId="19" borderId="20" xfId="0" applyFont="1" applyFill="1" applyBorder="1" applyAlignment="1" applyProtection="1">
      <alignment horizontal="center" vertical="center" wrapText="1"/>
    </xf>
    <xf numFmtId="0" fontId="22" fillId="17" borderId="50" xfId="0" applyFont="1" applyFill="1" applyBorder="1" applyAlignment="1" applyProtection="1">
      <alignment horizontal="left" vertical="center" indent="1"/>
    </xf>
    <xf numFmtId="0" fontId="22" fillId="17" borderId="53" xfId="0" applyFont="1" applyFill="1" applyBorder="1" applyAlignment="1" applyProtection="1">
      <alignment horizontal="left" vertical="center" indent="1"/>
    </xf>
    <xf numFmtId="0" fontId="22" fillId="17" borderId="55" xfId="0" applyFont="1" applyFill="1" applyBorder="1" applyAlignment="1" applyProtection="1">
      <alignment horizontal="left" vertical="center" indent="1"/>
    </xf>
    <xf numFmtId="0" fontId="20" fillId="19" borderId="21" xfId="0" applyFont="1" applyFill="1" applyBorder="1" applyAlignment="1" applyProtection="1">
      <alignment horizontal="left" vertical="center" wrapText="1" indent="1"/>
    </xf>
    <xf numFmtId="0" fontId="20" fillId="19" borderId="17" xfId="0" applyFont="1" applyFill="1" applyBorder="1" applyAlignment="1" applyProtection="1">
      <alignment horizontal="left" vertical="center" wrapText="1" indent="1"/>
    </xf>
    <xf numFmtId="0" fontId="2" fillId="4" borderId="17" xfId="0" applyFont="1" applyFill="1" applyBorder="1" applyAlignment="1" applyProtection="1">
      <alignment horizontal="left" vertical="center" wrapText="1" indent="1"/>
    </xf>
    <xf numFmtId="0" fontId="2" fillId="4" borderId="22" xfId="0" applyFont="1" applyFill="1" applyBorder="1" applyAlignment="1" applyProtection="1">
      <alignment horizontal="left" vertical="center" wrapText="1" indent="1"/>
    </xf>
    <xf numFmtId="0" fontId="22" fillId="17" borderId="51" xfId="0" applyFont="1" applyFill="1" applyBorder="1" applyAlignment="1" applyProtection="1">
      <alignment horizontal="center" vertical="center"/>
    </xf>
    <xf numFmtId="0" fontId="22" fillId="17" borderId="46" xfId="0" applyFont="1" applyFill="1" applyBorder="1" applyAlignment="1" applyProtection="1">
      <alignment horizontal="center" vertical="center"/>
    </xf>
    <xf numFmtId="0" fontId="22" fillId="17" borderId="56" xfId="0" applyFont="1" applyFill="1" applyBorder="1" applyAlignment="1" applyProtection="1">
      <alignment horizontal="center" vertical="center"/>
    </xf>
    <xf numFmtId="0" fontId="22" fillId="17" borderId="51" xfId="0" applyFont="1" applyFill="1" applyBorder="1" applyAlignment="1" applyProtection="1">
      <alignment horizontal="center" vertical="center" wrapText="1"/>
    </xf>
    <xf numFmtId="0" fontId="22" fillId="17" borderId="46" xfId="0" applyFont="1" applyFill="1" applyBorder="1" applyAlignment="1" applyProtection="1">
      <alignment horizontal="center" vertical="center" wrapText="1"/>
    </xf>
    <xf numFmtId="0" fontId="22" fillId="17" borderId="56" xfId="0" applyFont="1" applyFill="1" applyBorder="1" applyAlignment="1" applyProtection="1">
      <alignment horizontal="center" vertical="center" wrapText="1"/>
    </xf>
    <xf numFmtId="0" fontId="22" fillId="17" borderId="52" xfId="0" applyFont="1" applyFill="1" applyBorder="1" applyAlignment="1" applyProtection="1">
      <alignment horizontal="center" vertical="center"/>
    </xf>
    <xf numFmtId="0" fontId="22" fillId="17" borderId="54" xfId="0" applyFont="1" applyFill="1" applyBorder="1" applyAlignment="1" applyProtection="1">
      <alignment horizontal="center" vertical="center"/>
    </xf>
    <xf numFmtId="0" fontId="22" fillId="17" borderId="57" xfId="0" applyFont="1" applyFill="1" applyBorder="1" applyAlignment="1" applyProtection="1">
      <alignment horizontal="center" vertical="center"/>
    </xf>
    <xf numFmtId="0" fontId="20" fillId="19" borderId="23" xfId="0" applyFont="1" applyFill="1" applyBorder="1" applyAlignment="1" applyProtection="1">
      <alignment horizontal="left" vertical="center" wrapText="1" indent="1"/>
    </xf>
    <xf numFmtId="0" fontId="20" fillId="19" borderId="24" xfId="0" applyFont="1" applyFill="1" applyBorder="1" applyAlignment="1" applyProtection="1">
      <alignment horizontal="left" vertical="center" wrapText="1" indent="1"/>
    </xf>
    <xf numFmtId="0" fontId="2" fillId="0" borderId="24" xfId="0" applyFont="1" applyBorder="1" applyAlignment="1" applyProtection="1">
      <alignment horizontal="left" indent="1"/>
    </xf>
    <xf numFmtId="0" fontId="2" fillId="0" borderId="25" xfId="0" applyFont="1" applyBorder="1" applyAlignment="1" applyProtection="1">
      <alignment horizontal="left" indent="1"/>
    </xf>
    <xf numFmtId="0" fontId="22" fillId="17" borderId="59" xfId="0" applyFont="1" applyFill="1" applyBorder="1" applyAlignment="1" applyProtection="1">
      <alignment horizontal="center" vertical="center" wrapText="1"/>
    </xf>
    <xf numFmtId="0" fontId="22" fillId="17" borderId="60" xfId="0" applyFont="1" applyFill="1" applyBorder="1" applyAlignment="1" applyProtection="1">
      <alignment horizontal="center" vertical="center" wrapText="1"/>
    </xf>
    <xf numFmtId="0" fontId="22" fillId="17" borderId="61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0" fontId="2" fillId="4" borderId="22" xfId="0" applyFont="1" applyFill="1" applyBorder="1" applyAlignment="1" applyProtection="1">
      <alignment horizontal="center" vertical="center" wrapText="1"/>
    </xf>
    <xf numFmtId="0" fontId="2" fillId="0" borderId="24" xfId="0" applyFont="1" applyBorder="1" applyAlignment="1" applyProtection="1">
      <alignment horizontal="left" vertical="center" indent="1"/>
    </xf>
    <xf numFmtId="0" fontId="2" fillId="0" borderId="25" xfId="0" applyFont="1" applyBorder="1" applyAlignment="1" applyProtection="1">
      <alignment horizontal="left" vertical="center" indent="1"/>
    </xf>
    <xf numFmtId="0" fontId="2" fillId="4" borderId="24" xfId="0" applyFont="1" applyFill="1" applyBorder="1" applyAlignment="1" applyProtection="1">
      <alignment horizontal="center" vertical="center" wrapText="1"/>
    </xf>
    <xf numFmtId="0" fontId="2" fillId="4" borderId="25" xfId="0" applyFont="1" applyFill="1" applyBorder="1" applyAlignment="1" applyProtection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 wrapText="1"/>
      <protection locked="0"/>
    </xf>
    <xf numFmtId="0" fontId="17" fillId="11" borderId="21" xfId="0" applyFont="1" applyFill="1" applyBorder="1" applyAlignment="1" applyProtection="1">
      <alignment horizontal="center" vertical="center" wrapText="1"/>
      <protection locked="0"/>
    </xf>
    <xf numFmtId="0" fontId="18" fillId="17" borderId="0" xfId="0" applyFont="1" applyFill="1" applyBorder="1" applyAlignment="1" applyProtection="1">
      <alignment horizontal="center" vertical="center"/>
    </xf>
    <xf numFmtId="0" fontId="18" fillId="17" borderId="0" xfId="0" applyFont="1" applyFill="1" applyBorder="1" applyAlignment="1" applyProtection="1">
      <alignment horizontal="center"/>
    </xf>
    <xf numFmtId="0" fontId="13" fillId="4" borderId="17" xfId="0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 applyProtection="1">
      <alignment horizontal="left" vertical="center" indent="1"/>
    </xf>
    <xf numFmtId="0" fontId="13" fillId="0" borderId="17" xfId="0" applyFont="1" applyFill="1" applyBorder="1" applyAlignment="1" applyProtection="1">
      <alignment horizontal="center" vertical="center" wrapText="1"/>
    </xf>
    <xf numFmtId="0" fontId="17" fillId="0" borderId="17" xfId="0" applyFont="1" applyFill="1" applyBorder="1" applyAlignment="1" applyProtection="1">
      <alignment horizontal="center"/>
    </xf>
    <xf numFmtId="0" fontId="10" fillId="17" borderId="17" xfId="0" applyFont="1" applyFill="1" applyBorder="1" applyAlignment="1" applyProtection="1">
      <alignment horizontal="center"/>
    </xf>
    <xf numFmtId="0" fontId="10" fillId="17" borderId="22" xfId="0" applyFont="1" applyFill="1" applyBorder="1" applyAlignment="1" applyProtection="1">
      <alignment horizontal="center" vertical="center"/>
      <protection locked="0"/>
    </xf>
    <xf numFmtId="0" fontId="10" fillId="17" borderId="21" xfId="0" applyFont="1" applyFill="1" applyBorder="1" applyAlignment="1" applyProtection="1">
      <alignment horizontal="center" vertical="center"/>
      <protection locked="0"/>
    </xf>
    <xf numFmtId="0" fontId="18" fillId="17" borderId="17" xfId="0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/>
      <protection locked="0"/>
    </xf>
    <xf numFmtId="0" fontId="18" fillId="14" borderId="0" xfId="0" applyFont="1" applyFill="1" applyBorder="1" applyAlignment="1" applyProtection="1">
      <alignment horizontal="center" vertical="center"/>
    </xf>
    <xf numFmtId="0" fontId="10" fillId="19" borderId="0" xfId="0" applyFont="1" applyFill="1" applyBorder="1" applyAlignment="1" applyProtection="1">
      <alignment horizontal="center"/>
    </xf>
    <xf numFmtId="0" fontId="18" fillId="19" borderId="17" xfId="0" applyFont="1" applyFill="1" applyBorder="1" applyAlignment="1" applyProtection="1">
      <alignment horizontal="center" vertical="center"/>
    </xf>
    <xf numFmtId="0" fontId="10" fillId="17" borderId="0" xfId="0" applyFont="1" applyFill="1" applyBorder="1" applyAlignment="1" applyProtection="1">
      <alignment horizontal="center" vertical="center"/>
    </xf>
    <xf numFmtId="0" fontId="17" fillId="11" borderId="22" xfId="0" applyFont="1" applyFill="1" applyBorder="1" applyAlignment="1" applyProtection="1">
      <alignment horizontal="center" vertical="center" wrapText="1"/>
    </xf>
    <xf numFmtId="0" fontId="17" fillId="11" borderId="21" xfId="0" applyFont="1" applyFill="1" applyBorder="1" applyAlignment="1" applyProtection="1">
      <alignment horizontal="center" vertical="center" wrapText="1"/>
    </xf>
    <xf numFmtId="0" fontId="10" fillId="13" borderId="22" xfId="0" applyFont="1" applyFill="1" applyBorder="1" applyAlignment="1" applyProtection="1">
      <alignment horizontal="center" vertical="center"/>
    </xf>
    <xf numFmtId="0" fontId="10" fillId="13" borderId="21" xfId="0" applyFont="1" applyFill="1" applyBorder="1" applyAlignment="1" applyProtection="1">
      <alignment horizontal="center" vertical="center"/>
    </xf>
    <xf numFmtId="0" fontId="10" fillId="14" borderId="22" xfId="0" applyFont="1" applyFill="1" applyBorder="1" applyAlignment="1" applyProtection="1">
      <alignment horizontal="center" vertical="center"/>
    </xf>
    <xf numFmtId="0" fontId="10" fillId="14" borderId="21" xfId="0" applyFont="1" applyFill="1" applyBorder="1" applyAlignment="1" applyProtection="1">
      <alignment horizontal="center" vertical="center"/>
    </xf>
    <xf numFmtId="0" fontId="10" fillId="15" borderId="22" xfId="0" applyFont="1" applyFill="1" applyBorder="1" applyAlignment="1" applyProtection="1">
      <alignment horizontal="center" vertical="center"/>
    </xf>
    <xf numFmtId="0" fontId="10" fillId="15" borderId="21" xfId="0" applyFont="1" applyFill="1" applyBorder="1" applyAlignment="1" applyProtection="1">
      <alignment horizontal="center" vertical="center"/>
    </xf>
    <xf numFmtId="0" fontId="10" fillId="16" borderId="22" xfId="0" applyFont="1" applyFill="1" applyBorder="1" applyAlignment="1" applyProtection="1">
      <alignment horizontal="center" vertical="center"/>
    </xf>
    <xf numFmtId="0" fontId="10" fillId="16" borderId="21" xfId="0" applyFont="1" applyFill="1" applyBorder="1" applyAlignment="1" applyProtection="1">
      <alignment horizontal="center" vertical="center"/>
    </xf>
    <xf numFmtId="0" fontId="18" fillId="16" borderId="0" xfId="0" applyFont="1" applyFill="1" applyBorder="1" applyAlignment="1" applyProtection="1">
      <alignment horizontal="center" vertical="center"/>
    </xf>
    <xf numFmtId="0" fontId="10" fillId="17" borderId="0" xfId="0" applyFont="1" applyFill="1" applyBorder="1" applyAlignment="1" applyProtection="1">
      <alignment horizontal="center"/>
    </xf>
    <xf numFmtId="0" fontId="18" fillId="13" borderId="0" xfId="0" applyFont="1" applyFill="1" applyBorder="1" applyAlignment="1" applyProtection="1">
      <alignment horizontal="center" vertical="center"/>
    </xf>
    <xf numFmtId="0" fontId="18" fillId="15" borderId="0" xfId="0" applyFont="1" applyFill="1" applyBorder="1" applyAlignment="1" applyProtection="1">
      <alignment horizontal="center" vertical="center"/>
    </xf>
  </cellXfs>
  <cellStyles count="14">
    <cellStyle name="Accent6" xfId="2" builtinId="49"/>
    <cellStyle name="Euro" xfId="4"/>
    <cellStyle name="Milliers 2" xfId="3"/>
    <cellStyle name="Monétaire" xfId="13" builtinId="4"/>
    <cellStyle name="Normal" xfId="0" builtinId="0" customBuiltin="1"/>
    <cellStyle name="Normal 2" xfId="5"/>
    <cellStyle name="Normal 2 2" xfId="6"/>
    <cellStyle name="Normal 3" xfId="7"/>
    <cellStyle name="Normal 4" xfId="8"/>
    <cellStyle name="Normal 5" xfId="9"/>
    <cellStyle name="Pourcentage" xfId="1" builtinId="5"/>
    <cellStyle name="Pourcentage 2" xfId="10"/>
    <cellStyle name="Pourcentage 3" xfId="11"/>
    <cellStyle name="Titre 1" xfId="12"/>
  </cellStyles>
  <dxfs count="36"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E8E8E8"/>
        </patternFill>
      </fill>
    </dxf>
  </dxfs>
  <tableStyles count="0" defaultTableStyle="TableStyleMedium9" defaultPivotStyle="PivotStyleLight16"/>
  <colors>
    <mruColors>
      <color rgb="FFFF33CC"/>
      <color rgb="FFFF6600"/>
      <color rgb="FFE8E8E8"/>
      <color rgb="FFF79646"/>
      <color rgb="FFFF8C3C"/>
      <color rgb="FFFF802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7"/>
  <sheetViews>
    <sheetView showGridLines="0" topLeftCell="A7" zoomScaleNormal="100" workbookViewId="0">
      <selection activeCell="B11" sqref="B11:F11"/>
    </sheetView>
  </sheetViews>
  <sheetFormatPr baseColWidth="10" defaultColWidth="11.42578125" defaultRowHeight="12.75" x14ac:dyDescent="0.2"/>
  <cols>
    <col min="1" max="1" width="17" style="1" customWidth="1"/>
    <col min="2" max="2" width="16.5703125" style="1" customWidth="1"/>
    <col min="3" max="3" width="36.85546875" style="1" customWidth="1"/>
    <col min="4" max="6" width="16.5703125" style="1" customWidth="1"/>
    <col min="7" max="16384" width="11.42578125" style="1"/>
  </cols>
  <sheetData>
    <row r="5" spans="1:6" ht="15" x14ac:dyDescent="0.2">
      <c r="A5" s="171" t="s">
        <v>17</v>
      </c>
      <c r="B5" s="171"/>
      <c r="C5" s="171"/>
      <c r="D5" s="171"/>
      <c r="E5" s="171"/>
      <c r="F5" s="171"/>
    </row>
    <row r="6" spans="1:6" ht="5.25" customHeight="1" thickBot="1" x14ac:dyDescent="0.25"/>
    <row r="7" spans="1:6" ht="14.25" x14ac:dyDescent="0.2">
      <c r="A7" s="172" t="s">
        <v>0</v>
      </c>
      <c r="B7" s="173"/>
      <c r="C7" s="173"/>
      <c r="D7" s="173"/>
      <c r="E7" s="173"/>
      <c r="F7" s="174"/>
    </row>
    <row r="8" spans="1:6" x14ac:dyDescent="0.2">
      <c r="A8" s="2" t="s">
        <v>1</v>
      </c>
      <c r="B8" s="175" t="s">
        <v>134</v>
      </c>
      <c r="C8" s="175"/>
      <c r="D8" s="175"/>
      <c r="E8" s="175"/>
      <c r="F8" s="176"/>
    </row>
    <row r="9" spans="1:6" x14ac:dyDescent="0.2">
      <c r="A9" s="2" t="s">
        <v>2</v>
      </c>
      <c r="B9" s="175" t="s">
        <v>135</v>
      </c>
      <c r="C9" s="175"/>
      <c r="D9" s="175"/>
      <c r="E9" s="175"/>
      <c r="F9" s="176"/>
    </row>
    <row r="10" spans="1:6" x14ac:dyDescent="0.2">
      <c r="A10" s="2" t="s">
        <v>3</v>
      </c>
      <c r="B10" s="175" t="s">
        <v>83</v>
      </c>
      <c r="C10" s="175"/>
      <c r="D10" s="175"/>
      <c r="E10" s="175"/>
      <c r="F10" s="176"/>
    </row>
    <row r="11" spans="1:6" x14ac:dyDescent="0.2">
      <c r="A11" s="2" t="s">
        <v>4</v>
      </c>
      <c r="B11" s="175" t="s">
        <v>84</v>
      </c>
      <c r="C11" s="175"/>
      <c r="D11" s="175"/>
      <c r="E11" s="175"/>
      <c r="F11" s="176"/>
    </row>
    <row r="12" spans="1:6" x14ac:dyDescent="0.2">
      <c r="A12" s="28" t="s">
        <v>5</v>
      </c>
      <c r="B12" s="177" t="s">
        <v>86</v>
      </c>
      <c r="C12" s="177"/>
      <c r="D12" s="177"/>
      <c r="E12" s="177"/>
      <c r="F12" s="178"/>
    </row>
    <row r="13" spans="1:6" ht="13.5" thickBot="1" x14ac:dyDescent="0.25">
      <c r="A13" s="3" t="s">
        <v>6</v>
      </c>
      <c r="B13" s="179" t="s">
        <v>85</v>
      </c>
      <c r="C13" s="179"/>
      <c r="D13" s="179"/>
      <c r="E13" s="179"/>
      <c r="F13" s="180"/>
    </row>
    <row r="15" spans="1:6" ht="13.5" thickBot="1" x14ac:dyDescent="0.25"/>
    <row r="16" spans="1:6" ht="30.75" customHeight="1" x14ac:dyDescent="0.2">
      <c r="A16" s="181" t="s">
        <v>7</v>
      </c>
      <c r="B16" s="182"/>
      <c r="C16" s="183" t="s">
        <v>8</v>
      </c>
      <c r="D16" s="184"/>
      <c r="E16" s="183" t="s">
        <v>9</v>
      </c>
      <c r="F16" s="185"/>
    </row>
    <row r="17" spans="1:6" x14ac:dyDescent="0.2">
      <c r="A17" s="165" t="s">
        <v>22</v>
      </c>
      <c r="B17" s="166"/>
      <c r="C17" s="167" t="s">
        <v>88</v>
      </c>
      <c r="D17" s="168"/>
      <c r="E17" s="169" t="s">
        <v>100</v>
      </c>
      <c r="F17" s="170"/>
    </row>
    <row r="18" spans="1:6" x14ac:dyDescent="0.2">
      <c r="A18" s="165" t="s">
        <v>23</v>
      </c>
      <c r="B18" s="166"/>
      <c r="C18" s="167" t="s">
        <v>89</v>
      </c>
      <c r="D18" s="168"/>
      <c r="E18" s="169" t="s">
        <v>100</v>
      </c>
      <c r="F18" s="170"/>
    </row>
    <row r="19" spans="1:6" x14ac:dyDescent="0.2">
      <c r="A19" s="165" t="s">
        <v>21</v>
      </c>
      <c r="B19" s="166"/>
      <c r="C19" s="167" t="s">
        <v>104</v>
      </c>
      <c r="D19" s="168"/>
      <c r="E19" s="169" t="s">
        <v>105</v>
      </c>
      <c r="F19" s="170"/>
    </row>
    <row r="20" spans="1:6" x14ac:dyDescent="0.2">
      <c r="A20" s="165" t="s">
        <v>25</v>
      </c>
      <c r="B20" s="166"/>
      <c r="C20" s="167" t="s">
        <v>106</v>
      </c>
      <c r="D20" s="168"/>
      <c r="E20" s="169" t="s">
        <v>100</v>
      </c>
      <c r="F20" s="170"/>
    </row>
    <row r="21" spans="1:6" x14ac:dyDescent="0.2">
      <c r="A21" s="165" t="s">
        <v>26</v>
      </c>
      <c r="B21" s="166"/>
      <c r="C21" s="167" t="s">
        <v>90</v>
      </c>
      <c r="D21" s="168"/>
      <c r="E21" s="169" t="s">
        <v>101</v>
      </c>
      <c r="F21" s="170"/>
    </row>
    <row r="22" spans="1:6" x14ac:dyDescent="0.2">
      <c r="A22" s="165" t="s">
        <v>38</v>
      </c>
      <c r="B22" s="166"/>
      <c r="C22" s="167" t="s">
        <v>91</v>
      </c>
      <c r="D22" s="168"/>
      <c r="E22" s="169" t="s">
        <v>102</v>
      </c>
      <c r="F22" s="170"/>
    </row>
    <row r="23" spans="1:6" x14ac:dyDescent="0.2">
      <c r="A23" s="165" t="s">
        <v>39</v>
      </c>
      <c r="B23" s="166"/>
      <c r="C23" s="167" t="s">
        <v>92</v>
      </c>
      <c r="D23" s="168"/>
      <c r="E23" s="169" t="s">
        <v>102</v>
      </c>
      <c r="F23" s="170"/>
    </row>
    <row r="24" spans="1:6" x14ac:dyDescent="0.2">
      <c r="A24" s="165" t="s">
        <v>40</v>
      </c>
      <c r="B24" s="166"/>
      <c r="C24" s="167" t="s">
        <v>93</v>
      </c>
      <c r="D24" s="168"/>
      <c r="E24" s="169" t="s">
        <v>102</v>
      </c>
      <c r="F24" s="170"/>
    </row>
    <row r="25" spans="1:6" x14ac:dyDescent="0.2">
      <c r="A25" s="165" t="s">
        <v>80</v>
      </c>
      <c r="B25" s="166"/>
      <c r="C25" s="167" t="s">
        <v>107</v>
      </c>
      <c r="D25" s="168"/>
      <c r="E25" s="169" t="s">
        <v>102</v>
      </c>
      <c r="F25" s="170"/>
    </row>
    <row r="26" spans="1:6" x14ac:dyDescent="0.2">
      <c r="A26" s="165" t="s">
        <v>42</v>
      </c>
      <c r="B26" s="166"/>
      <c r="C26" s="167" t="s">
        <v>94</v>
      </c>
      <c r="D26" s="168"/>
      <c r="E26" s="169" t="s">
        <v>102</v>
      </c>
      <c r="F26" s="170"/>
    </row>
    <row r="27" spans="1:6" x14ac:dyDescent="0.2">
      <c r="A27" s="165" t="s">
        <v>43</v>
      </c>
      <c r="B27" s="166"/>
      <c r="C27" s="167" t="s">
        <v>95</v>
      </c>
      <c r="D27" s="168"/>
      <c r="E27" s="169" t="s">
        <v>103</v>
      </c>
      <c r="F27" s="170"/>
    </row>
    <row r="28" spans="1:6" x14ac:dyDescent="0.2">
      <c r="A28" s="165" t="s">
        <v>44</v>
      </c>
      <c r="B28" s="166"/>
      <c r="C28" s="167" t="s">
        <v>96</v>
      </c>
      <c r="D28" s="168"/>
      <c r="E28" s="169" t="s">
        <v>101</v>
      </c>
      <c r="F28" s="170"/>
    </row>
    <row r="29" spans="1:6" x14ac:dyDescent="0.2">
      <c r="A29" s="165" t="s">
        <v>108</v>
      </c>
      <c r="B29" s="166"/>
      <c r="C29" s="167" t="s">
        <v>97</v>
      </c>
      <c r="D29" s="168"/>
      <c r="E29" s="169" t="s">
        <v>101</v>
      </c>
      <c r="F29" s="170"/>
    </row>
    <row r="30" spans="1:6" x14ac:dyDescent="0.2">
      <c r="A30" s="165" t="s">
        <v>45</v>
      </c>
      <c r="B30" s="166"/>
      <c r="C30" s="167" t="s">
        <v>98</v>
      </c>
      <c r="D30" s="168"/>
      <c r="E30" s="169" t="s">
        <v>101</v>
      </c>
      <c r="F30" s="170"/>
    </row>
    <row r="31" spans="1:6" x14ac:dyDescent="0.2">
      <c r="A31" s="165" t="s">
        <v>87</v>
      </c>
      <c r="B31" s="166"/>
      <c r="C31" s="167" t="s">
        <v>99</v>
      </c>
      <c r="D31" s="168"/>
      <c r="E31" s="169" t="s">
        <v>100</v>
      </c>
      <c r="F31" s="170"/>
    </row>
    <row r="32" spans="1:6" x14ac:dyDescent="0.2">
      <c r="A32" s="165" t="s">
        <v>121</v>
      </c>
      <c r="B32" s="166"/>
      <c r="C32" s="167" t="s">
        <v>123</v>
      </c>
      <c r="D32" s="168"/>
      <c r="E32" s="169" t="s">
        <v>100</v>
      </c>
      <c r="F32" s="170"/>
    </row>
    <row r="33" spans="1:6" x14ac:dyDescent="0.2">
      <c r="A33" s="26"/>
      <c r="B33" s="27"/>
      <c r="C33" s="167"/>
      <c r="D33" s="168"/>
      <c r="E33" s="169"/>
      <c r="F33" s="170"/>
    </row>
    <row r="34" spans="1:6" x14ac:dyDescent="0.2">
      <c r="A34" s="26"/>
      <c r="B34" s="27"/>
      <c r="C34" s="167"/>
      <c r="D34" s="168"/>
      <c r="E34" s="169"/>
      <c r="F34" s="170"/>
    </row>
    <row r="35" spans="1:6" x14ac:dyDescent="0.2">
      <c r="A35" s="26"/>
      <c r="B35" s="27"/>
      <c r="C35" s="167"/>
      <c r="D35" s="168"/>
      <c r="E35" s="169"/>
      <c r="F35" s="170"/>
    </row>
    <row r="36" spans="1:6" x14ac:dyDescent="0.2">
      <c r="A36" s="26"/>
      <c r="B36" s="27"/>
      <c r="C36" s="167"/>
      <c r="D36" s="168"/>
      <c r="E36" s="169"/>
      <c r="F36" s="170"/>
    </row>
    <row r="37" spans="1:6" x14ac:dyDescent="0.2">
      <c r="A37" s="26"/>
      <c r="B37" s="27"/>
      <c r="C37" s="167"/>
      <c r="D37" s="168"/>
      <c r="E37" s="169"/>
      <c r="F37" s="170"/>
    </row>
    <row r="38" spans="1:6" x14ac:dyDescent="0.2">
      <c r="A38" s="26"/>
      <c r="B38" s="27"/>
      <c r="C38" s="167"/>
      <c r="D38" s="168"/>
      <c r="E38" s="169"/>
      <c r="F38" s="170"/>
    </row>
    <row r="39" spans="1:6" x14ac:dyDescent="0.2">
      <c r="A39" s="26"/>
      <c r="B39" s="27"/>
      <c r="C39" s="167"/>
      <c r="D39" s="168"/>
      <c r="E39" s="169"/>
      <c r="F39" s="170"/>
    </row>
    <row r="40" spans="1:6" x14ac:dyDescent="0.2">
      <c r="A40" s="26"/>
      <c r="B40" s="27"/>
      <c r="C40" s="167"/>
      <c r="D40" s="168"/>
      <c r="E40" s="169"/>
      <c r="F40" s="170"/>
    </row>
    <row r="41" spans="1:6" x14ac:dyDescent="0.2">
      <c r="A41" s="26"/>
      <c r="B41" s="27"/>
      <c r="C41" s="167"/>
      <c r="D41" s="168"/>
      <c r="E41" s="169"/>
      <c r="F41" s="170"/>
    </row>
    <row r="42" spans="1:6" x14ac:dyDescent="0.2">
      <c r="A42" s="26"/>
      <c r="B42" s="27"/>
      <c r="C42" s="167"/>
      <c r="D42" s="168"/>
      <c r="E42" s="169"/>
      <c r="F42" s="170"/>
    </row>
    <row r="43" spans="1:6" x14ac:dyDescent="0.2">
      <c r="A43" s="26"/>
      <c r="B43" s="27"/>
      <c r="C43" s="167"/>
      <c r="D43" s="168"/>
      <c r="E43" s="169"/>
      <c r="F43" s="170"/>
    </row>
    <row r="44" spans="1:6" x14ac:dyDescent="0.2">
      <c r="A44" s="26"/>
      <c r="B44" s="27"/>
      <c r="C44" s="167"/>
      <c r="D44" s="168"/>
      <c r="E44" s="169"/>
      <c r="F44" s="170"/>
    </row>
    <row r="45" spans="1:6" x14ac:dyDescent="0.2">
      <c r="A45" s="26"/>
      <c r="B45" s="27"/>
      <c r="C45" s="167"/>
      <c r="D45" s="168"/>
      <c r="E45" s="169"/>
      <c r="F45" s="170"/>
    </row>
    <row r="46" spans="1:6" x14ac:dyDescent="0.2">
      <c r="A46" s="186"/>
      <c r="B46" s="187"/>
      <c r="C46" s="175"/>
      <c r="D46" s="175"/>
      <c r="E46" s="188"/>
      <c r="F46" s="189"/>
    </row>
    <row r="47" spans="1:6" x14ac:dyDescent="0.2">
      <c r="A47" s="186"/>
      <c r="B47" s="187"/>
      <c r="C47" s="175"/>
      <c r="D47" s="175"/>
      <c r="E47" s="188"/>
      <c r="F47" s="189"/>
    </row>
    <row r="48" spans="1:6" x14ac:dyDescent="0.2">
      <c r="A48" s="186"/>
      <c r="B48" s="187"/>
      <c r="C48" s="175"/>
      <c r="D48" s="175"/>
      <c r="E48" s="188"/>
      <c r="F48" s="189"/>
    </row>
    <row r="49" spans="1:6" ht="13.5" thickBot="1" x14ac:dyDescent="0.25">
      <c r="A49" s="190"/>
      <c r="B49" s="191"/>
      <c r="C49" s="179"/>
      <c r="D49" s="179"/>
      <c r="E49" s="192"/>
      <c r="F49" s="193"/>
    </row>
    <row r="51" spans="1:6" x14ac:dyDescent="0.2">
      <c r="A51" s="4" t="s">
        <v>16</v>
      </c>
    </row>
    <row r="52" spans="1:6" ht="3.75" customHeight="1" thickBot="1" x14ac:dyDescent="0.25"/>
    <row r="53" spans="1:6" x14ac:dyDescent="0.2">
      <c r="A53" s="5" t="s">
        <v>10</v>
      </c>
      <c r="B53" s="6" t="s">
        <v>11</v>
      </c>
      <c r="C53" s="7" t="s">
        <v>12</v>
      </c>
      <c r="D53" s="6" t="s">
        <v>13</v>
      </c>
      <c r="E53" s="6" t="s">
        <v>14</v>
      </c>
      <c r="F53" s="8" t="s">
        <v>15</v>
      </c>
    </row>
    <row r="54" spans="1:6" ht="25.5" x14ac:dyDescent="0.2">
      <c r="A54" s="29">
        <v>45200</v>
      </c>
      <c r="B54" s="9">
        <v>1</v>
      </c>
      <c r="C54" s="9" t="s">
        <v>109</v>
      </c>
      <c r="D54" s="10" t="s">
        <v>110</v>
      </c>
      <c r="E54" s="10" t="s">
        <v>110</v>
      </c>
      <c r="F54" s="11" t="s">
        <v>110</v>
      </c>
    </row>
    <row r="55" spans="1:6" x14ac:dyDescent="0.2">
      <c r="A55" s="29"/>
      <c r="B55" s="9"/>
      <c r="C55" s="9"/>
      <c r="D55" s="12"/>
      <c r="E55" s="12"/>
      <c r="F55" s="13"/>
    </row>
    <row r="56" spans="1:6" x14ac:dyDescent="0.2">
      <c r="A56" s="30"/>
      <c r="B56" s="31"/>
      <c r="C56" s="32"/>
      <c r="D56" s="33"/>
      <c r="E56" s="33"/>
      <c r="F56" s="34"/>
    </row>
    <row r="57" spans="1:6" ht="13.5" thickBot="1" x14ac:dyDescent="0.25">
      <c r="A57" s="74"/>
      <c r="B57" s="75"/>
      <c r="C57" s="75"/>
      <c r="D57" s="14"/>
      <c r="E57" s="14"/>
      <c r="F57" s="15"/>
    </row>
  </sheetData>
  <mergeCells count="97"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17:B17"/>
    <mergeCell ref="C17:D17"/>
    <mergeCell ref="E17:F17"/>
    <mergeCell ref="A5:F5"/>
    <mergeCell ref="A7:F7"/>
    <mergeCell ref="B8:F8"/>
    <mergeCell ref="B9:F9"/>
    <mergeCell ref="B10:F10"/>
    <mergeCell ref="B11:F11"/>
    <mergeCell ref="B12:F12"/>
    <mergeCell ref="B13:F13"/>
    <mergeCell ref="A16:B16"/>
    <mergeCell ref="C16:D16"/>
    <mergeCell ref="E16:F16"/>
    <mergeCell ref="E18:F18"/>
    <mergeCell ref="E20:F20"/>
    <mergeCell ref="E21:F21"/>
    <mergeCell ref="E22:F22"/>
    <mergeCell ref="E23:F23"/>
    <mergeCell ref="E19:F19"/>
    <mergeCell ref="E24:F24"/>
    <mergeCell ref="E26:F26"/>
    <mergeCell ref="E27:F27"/>
    <mergeCell ref="E28:F28"/>
    <mergeCell ref="E29:F29"/>
    <mergeCell ref="E25:F25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18:B18"/>
    <mergeCell ref="A20:B20"/>
    <mergeCell ref="A21:B21"/>
    <mergeCell ref="A22:B22"/>
    <mergeCell ref="A23:B23"/>
    <mergeCell ref="A19:B19"/>
    <mergeCell ref="C45:D45"/>
    <mergeCell ref="A24:B24"/>
    <mergeCell ref="A26:B26"/>
    <mergeCell ref="A27:B27"/>
    <mergeCell ref="A28:B28"/>
    <mergeCell ref="A29:B29"/>
    <mergeCell ref="A30:B30"/>
    <mergeCell ref="A31:B31"/>
    <mergeCell ref="C44:D44"/>
    <mergeCell ref="C35:D35"/>
    <mergeCell ref="C36:D36"/>
    <mergeCell ref="C37:D37"/>
    <mergeCell ref="C38:D38"/>
    <mergeCell ref="C39:D39"/>
    <mergeCell ref="C40:D40"/>
    <mergeCell ref="C41:D41"/>
    <mergeCell ref="A32:B32"/>
    <mergeCell ref="C19:D19"/>
    <mergeCell ref="A25:B25"/>
    <mergeCell ref="C25:D25"/>
    <mergeCell ref="C43:D43"/>
    <mergeCell ref="C42:D42"/>
  </mergeCell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6"/>
  <sheetViews>
    <sheetView showGridLines="0" zoomScale="80" zoomScaleNormal="80" workbookViewId="0">
      <selection activeCell="F4" sqref="F4"/>
    </sheetView>
  </sheetViews>
  <sheetFormatPr baseColWidth="10" defaultColWidth="11.42578125" defaultRowHeight="12.75" x14ac:dyDescent="0.2"/>
  <cols>
    <col min="1" max="1" width="29.42578125" style="43" customWidth="1"/>
    <col min="2" max="3" width="11.42578125" style="43"/>
    <col min="4" max="4" width="21.5703125" style="43" bestFit="1" customWidth="1"/>
    <col min="5" max="5" width="13.28515625" style="43" customWidth="1"/>
    <col min="6" max="6" width="11.85546875" style="43" customWidth="1"/>
    <col min="7" max="7" width="0.7109375" style="43" customWidth="1"/>
    <col min="8" max="8" width="13.7109375" style="43" customWidth="1"/>
    <col min="9" max="9" width="1" style="43" customWidth="1"/>
    <col min="10" max="11" width="19.42578125" style="43" customWidth="1"/>
    <col min="12" max="12" width="8.140625" style="43" customWidth="1"/>
    <col min="13" max="13" width="6.42578125" style="43" customWidth="1"/>
    <col min="14" max="14" width="11.5703125" style="43" bestFit="1" customWidth="1"/>
    <col min="15" max="15" width="1.42578125" style="43" customWidth="1"/>
    <col min="16" max="16" width="11.5703125" style="43" bestFit="1" customWidth="1"/>
    <col min="17" max="17" width="11.5703125" style="43" customWidth="1"/>
    <col min="18" max="23" width="11.5703125" style="43" bestFit="1" customWidth="1"/>
    <col min="24" max="24" width="16.140625" style="43" customWidth="1"/>
    <col min="25" max="25" width="1.28515625" style="43" customWidth="1"/>
    <col min="26" max="26" width="11.5703125" style="43" bestFit="1" customWidth="1"/>
    <col min="27" max="27" width="0.42578125" style="43" customWidth="1"/>
    <col min="28" max="28" width="11.5703125" style="43" bestFit="1" customWidth="1"/>
    <col min="29" max="29" width="11.5703125" style="43" customWidth="1"/>
    <col min="30" max="30" width="0.28515625" style="43" customWidth="1"/>
    <col min="31" max="31" width="11.5703125" style="43" bestFit="1" customWidth="1"/>
    <col min="32" max="33" width="11.42578125" style="43"/>
    <col min="34" max="34" width="1.140625" style="43" customWidth="1"/>
    <col min="35" max="35" width="16.85546875" style="43" customWidth="1"/>
    <col min="36" max="36" width="1" style="43" customWidth="1"/>
    <col min="37" max="37" width="11.5703125" style="43" bestFit="1" customWidth="1"/>
    <col min="38" max="38" width="1.28515625" style="87" customWidth="1"/>
    <col min="39" max="39" width="39.85546875" style="43" customWidth="1"/>
    <col min="40" max="16384" width="11.42578125" style="43"/>
  </cols>
  <sheetData>
    <row r="1" spans="1:39" ht="16.5" customHeight="1" x14ac:dyDescent="0.2">
      <c r="J1" s="44"/>
      <c r="K1" s="78"/>
      <c r="L1" s="45"/>
      <c r="M1" s="45"/>
      <c r="N1" s="45"/>
      <c r="O1" s="45"/>
      <c r="P1" s="237" t="s">
        <v>28</v>
      </c>
      <c r="Q1" s="237"/>
      <c r="R1" s="238"/>
      <c r="S1" s="238"/>
      <c r="T1" s="238"/>
      <c r="U1" s="238"/>
      <c r="V1" s="238"/>
      <c r="W1" s="239"/>
      <c r="X1" s="45"/>
      <c r="Y1" s="45"/>
      <c r="Z1" s="237" t="s">
        <v>29</v>
      </c>
      <c r="AA1" s="237"/>
      <c r="AB1" s="238"/>
      <c r="AC1" s="238"/>
      <c r="AD1" s="238"/>
      <c r="AE1" s="238"/>
      <c r="AF1" s="238"/>
      <c r="AG1" s="239"/>
      <c r="AH1" s="45"/>
      <c r="AI1" s="45"/>
      <c r="AJ1" s="46"/>
      <c r="AK1" s="46"/>
      <c r="AL1" s="85"/>
      <c r="AM1" s="46"/>
    </row>
    <row r="2" spans="1:39" ht="15.75" customHeight="1" x14ac:dyDescent="0.2">
      <c r="A2" s="47" t="s">
        <v>18</v>
      </c>
      <c r="B2" s="208"/>
      <c r="C2" s="208"/>
      <c r="D2" s="208"/>
      <c r="J2" s="44"/>
      <c r="K2" s="79"/>
      <c r="L2" s="45"/>
      <c r="M2" s="45"/>
      <c r="N2" s="45"/>
      <c r="O2" s="45"/>
      <c r="P2" s="243" t="s">
        <v>31</v>
      </c>
      <c r="Q2" s="243"/>
      <c r="R2" s="244"/>
      <c r="S2" s="244"/>
      <c r="T2" s="244"/>
      <c r="U2" s="245" t="s">
        <v>32</v>
      </c>
      <c r="V2" s="245"/>
      <c r="W2" s="246"/>
      <c r="X2" s="45"/>
      <c r="Y2" s="45"/>
      <c r="Z2" s="155">
        <v>1</v>
      </c>
      <c r="AA2" s="41"/>
      <c r="AB2" s="263" t="s">
        <v>33</v>
      </c>
      <c r="AC2" s="263"/>
      <c r="AD2" s="263"/>
      <c r="AE2" s="263"/>
      <c r="AF2" s="263"/>
      <c r="AG2" s="264"/>
      <c r="AH2" s="45"/>
      <c r="AI2" s="45"/>
      <c r="AJ2" s="46"/>
      <c r="AK2" s="46"/>
      <c r="AL2" s="85"/>
      <c r="AM2" s="46"/>
    </row>
    <row r="3" spans="1:39" ht="16.5" customHeight="1" x14ac:dyDescent="0.2">
      <c r="A3" s="47" t="s">
        <v>19</v>
      </c>
      <c r="B3" s="208"/>
      <c r="C3" s="208"/>
      <c r="D3" s="208"/>
      <c r="J3" s="44"/>
      <c r="K3" s="79"/>
      <c r="L3" s="45"/>
      <c r="M3" s="45"/>
      <c r="N3" s="45"/>
      <c r="O3" s="45"/>
      <c r="P3" s="256" t="s">
        <v>34</v>
      </c>
      <c r="Q3" s="256"/>
      <c r="R3" s="257"/>
      <c r="S3" s="257"/>
      <c r="T3" s="257"/>
      <c r="U3" s="258" t="s">
        <v>35</v>
      </c>
      <c r="V3" s="258"/>
      <c r="W3" s="259"/>
      <c r="X3" s="45"/>
      <c r="Y3" s="45"/>
      <c r="Z3" s="155">
        <v>2</v>
      </c>
      <c r="AA3" s="41"/>
      <c r="AB3" s="263" t="s">
        <v>36</v>
      </c>
      <c r="AC3" s="263"/>
      <c r="AD3" s="263"/>
      <c r="AE3" s="263"/>
      <c r="AF3" s="263"/>
      <c r="AG3" s="264"/>
      <c r="AH3" s="45"/>
      <c r="AI3" s="45"/>
      <c r="AJ3" s="46"/>
      <c r="AK3" s="46"/>
      <c r="AL3" s="85"/>
      <c r="AM3" s="46"/>
    </row>
    <row r="4" spans="1:39" ht="18.75" customHeight="1" x14ac:dyDescent="0.2">
      <c r="J4" s="44"/>
      <c r="K4" s="44"/>
      <c r="L4" s="45"/>
      <c r="M4" s="45"/>
      <c r="N4" s="45"/>
      <c r="O4" s="45"/>
      <c r="P4" s="256" t="s">
        <v>30</v>
      </c>
      <c r="Q4" s="256"/>
      <c r="R4" s="257"/>
      <c r="S4" s="257"/>
      <c r="T4" s="257"/>
      <c r="U4" s="265" t="s">
        <v>127</v>
      </c>
      <c r="V4" s="265"/>
      <c r="W4" s="266"/>
      <c r="X4" s="45"/>
      <c r="Y4" s="45"/>
      <c r="Z4" s="156">
        <v>3</v>
      </c>
      <c r="AA4" s="42"/>
      <c r="AB4" s="267" t="s">
        <v>37</v>
      </c>
      <c r="AC4" s="267"/>
      <c r="AD4" s="267"/>
      <c r="AE4" s="267"/>
      <c r="AF4" s="267"/>
      <c r="AG4" s="268"/>
      <c r="AH4" s="45"/>
      <c r="AI4" s="45"/>
      <c r="AJ4" s="46"/>
      <c r="AK4" s="46"/>
      <c r="AL4" s="85"/>
      <c r="AM4" s="46"/>
    </row>
    <row r="5" spans="1:39" x14ac:dyDescent="0.2">
      <c r="A5" s="157" t="s">
        <v>121</v>
      </c>
      <c r="B5" s="158" t="s">
        <v>122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86"/>
      <c r="AM5" s="45"/>
    </row>
    <row r="6" spans="1:39" ht="28.5" customHeight="1" x14ac:dyDescent="0.2">
      <c r="A6" s="240" t="s">
        <v>20</v>
      </c>
      <c r="B6" s="247" t="s">
        <v>21</v>
      </c>
      <c r="C6" s="247" t="s">
        <v>22</v>
      </c>
      <c r="D6" s="247" t="s">
        <v>23</v>
      </c>
      <c r="E6" s="250" t="s">
        <v>24</v>
      </c>
      <c r="F6" s="253" t="s">
        <v>25</v>
      </c>
      <c r="H6" s="260" t="s">
        <v>26</v>
      </c>
      <c r="J6" s="128" t="s">
        <v>38</v>
      </c>
      <c r="K6" s="129" t="s">
        <v>39</v>
      </c>
      <c r="L6" s="219" t="s">
        <v>40</v>
      </c>
      <c r="M6" s="219"/>
      <c r="N6" s="216" t="s">
        <v>41</v>
      </c>
      <c r="O6" s="45"/>
      <c r="P6" s="220" t="s">
        <v>42</v>
      </c>
      <c r="Q6" s="221"/>
      <c r="R6" s="221"/>
      <c r="S6" s="221"/>
      <c r="T6" s="221"/>
      <c r="U6" s="221"/>
      <c r="V6" s="221"/>
      <c r="W6" s="219" t="s">
        <v>43</v>
      </c>
      <c r="X6" s="216" t="s">
        <v>44</v>
      </c>
      <c r="Y6" s="45"/>
      <c r="Z6" s="232" t="s">
        <v>130</v>
      </c>
      <c r="AA6" s="233"/>
      <c r="AB6" s="234"/>
      <c r="AC6" s="234"/>
      <c r="AD6" s="233"/>
      <c r="AE6" s="233"/>
      <c r="AF6" s="233"/>
      <c r="AG6" s="235"/>
      <c r="AH6" s="45"/>
      <c r="AI6" s="230" t="s">
        <v>45</v>
      </c>
      <c r="AJ6" s="45"/>
      <c r="AK6" s="230" t="s">
        <v>46</v>
      </c>
      <c r="AL6" s="86"/>
      <c r="AM6" s="230" t="s">
        <v>47</v>
      </c>
    </row>
    <row r="7" spans="1:39" ht="26.25" customHeight="1" x14ac:dyDescent="0.2">
      <c r="A7" s="241"/>
      <c r="B7" s="248"/>
      <c r="C7" s="248"/>
      <c r="D7" s="248"/>
      <c r="E7" s="251"/>
      <c r="F7" s="254"/>
      <c r="H7" s="261"/>
      <c r="J7" s="228" t="str">
        <f>+OBJECTIFS!E5</f>
        <v>CA</v>
      </c>
      <c r="K7" s="209" t="str">
        <f>+OBJECTIFS!H5</f>
        <v>Note qualité</v>
      </c>
      <c r="L7" s="212" t="s">
        <v>49</v>
      </c>
      <c r="M7" s="212"/>
      <c r="N7" s="217"/>
      <c r="O7" s="45"/>
      <c r="P7" s="228" t="s">
        <v>80</v>
      </c>
      <c r="Q7" s="209" t="s">
        <v>50</v>
      </c>
      <c r="R7" s="209" t="s">
        <v>51</v>
      </c>
      <c r="S7" s="209" t="s">
        <v>52</v>
      </c>
      <c r="T7" s="209" t="s">
        <v>53</v>
      </c>
      <c r="U7" s="209" t="s">
        <v>54</v>
      </c>
      <c r="V7" s="209" t="s">
        <v>55</v>
      </c>
      <c r="W7" s="222"/>
      <c r="X7" s="217"/>
      <c r="Y7" s="45"/>
      <c r="Z7" s="236" t="s">
        <v>81</v>
      </c>
      <c r="AA7" s="130"/>
      <c r="AB7" s="224" t="s">
        <v>131</v>
      </c>
      <c r="AC7" s="225" t="s">
        <v>132</v>
      </c>
      <c r="AD7" s="130"/>
      <c r="AE7" s="226" t="str">
        <f>+IF(OBJECTIFS!G68="","BONUS 3",OBJECTIFS!G68)</f>
        <v>BONUS 3</v>
      </c>
      <c r="AF7" s="214" t="str">
        <f>+IF(OBJECTIFS!G69="","BONUS 4",OBJECTIFS!G69)</f>
        <v>BONUS 4</v>
      </c>
      <c r="AG7" s="214" t="s">
        <v>112</v>
      </c>
      <c r="AH7" s="45"/>
      <c r="AI7" s="231"/>
      <c r="AJ7" s="45"/>
      <c r="AK7" s="231"/>
      <c r="AL7" s="86"/>
      <c r="AM7" s="231"/>
    </row>
    <row r="8" spans="1:39" x14ac:dyDescent="0.2">
      <c r="A8" s="242"/>
      <c r="B8" s="249"/>
      <c r="C8" s="249"/>
      <c r="D8" s="249"/>
      <c r="E8" s="252"/>
      <c r="F8" s="255"/>
      <c r="H8" s="262"/>
      <c r="J8" s="229"/>
      <c r="K8" s="210"/>
      <c r="L8" s="213"/>
      <c r="M8" s="213"/>
      <c r="N8" s="218"/>
      <c r="O8" s="45"/>
      <c r="P8" s="229"/>
      <c r="Q8" s="210"/>
      <c r="R8" s="210"/>
      <c r="S8" s="210"/>
      <c r="T8" s="210"/>
      <c r="U8" s="210"/>
      <c r="V8" s="210"/>
      <c r="W8" s="223"/>
      <c r="X8" s="218"/>
      <c r="Y8" s="45"/>
      <c r="Z8" s="236"/>
      <c r="AA8" s="84"/>
      <c r="AB8" s="224"/>
      <c r="AC8" s="225"/>
      <c r="AD8" s="84"/>
      <c r="AE8" s="227"/>
      <c r="AF8" s="215"/>
      <c r="AG8" s="215"/>
      <c r="AH8" s="45"/>
      <c r="AI8" s="231"/>
      <c r="AJ8" s="45"/>
      <c r="AK8" s="231"/>
      <c r="AL8" s="86"/>
      <c r="AM8" s="231"/>
    </row>
    <row r="9" spans="1:39" x14ac:dyDescent="0.2">
      <c r="A9" s="99"/>
      <c r="B9" s="100"/>
      <c r="C9" s="100"/>
      <c r="D9" s="101"/>
      <c r="E9" s="102"/>
      <c r="F9" s="103"/>
      <c r="H9" s="114" t="str">
        <f>IFERROR(IF(OR(D9="",F9="",A9=""),"",IF(AND(E9="non",J9&lt;165000),LOOKUP(J9,OBJECTIFS!$E$277:$E$398,OBJECTIFS!$F$277:$F$398),(((J9*3%)*10%)*10.25))),0)</f>
        <v/>
      </c>
      <c r="J9" s="88"/>
      <c r="K9" s="89"/>
      <c r="L9" s="211"/>
      <c r="M9" s="211"/>
      <c r="N9" s="90">
        <f>IF(A9="",0,IF(K9="",0,IF(L9&gt;=1,0,IF(K9&lt;75%,100-(100*15%),IF(K9&lt;80%,100-(100*10%),IF(K9&lt;85%,100-(100*5%),100))))))</f>
        <v>0</v>
      </c>
      <c r="O9" s="45"/>
      <c r="P9" s="115"/>
      <c r="Q9" s="102"/>
      <c r="R9" s="102"/>
      <c r="S9" s="102"/>
      <c r="T9" s="102"/>
      <c r="U9" s="116">
        <f>SUM(S9:T9,Q9)</f>
        <v>0</v>
      </c>
      <c r="V9" s="117">
        <v>22</v>
      </c>
      <c r="W9" s="118">
        <f>IFERROR(IF(IF(OR(Q9&gt;=2,R9&gt;=8,AND(Q9=1,R9&gt;=4)),0,IF(OR(AND(Q9=1,R9&lt;4),AND(Q9=0,R9&gt;=4,R9&lt;8)),50%,100%))*(V9-(U9))/V9=0,-100%,IF(OR(Q9&gt;=2,R9&gt;=8,AND(Q9=1,R9&gt;=4)),0,IF(OR(AND(Q9=1,R9&lt;4),AND(Q9=0,R9&gt;=4,R9&lt;8)),50%,100%))*(V9-(U9))/V9-1),"")</f>
        <v>0</v>
      </c>
      <c r="X9" s="119" t="str">
        <f t="shared" ref="X9:X40" si="0">IFERROR((H9*N9/100)*(1+W9),"")</f>
        <v/>
      </c>
      <c r="Y9" s="48"/>
      <c r="Z9" s="131">
        <f>IFERROR(VLOOKUP(B9,OBJECTIFS!$C$76:$E$137,2,FALSE),0)</f>
        <v>0</v>
      </c>
      <c r="AA9" s="81"/>
      <c r="AB9" s="133">
        <f>IFERROR(VLOOKUP(B9,OBJECTIFS!$H$76:$J$137,2,FALSE),0)</f>
        <v>0</v>
      </c>
      <c r="AC9" s="134">
        <f>IF($B$5="interne",AB9/191*P9,AB9/176*P9)</f>
        <v>0</v>
      </c>
      <c r="AD9" s="137"/>
      <c r="AE9" s="133">
        <f>IFERROR(VLOOKUP(B9,OBJECTIFS!$C$142:$E$203,2,FALSE),0)</f>
        <v>0</v>
      </c>
      <c r="AF9" s="140">
        <f>IFERROR(VLOOKUP(B9,OBJECTIFS!$H$142:$J$203,2,FALSE),0)</f>
        <v>0</v>
      </c>
      <c r="AG9" s="140">
        <f>IFERROR(VLOOKUP(B9,OBJECTIFS!$F$208:$H$269,3,FALSE),0)</f>
        <v>0</v>
      </c>
      <c r="AH9" s="48"/>
      <c r="AI9" s="142">
        <f>IFERROR(SUM(AE9:AG9,AC9,Z9,X9),"")</f>
        <v>0</v>
      </c>
      <c r="AJ9" s="45"/>
      <c r="AK9" s="144">
        <f t="shared" ref="AK9:AK40" si="1">IFERROR(IF(OR(Q9&gt;=2,R9&gt;=8,AND(Q9=1,R9&gt;=4)),0,IF(OR(AND(Q9=1,R9&lt;4),AND(Q9=0,R9&gt;=4,R9&lt;8)),0.5,1))*N9*(V9-U9)/V9,"")</f>
        <v>0</v>
      </c>
      <c r="AL9" s="85" t="str">
        <f t="shared" ref="AL9:AL78" si="2">IF(AM9="","","è")</f>
        <v/>
      </c>
      <c r="AM9" s="146" t="str">
        <f>IF(AK9=0,"",IF(AK9&gt;=MAX($AK$9:$AK$79),A9,""))</f>
        <v/>
      </c>
    </row>
    <row r="10" spans="1:39" x14ac:dyDescent="0.2">
      <c r="A10" s="104"/>
      <c r="B10" s="105"/>
      <c r="C10" s="105"/>
      <c r="D10" s="106"/>
      <c r="E10" s="107"/>
      <c r="F10" s="108"/>
      <c r="H10" s="97" t="str">
        <f>IFERROR(IF(OR(D10="",F10="",A10=""),"",IF(AND(E10="non",J10&lt;165000),LOOKUP(J10,OBJECTIFS!$E$277:$E$398,OBJECTIFS!$F$277:$F$398),(((J10*3%)*10%)*10.25))),0)</f>
        <v/>
      </c>
      <c r="J10" s="91"/>
      <c r="K10" s="92"/>
      <c r="L10" s="194"/>
      <c r="M10" s="194"/>
      <c r="N10" s="93">
        <f t="shared" ref="N10:N73" si="3">IF(A10="",0,IF(K10="",0,IF(L10&gt;=1,0,IF(K10&lt;75%,100-(100*15%),IF(K10&lt;80%,100-(100*10%),IF(K10&lt;85%,100-(100*5%),100))))))</f>
        <v>0</v>
      </c>
      <c r="O10" s="45"/>
      <c r="P10" s="120"/>
      <c r="Q10" s="107"/>
      <c r="R10" s="107"/>
      <c r="S10" s="107"/>
      <c r="T10" s="107"/>
      <c r="U10" s="121">
        <f t="shared" ref="U10:U79" si="4">SUM(S10:T10,Q10)</f>
        <v>0</v>
      </c>
      <c r="V10" s="121">
        <f>V9</f>
        <v>22</v>
      </c>
      <c r="W10" s="122">
        <f t="shared" ref="W10:W73" si="5">IFERROR(IF(IF(OR(Q10&gt;=2,R10&gt;=8,AND(Q10=1,R10&gt;=4)),0,IF(OR(AND(Q10=1,R10&lt;4),AND(Q10=0,R10&gt;=4,R10&lt;8)),50%,100%))*(V10-(U10))/V10=0,-100%,IF(OR(Q10&gt;=2,R10&gt;=8,AND(Q10=1,R10&gt;=4)),0,IF(OR(AND(Q10=1,R10&lt;4),AND(Q10=0,R10&gt;=4,R10&lt;8)),50%,100%))*(V10-(U10))/V10-1),"")</f>
        <v>0</v>
      </c>
      <c r="X10" s="123" t="str">
        <f t="shared" si="0"/>
        <v/>
      </c>
      <c r="Y10" s="48"/>
      <c r="Z10" s="131">
        <f>IFERROR(VLOOKUP(B10,OBJECTIFS!$C$76:$E$137,2,FALSE),0)</f>
        <v>0</v>
      </c>
      <c r="AA10" s="82"/>
      <c r="AB10" s="133">
        <f>IFERROR(VLOOKUP(B10,OBJECTIFS!$H$76:$J$137,2,FALSE),0)</f>
        <v>0</v>
      </c>
      <c r="AC10" s="134">
        <f t="shared" ref="AC10:AC73" si="6">IF($B$5="interne",AB10/191*P10,AB10/176*P10)</f>
        <v>0</v>
      </c>
      <c r="AD10" s="138"/>
      <c r="AE10" s="133">
        <f>IFERROR(VLOOKUP(B10,OBJECTIFS!$C$142:$E$203,2,FALSE),0)</f>
        <v>0</v>
      </c>
      <c r="AF10" s="140">
        <f>IFERROR(VLOOKUP(B10,OBJECTIFS!$H$142:$J$203,2,FALSE),0)</f>
        <v>0</v>
      </c>
      <c r="AG10" s="140">
        <f>IFERROR(VLOOKUP(B10,OBJECTIFS!$F$208:$H$269,3,FALSE),0)</f>
        <v>0</v>
      </c>
      <c r="AH10" s="48"/>
      <c r="AI10" s="142">
        <f t="shared" ref="AI10:AI73" si="7">IFERROR(SUM(AE10:AG10,AC10,Z10,X10),"")</f>
        <v>0</v>
      </c>
      <c r="AJ10" s="45"/>
      <c r="AK10" s="144">
        <f t="shared" si="1"/>
        <v>0</v>
      </c>
      <c r="AL10" s="85" t="str">
        <f t="shared" si="2"/>
        <v/>
      </c>
      <c r="AM10" s="146" t="str">
        <f>IF(AK10=0,"",IF(AK10&gt;=MAX($AK$9:$AK$79),A10,""))</f>
        <v/>
      </c>
    </row>
    <row r="11" spans="1:39" x14ac:dyDescent="0.2">
      <c r="A11" s="104"/>
      <c r="B11" s="105"/>
      <c r="C11" s="105"/>
      <c r="D11" s="106"/>
      <c r="E11" s="107"/>
      <c r="F11" s="108"/>
      <c r="H11" s="97" t="str">
        <f>IFERROR(IF(OR(D11="",F11="",A11=""),"",IF(AND(E11="non",J11&lt;165000),LOOKUP(J11,OBJECTIFS!$E$277:$E$398,OBJECTIFS!$F$277:$F$398),(((J11*3%)*10%)*10.25))),0)</f>
        <v/>
      </c>
      <c r="J11" s="91"/>
      <c r="K11" s="92"/>
      <c r="L11" s="194"/>
      <c r="M11" s="194"/>
      <c r="N11" s="93">
        <f t="shared" si="3"/>
        <v>0</v>
      </c>
      <c r="O11" s="45"/>
      <c r="P11" s="120"/>
      <c r="Q11" s="107"/>
      <c r="R11" s="107"/>
      <c r="S11" s="107"/>
      <c r="T11" s="107"/>
      <c r="U11" s="121">
        <f t="shared" si="4"/>
        <v>0</v>
      </c>
      <c r="V11" s="121">
        <f t="shared" ref="V11:V79" si="8">V10</f>
        <v>22</v>
      </c>
      <c r="W11" s="122">
        <f t="shared" si="5"/>
        <v>0</v>
      </c>
      <c r="X11" s="123" t="str">
        <f t="shared" si="0"/>
        <v/>
      </c>
      <c r="Y11" s="48"/>
      <c r="Z11" s="131">
        <f>IFERROR(VLOOKUP(B11,OBJECTIFS!$C$76:$E$137,2,FALSE),0)</f>
        <v>0</v>
      </c>
      <c r="AA11" s="82"/>
      <c r="AB11" s="133">
        <f>IFERROR(VLOOKUP(B11,OBJECTIFS!$H$76:$J$137,2,FALSE),0)</f>
        <v>0</v>
      </c>
      <c r="AC11" s="134">
        <f t="shared" si="6"/>
        <v>0</v>
      </c>
      <c r="AD11" s="138"/>
      <c r="AE11" s="133">
        <f>IFERROR(VLOOKUP(B11,OBJECTIFS!$C$142:$E$203,2,FALSE),0)</f>
        <v>0</v>
      </c>
      <c r="AF11" s="140">
        <f>IFERROR(VLOOKUP(B11,OBJECTIFS!$H$142:$J$203,2,FALSE),0)</f>
        <v>0</v>
      </c>
      <c r="AG11" s="140">
        <f>IFERROR(VLOOKUP(B11,OBJECTIFS!$F$208:$H$269,3,FALSE),0)</f>
        <v>0</v>
      </c>
      <c r="AH11" s="48"/>
      <c r="AI11" s="142">
        <f t="shared" si="7"/>
        <v>0</v>
      </c>
      <c r="AJ11" s="45"/>
      <c r="AK11" s="144">
        <f t="shared" si="1"/>
        <v>0</v>
      </c>
      <c r="AL11" s="85" t="str">
        <f t="shared" si="2"/>
        <v/>
      </c>
      <c r="AM11" s="146" t="str">
        <f t="shared" ref="AM11:AM42" si="9">IF(AK11=0,"",IF(AK11&gt;=MAX($AK$9:$AK$78),A11,""))</f>
        <v/>
      </c>
    </row>
    <row r="12" spans="1:39" x14ac:dyDescent="0.2">
      <c r="A12" s="104"/>
      <c r="B12" s="105"/>
      <c r="C12" s="105"/>
      <c r="D12" s="106"/>
      <c r="E12" s="107"/>
      <c r="F12" s="108"/>
      <c r="H12" s="97" t="str">
        <f>IFERROR(IF(OR(D12="",F12="",A12=""),"",IF(AND(E12="non",J12&lt;165000),LOOKUP(J12,OBJECTIFS!$E$277:$E$398,OBJECTIFS!$F$277:$F$398),(((J12*3%)*10%)*10.25))),0)</f>
        <v/>
      </c>
      <c r="J12" s="91"/>
      <c r="K12" s="92"/>
      <c r="L12" s="194"/>
      <c r="M12" s="194"/>
      <c r="N12" s="93">
        <f t="shared" si="3"/>
        <v>0</v>
      </c>
      <c r="O12" s="45"/>
      <c r="P12" s="120"/>
      <c r="Q12" s="107"/>
      <c r="R12" s="107"/>
      <c r="S12" s="107"/>
      <c r="T12" s="107"/>
      <c r="U12" s="121">
        <f t="shared" si="4"/>
        <v>0</v>
      </c>
      <c r="V12" s="121">
        <f t="shared" si="8"/>
        <v>22</v>
      </c>
      <c r="W12" s="122">
        <f t="shared" si="5"/>
        <v>0</v>
      </c>
      <c r="X12" s="123" t="str">
        <f t="shared" si="0"/>
        <v/>
      </c>
      <c r="Y12" s="48"/>
      <c r="Z12" s="131">
        <f>IFERROR(VLOOKUP(B12,OBJECTIFS!$C$76:$E$137,2,FALSE),0)</f>
        <v>0</v>
      </c>
      <c r="AA12" s="82"/>
      <c r="AB12" s="133">
        <f>IFERROR(VLOOKUP(B12,OBJECTIFS!$H$76:$J$137,2,FALSE),0)</f>
        <v>0</v>
      </c>
      <c r="AC12" s="134">
        <f t="shared" si="6"/>
        <v>0</v>
      </c>
      <c r="AD12" s="138"/>
      <c r="AE12" s="133">
        <f>IFERROR(VLOOKUP(B12,OBJECTIFS!$C$142:$E$203,2,FALSE),0)</f>
        <v>0</v>
      </c>
      <c r="AF12" s="140">
        <f>IFERROR(VLOOKUP(B12,OBJECTIFS!$H$142:$J$203,2,FALSE),0)</f>
        <v>0</v>
      </c>
      <c r="AG12" s="140">
        <f>IFERROR(VLOOKUP(B12,OBJECTIFS!$F$208:$H$269,3,FALSE),0)</f>
        <v>0</v>
      </c>
      <c r="AH12" s="48"/>
      <c r="AI12" s="142">
        <f t="shared" si="7"/>
        <v>0</v>
      </c>
      <c r="AJ12" s="45"/>
      <c r="AK12" s="144">
        <f t="shared" si="1"/>
        <v>0</v>
      </c>
      <c r="AL12" s="85" t="str">
        <f t="shared" si="2"/>
        <v/>
      </c>
      <c r="AM12" s="146" t="str">
        <f t="shared" si="9"/>
        <v/>
      </c>
    </row>
    <row r="13" spans="1:39" x14ac:dyDescent="0.2">
      <c r="A13" s="104"/>
      <c r="B13" s="105"/>
      <c r="C13" s="105"/>
      <c r="D13" s="106"/>
      <c r="E13" s="107"/>
      <c r="F13" s="108"/>
      <c r="H13" s="97" t="str">
        <f>IFERROR(IF(OR(D13="",F13="",A13=""),"",IF(AND(E13="non",J13&lt;165000),LOOKUP(J13,OBJECTIFS!$E$277:$E$398,OBJECTIFS!$F$277:$F$398),(((J13*3%)*10%)*10.25))),0)</f>
        <v/>
      </c>
      <c r="J13" s="91"/>
      <c r="K13" s="92"/>
      <c r="L13" s="194"/>
      <c r="M13" s="194"/>
      <c r="N13" s="93">
        <f t="shared" si="3"/>
        <v>0</v>
      </c>
      <c r="O13" s="45"/>
      <c r="P13" s="120"/>
      <c r="Q13" s="107"/>
      <c r="R13" s="107"/>
      <c r="S13" s="107"/>
      <c r="T13" s="107"/>
      <c r="U13" s="121">
        <f t="shared" si="4"/>
        <v>0</v>
      </c>
      <c r="V13" s="121">
        <f t="shared" si="8"/>
        <v>22</v>
      </c>
      <c r="W13" s="122">
        <f t="shared" si="5"/>
        <v>0</v>
      </c>
      <c r="X13" s="123" t="str">
        <f t="shared" si="0"/>
        <v/>
      </c>
      <c r="Y13" s="48"/>
      <c r="Z13" s="131">
        <f>IFERROR(VLOOKUP(B13,OBJECTIFS!$C$76:$E$137,2,FALSE),0)</f>
        <v>0</v>
      </c>
      <c r="AA13" s="82"/>
      <c r="AB13" s="133">
        <f>IFERROR(VLOOKUP(B13,OBJECTIFS!$H$76:$J$137,2,FALSE),0)</f>
        <v>0</v>
      </c>
      <c r="AC13" s="134">
        <f t="shared" si="6"/>
        <v>0</v>
      </c>
      <c r="AD13" s="138"/>
      <c r="AE13" s="133">
        <f>IFERROR(VLOOKUP(B13,OBJECTIFS!$C$142:$E$203,2,FALSE),0)</f>
        <v>0</v>
      </c>
      <c r="AF13" s="140">
        <f>IFERROR(VLOOKUP(B13,OBJECTIFS!$H$142:$J$203,2,FALSE),0)</f>
        <v>0</v>
      </c>
      <c r="AG13" s="140">
        <f>IFERROR(VLOOKUP(B13,OBJECTIFS!$F$208:$H$269,3,FALSE),0)</f>
        <v>0</v>
      </c>
      <c r="AH13" s="48"/>
      <c r="AI13" s="142">
        <f t="shared" si="7"/>
        <v>0</v>
      </c>
      <c r="AJ13" s="45"/>
      <c r="AK13" s="144">
        <f t="shared" si="1"/>
        <v>0</v>
      </c>
      <c r="AL13" s="85" t="str">
        <f t="shared" si="2"/>
        <v/>
      </c>
      <c r="AM13" s="146" t="str">
        <f t="shared" si="9"/>
        <v/>
      </c>
    </row>
    <row r="14" spans="1:39" x14ac:dyDescent="0.2">
      <c r="A14" s="104"/>
      <c r="B14" s="105"/>
      <c r="C14" s="105"/>
      <c r="D14" s="106"/>
      <c r="E14" s="107"/>
      <c r="F14" s="108"/>
      <c r="H14" s="97" t="str">
        <f>IFERROR(IF(OR(D14="",F14="",A14=""),"",IF(AND(E14="non",J14&lt;165000),LOOKUP(J14,OBJECTIFS!$E$277:$E$398,OBJECTIFS!$F$277:$F$398),(((J14*3%)*10%)*10.25))),0)</f>
        <v/>
      </c>
      <c r="J14" s="91"/>
      <c r="K14" s="92"/>
      <c r="L14" s="194"/>
      <c r="M14" s="194"/>
      <c r="N14" s="93">
        <f t="shared" si="3"/>
        <v>0</v>
      </c>
      <c r="O14" s="45"/>
      <c r="P14" s="120"/>
      <c r="Q14" s="107"/>
      <c r="R14" s="107"/>
      <c r="S14" s="107"/>
      <c r="T14" s="107"/>
      <c r="U14" s="121">
        <f t="shared" si="4"/>
        <v>0</v>
      </c>
      <c r="V14" s="121">
        <f t="shared" si="8"/>
        <v>22</v>
      </c>
      <c r="W14" s="122">
        <f t="shared" si="5"/>
        <v>0</v>
      </c>
      <c r="X14" s="123" t="str">
        <f t="shared" si="0"/>
        <v/>
      </c>
      <c r="Y14" s="48"/>
      <c r="Z14" s="131">
        <f>IFERROR(VLOOKUP(B14,OBJECTIFS!$C$76:$E$137,2,FALSE),0)</f>
        <v>0</v>
      </c>
      <c r="AA14" s="82"/>
      <c r="AB14" s="133">
        <f>IFERROR(VLOOKUP(B14,OBJECTIFS!$H$76:$J$137,2,FALSE),0)</f>
        <v>0</v>
      </c>
      <c r="AC14" s="134">
        <f t="shared" si="6"/>
        <v>0</v>
      </c>
      <c r="AD14" s="138"/>
      <c r="AE14" s="133">
        <f>IFERROR(VLOOKUP(B14,OBJECTIFS!$C$142:$E$203,2,FALSE),0)</f>
        <v>0</v>
      </c>
      <c r="AF14" s="140">
        <f>IFERROR(VLOOKUP(B14,OBJECTIFS!$H$142:$J$203,2,FALSE),0)</f>
        <v>0</v>
      </c>
      <c r="AG14" s="140">
        <f>IFERROR(VLOOKUP(B14,OBJECTIFS!$F$208:$H$269,3,FALSE),0)</f>
        <v>0</v>
      </c>
      <c r="AH14" s="48"/>
      <c r="AI14" s="142">
        <f t="shared" si="7"/>
        <v>0</v>
      </c>
      <c r="AJ14" s="45"/>
      <c r="AK14" s="144">
        <f t="shared" si="1"/>
        <v>0</v>
      </c>
      <c r="AL14" s="85" t="str">
        <f t="shared" si="2"/>
        <v/>
      </c>
      <c r="AM14" s="146" t="str">
        <f t="shared" si="9"/>
        <v/>
      </c>
    </row>
    <row r="15" spans="1:39" x14ac:dyDescent="0.2">
      <c r="A15" s="104"/>
      <c r="B15" s="105"/>
      <c r="C15" s="105"/>
      <c r="D15" s="106"/>
      <c r="E15" s="107"/>
      <c r="F15" s="108"/>
      <c r="H15" s="97" t="str">
        <f>IFERROR(IF(OR(D15="",F15="",A15=""),"",IF(AND(E15="non",J15&lt;165000),LOOKUP(J15,OBJECTIFS!$E$277:$E$398,OBJECTIFS!$F$277:$F$398),(((J15*3%)*10%)*10.25))),0)</f>
        <v/>
      </c>
      <c r="J15" s="91"/>
      <c r="K15" s="92"/>
      <c r="L15" s="194"/>
      <c r="M15" s="194"/>
      <c r="N15" s="93">
        <f t="shared" si="3"/>
        <v>0</v>
      </c>
      <c r="O15" s="45"/>
      <c r="P15" s="120"/>
      <c r="Q15" s="107"/>
      <c r="R15" s="107"/>
      <c r="S15" s="107"/>
      <c r="T15" s="107"/>
      <c r="U15" s="121">
        <f t="shared" si="4"/>
        <v>0</v>
      </c>
      <c r="V15" s="121">
        <f t="shared" si="8"/>
        <v>22</v>
      </c>
      <c r="W15" s="122">
        <f t="shared" si="5"/>
        <v>0</v>
      </c>
      <c r="X15" s="123" t="str">
        <f t="shared" si="0"/>
        <v/>
      </c>
      <c r="Y15" s="48"/>
      <c r="Z15" s="131">
        <f>IFERROR(VLOOKUP(B15,OBJECTIFS!$C$76:$E$137,2,FALSE),0)</f>
        <v>0</v>
      </c>
      <c r="AA15" s="82"/>
      <c r="AB15" s="133">
        <f>IFERROR(VLOOKUP(B15,OBJECTIFS!$H$76:$J$137,2,FALSE),0)</f>
        <v>0</v>
      </c>
      <c r="AC15" s="134">
        <f t="shared" si="6"/>
        <v>0</v>
      </c>
      <c r="AD15" s="138"/>
      <c r="AE15" s="133">
        <f>IFERROR(VLOOKUP(B15,OBJECTIFS!$C$142:$E$203,2,FALSE),0)</f>
        <v>0</v>
      </c>
      <c r="AF15" s="140">
        <f>IFERROR(VLOOKUP(B15,OBJECTIFS!$H$142:$J$203,2,FALSE),0)</f>
        <v>0</v>
      </c>
      <c r="AG15" s="140">
        <f>IFERROR(VLOOKUP(B15,OBJECTIFS!$F$208:$H$269,3,FALSE),0)</f>
        <v>0</v>
      </c>
      <c r="AH15" s="48"/>
      <c r="AI15" s="142">
        <f t="shared" si="7"/>
        <v>0</v>
      </c>
      <c r="AJ15" s="45"/>
      <c r="AK15" s="144">
        <f t="shared" si="1"/>
        <v>0</v>
      </c>
      <c r="AL15" s="85" t="str">
        <f t="shared" si="2"/>
        <v/>
      </c>
      <c r="AM15" s="146" t="str">
        <f t="shared" si="9"/>
        <v/>
      </c>
    </row>
    <row r="16" spans="1:39" x14ac:dyDescent="0.2">
      <c r="A16" s="104"/>
      <c r="B16" s="105"/>
      <c r="C16" s="105"/>
      <c r="D16" s="106"/>
      <c r="E16" s="107"/>
      <c r="F16" s="108"/>
      <c r="H16" s="97" t="str">
        <f>IFERROR(IF(OR(D16="",F16="",A16=""),"",IF(AND(E16="non",J16&lt;165000),LOOKUP(J16,OBJECTIFS!$E$277:$E$398,OBJECTIFS!$F$277:$F$398),(((J16*3%)*10%)*10.25))),0)</f>
        <v/>
      </c>
      <c r="J16" s="91"/>
      <c r="K16" s="92"/>
      <c r="L16" s="194"/>
      <c r="M16" s="194"/>
      <c r="N16" s="93">
        <f t="shared" si="3"/>
        <v>0</v>
      </c>
      <c r="O16" s="45"/>
      <c r="P16" s="120"/>
      <c r="Q16" s="107"/>
      <c r="R16" s="107"/>
      <c r="S16" s="107"/>
      <c r="T16" s="107"/>
      <c r="U16" s="121">
        <f t="shared" si="4"/>
        <v>0</v>
      </c>
      <c r="V16" s="121">
        <f t="shared" si="8"/>
        <v>22</v>
      </c>
      <c r="W16" s="122">
        <f t="shared" si="5"/>
        <v>0</v>
      </c>
      <c r="X16" s="123" t="str">
        <f t="shared" si="0"/>
        <v/>
      </c>
      <c r="Y16" s="48"/>
      <c r="Z16" s="131">
        <f>IFERROR(VLOOKUP(B16,OBJECTIFS!$C$76:$E$137,2,FALSE),0)</f>
        <v>0</v>
      </c>
      <c r="AA16" s="82"/>
      <c r="AB16" s="133">
        <f>IFERROR(VLOOKUP(B16,OBJECTIFS!$H$76:$J$137,2,FALSE),0)</f>
        <v>0</v>
      </c>
      <c r="AC16" s="134">
        <f t="shared" si="6"/>
        <v>0</v>
      </c>
      <c r="AD16" s="138"/>
      <c r="AE16" s="133">
        <f>IFERROR(VLOOKUP(B16,OBJECTIFS!$C$142:$E$203,2,FALSE),0)</f>
        <v>0</v>
      </c>
      <c r="AF16" s="140">
        <f>IFERROR(VLOOKUP(B16,OBJECTIFS!$H$142:$J$203,2,FALSE),0)</f>
        <v>0</v>
      </c>
      <c r="AG16" s="140">
        <f>IFERROR(VLOOKUP(B16,OBJECTIFS!$F$208:$H$269,3,FALSE),0)</f>
        <v>0</v>
      </c>
      <c r="AH16" s="48"/>
      <c r="AI16" s="142">
        <f t="shared" si="7"/>
        <v>0</v>
      </c>
      <c r="AJ16" s="45"/>
      <c r="AK16" s="144">
        <f t="shared" si="1"/>
        <v>0</v>
      </c>
      <c r="AL16" s="85" t="str">
        <f t="shared" si="2"/>
        <v/>
      </c>
      <c r="AM16" s="146" t="str">
        <f t="shared" si="9"/>
        <v/>
      </c>
    </row>
    <row r="17" spans="1:39" x14ac:dyDescent="0.2">
      <c r="A17" s="104"/>
      <c r="B17" s="105"/>
      <c r="C17" s="105"/>
      <c r="D17" s="106"/>
      <c r="E17" s="107"/>
      <c r="F17" s="108"/>
      <c r="H17" s="97" t="str">
        <f>IFERROR(IF(OR(D17="",F17="",A17=""),"",IF(AND(E17="non",J17&lt;165000),LOOKUP(J17,OBJECTIFS!$E$277:$E$398,OBJECTIFS!$F$277:$F$398),(((J17*3%)*10%)*10.25))),0)</f>
        <v/>
      </c>
      <c r="J17" s="91"/>
      <c r="K17" s="92"/>
      <c r="L17" s="194"/>
      <c r="M17" s="194"/>
      <c r="N17" s="93">
        <f t="shared" si="3"/>
        <v>0</v>
      </c>
      <c r="O17" s="45"/>
      <c r="P17" s="120"/>
      <c r="Q17" s="107"/>
      <c r="R17" s="107"/>
      <c r="S17" s="107"/>
      <c r="T17" s="107"/>
      <c r="U17" s="121">
        <f t="shared" si="4"/>
        <v>0</v>
      </c>
      <c r="V17" s="121">
        <f t="shared" si="8"/>
        <v>22</v>
      </c>
      <c r="W17" s="122">
        <f t="shared" si="5"/>
        <v>0</v>
      </c>
      <c r="X17" s="123" t="str">
        <f t="shared" si="0"/>
        <v/>
      </c>
      <c r="Y17" s="48"/>
      <c r="Z17" s="131">
        <f>IFERROR(VLOOKUP(B17,OBJECTIFS!$C$76:$E$137,2,FALSE),0)</f>
        <v>0</v>
      </c>
      <c r="AA17" s="82"/>
      <c r="AB17" s="133">
        <f>IFERROR(VLOOKUP(B17,OBJECTIFS!$H$76:$J$137,2,FALSE),0)</f>
        <v>0</v>
      </c>
      <c r="AC17" s="134">
        <f t="shared" si="6"/>
        <v>0</v>
      </c>
      <c r="AD17" s="138"/>
      <c r="AE17" s="133">
        <f>IFERROR(VLOOKUP(B17,OBJECTIFS!$C$142:$E$203,2,FALSE),0)</f>
        <v>0</v>
      </c>
      <c r="AF17" s="140">
        <f>IFERROR(VLOOKUP(B17,OBJECTIFS!$H$142:$J$203,2,FALSE),0)</f>
        <v>0</v>
      </c>
      <c r="AG17" s="140">
        <f>IFERROR(VLOOKUP(B17,OBJECTIFS!$F$208:$H$269,3,FALSE),0)</f>
        <v>0</v>
      </c>
      <c r="AH17" s="48"/>
      <c r="AI17" s="142">
        <f t="shared" si="7"/>
        <v>0</v>
      </c>
      <c r="AJ17" s="45"/>
      <c r="AK17" s="144">
        <f t="shared" si="1"/>
        <v>0</v>
      </c>
      <c r="AL17" s="85" t="str">
        <f t="shared" si="2"/>
        <v/>
      </c>
      <c r="AM17" s="146" t="str">
        <f t="shared" si="9"/>
        <v/>
      </c>
    </row>
    <row r="18" spans="1:39" x14ac:dyDescent="0.2">
      <c r="A18" s="104"/>
      <c r="B18" s="105"/>
      <c r="C18" s="105"/>
      <c r="D18" s="106"/>
      <c r="E18" s="107"/>
      <c r="F18" s="108"/>
      <c r="H18" s="97" t="str">
        <f>IFERROR(IF(OR(D18="",F18="",A18=""),"",IF(AND(E18="non",J18&lt;165000),LOOKUP(J18,OBJECTIFS!$E$277:$E$398,OBJECTIFS!$F$277:$F$398),(((J18*3%)*10%)*10.25))),0)</f>
        <v/>
      </c>
      <c r="J18" s="91"/>
      <c r="K18" s="92"/>
      <c r="L18" s="194"/>
      <c r="M18" s="194"/>
      <c r="N18" s="93">
        <f t="shared" si="3"/>
        <v>0</v>
      </c>
      <c r="O18" s="45"/>
      <c r="P18" s="120"/>
      <c r="Q18" s="107"/>
      <c r="R18" s="107"/>
      <c r="S18" s="107"/>
      <c r="T18" s="107"/>
      <c r="U18" s="121">
        <f t="shared" si="4"/>
        <v>0</v>
      </c>
      <c r="V18" s="121">
        <f t="shared" si="8"/>
        <v>22</v>
      </c>
      <c r="W18" s="122">
        <f t="shared" si="5"/>
        <v>0</v>
      </c>
      <c r="X18" s="123" t="str">
        <f t="shared" si="0"/>
        <v/>
      </c>
      <c r="Y18" s="48"/>
      <c r="Z18" s="131">
        <f>IFERROR(VLOOKUP(B18,OBJECTIFS!$C$76:$E$137,2,FALSE),0)</f>
        <v>0</v>
      </c>
      <c r="AA18" s="82"/>
      <c r="AB18" s="133">
        <f>IFERROR(VLOOKUP(B18,OBJECTIFS!$H$76:$J$137,2,FALSE),0)</f>
        <v>0</v>
      </c>
      <c r="AC18" s="134">
        <f t="shared" si="6"/>
        <v>0</v>
      </c>
      <c r="AD18" s="138"/>
      <c r="AE18" s="133">
        <f>IFERROR(VLOOKUP(B18,OBJECTIFS!$C$142:$E$203,2,FALSE),0)</f>
        <v>0</v>
      </c>
      <c r="AF18" s="140">
        <f>IFERROR(VLOOKUP(B18,OBJECTIFS!$H$142:$J$203,2,FALSE),0)</f>
        <v>0</v>
      </c>
      <c r="AG18" s="140">
        <f>IFERROR(VLOOKUP(B18,OBJECTIFS!$F$208:$H$269,3,FALSE),0)</f>
        <v>0</v>
      </c>
      <c r="AH18" s="48"/>
      <c r="AI18" s="142">
        <f t="shared" si="7"/>
        <v>0</v>
      </c>
      <c r="AJ18" s="45"/>
      <c r="AK18" s="144">
        <f t="shared" si="1"/>
        <v>0</v>
      </c>
      <c r="AL18" s="85" t="str">
        <f t="shared" si="2"/>
        <v/>
      </c>
      <c r="AM18" s="146" t="str">
        <f t="shared" si="9"/>
        <v/>
      </c>
    </row>
    <row r="19" spans="1:39" x14ac:dyDescent="0.2">
      <c r="A19" s="104"/>
      <c r="B19" s="105"/>
      <c r="C19" s="105"/>
      <c r="D19" s="106"/>
      <c r="E19" s="107"/>
      <c r="F19" s="108"/>
      <c r="H19" s="97" t="str">
        <f>IFERROR(IF(OR(D19="",F19="",A19=""),"",IF(AND(E19="non",J19&lt;165000),LOOKUP(J19,OBJECTIFS!$E$277:$E$398,OBJECTIFS!$F$277:$F$398),(((J19*3%)*10%)*10.25))),0)</f>
        <v/>
      </c>
      <c r="J19" s="91"/>
      <c r="K19" s="92"/>
      <c r="L19" s="194"/>
      <c r="M19" s="194"/>
      <c r="N19" s="93">
        <f t="shared" si="3"/>
        <v>0</v>
      </c>
      <c r="O19" s="45"/>
      <c r="P19" s="120"/>
      <c r="Q19" s="107"/>
      <c r="R19" s="107"/>
      <c r="S19" s="107"/>
      <c r="T19" s="107"/>
      <c r="U19" s="121">
        <f t="shared" si="4"/>
        <v>0</v>
      </c>
      <c r="V19" s="121">
        <f t="shared" si="8"/>
        <v>22</v>
      </c>
      <c r="W19" s="122">
        <f t="shared" si="5"/>
        <v>0</v>
      </c>
      <c r="X19" s="123" t="str">
        <f t="shared" si="0"/>
        <v/>
      </c>
      <c r="Y19" s="48"/>
      <c r="Z19" s="131">
        <f>IFERROR(VLOOKUP(B19,OBJECTIFS!$C$76:$E$137,2,FALSE),0)</f>
        <v>0</v>
      </c>
      <c r="AA19" s="82"/>
      <c r="AB19" s="133">
        <f>IFERROR(VLOOKUP(B19,OBJECTIFS!$H$76:$J$137,2,FALSE),0)</f>
        <v>0</v>
      </c>
      <c r="AC19" s="134">
        <f t="shared" si="6"/>
        <v>0</v>
      </c>
      <c r="AD19" s="138"/>
      <c r="AE19" s="133">
        <f>IFERROR(VLOOKUP(B19,OBJECTIFS!$C$142:$E$203,2,FALSE),0)</f>
        <v>0</v>
      </c>
      <c r="AF19" s="140">
        <f>IFERROR(VLOOKUP(B19,OBJECTIFS!$H$142:$J$203,2,FALSE),0)</f>
        <v>0</v>
      </c>
      <c r="AG19" s="140">
        <f>IFERROR(VLOOKUP(B19,OBJECTIFS!$F$208:$H$269,3,FALSE),0)</f>
        <v>0</v>
      </c>
      <c r="AH19" s="48"/>
      <c r="AI19" s="142">
        <f t="shared" si="7"/>
        <v>0</v>
      </c>
      <c r="AJ19" s="45"/>
      <c r="AK19" s="144">
        <f t="shared" si="1"/>
        <v>0</v>
      </c>
      <c r="AL19" s="85" t="str">
        <f t="shared" si="2"/>
        <v/>
      </c>
      <c r="AM19" s="146" t="str">
        <f t="shared" si="9"/>
        <v/>
      </c>
    </row>
    <row r="20" spans="1:39" x14ac:dyDescent="0.2">
      <c r="A20" s="104"/>
      <c r="B20" s="105"/>
      <c r="C20" s="105"/>
      <c r="D20" s="106"/>
      <c r="E20" s="107"/>
      <c r="F20" s="108"/>
      <c r="H20" s="97" t="str">
        <f>IFERROR(IF(OR(D20="",F20="",A20=""),"",IF(AND(E20="non",J20&lt;165000),LOOKUP(J20,OBJECTIFS!$E$277:$E$398,OBJECTIFS!$F$277:$F$398),(((J20*3%)*10%)*10.25))),0)</f>
        <v/>
      </c>
      <c r="J20" s="91"/>
      <c r="K20" s="92"/>
      <c r="L20" s="194"/>
      <c r="M20" s="194"/>
      <c r="N20" s="93">
        <f t="shared" si="3"/>
        <v>0</v>
      </c>
      <c r="O20" s="45"/>
      <c r="P20" s="120"/>
      <c r="Q20" s="107"/>
      <c r="R20" s="107"/>
      <c r="S20" s="107"/>
      <c r="T20" s="107"/>
      <c r="U20" s="121">
        <f t="shared" si="4"/>
        <v>0</v>
      </c>
      <c r="V20" s="121">
        <f t="shared" si="8"/>
        <v>22</v>
      </c>
      <c r="W20" s="122">
        <f t="shared" si="5"/>
        <v>0</v>
      </c>
      <c r="X20" s="123" t="str">
        <f t="shared" si="0"/>
        <v/>
      </c>
      <c r="Y20" s="48"/>
      <c r="Z20" s="131">
        <f>IFERROR(VLOOKUP(B20,OBJECTIFS!$C$76:$E$137,2,FALSE),0)</f>
        <v>0</v>
      </c>
      <c r="AA20" s="82"/>
      <c r="AB20" s="133">
        <f>IFERROR(VLOOKUP(B20,OBJECTIFS!$H$76:$J$137,2,FALSE),0)</f>
        <v>0</v>
      </c>
      <c r="AC20" s="134">
        <f t="shared" si="6"/>
        <v>0</v>
      </c>
      <c r="AD20" s="138"/>
      <c r="AE20" s="133">
        <f>IFERROR(VLOOKUP(B20,OBJECTIFS!$C$142:$E$203,2,FALSE),0)</f>
        <v>0</v>
      </c>
      <c r="AF20" s="140">
        <f>IFERROR(VLOOKUP(B20,OBJECTIFS!$H$142:$J$203,2,FALSE),0)</f>
        <v>0</v>
      </c>
      <c r="AG20" s="140">
        <f>IFERROR(VLOOKUP(B20,OBJECTIFS!$F$208:$H$269,3,FALSE),0)</f>
        <v>0</v>
      </c>
      <c r="AH20" s="48"/>
      <c r="AI20" s="142">
        <f t="shared" si="7"/>
        <v>0</v>
      </c>
      <c r="AJ20" s="45"/>
      <c r="AK20" s="144">
        <f t="shared" si="1"/>
        <v>0</v>
      </c>
      <c r="AL20" s="85" t="str">
        <f t="shared" si="2"/>
        <v/>
      </c>
      <c r="AM20" s="146" t="str">
        <f t="shared" si="9"/>
        <v/>
      </c>
    </row>
    <row r="21" spans="1:39" x14ac:dyDescent="0.2">
      <c r="A21" s="104"/>
      <c r="B21" s="105"/>
      <c r="C21" s="105"/>
      <c r="D21" s="106"/>
      <c r="E21" s="107"/>
      <c r="F21" s="108"/>
      <c r="H21" s="97" t="str">
        <f>IFERROR(IF(OR(D21="",F21="",A21=""),"",IF(AND(E21="non",J21&lt;165000),LOOKUP(J21,OBJECTIFS!$E$277:$E$398,OBJECTIFS!$F$277:$F$398),(((J21*3%)*10%)*10.25))),0)</f>
        <v/>
      </c>
      <c r="J21" s="91"/>
      <c r="K21" s="92"/>
      <c r="L21" s="194"/>
      <c r="M21" s="194"/>
      <c r="N21" s="93">
        <f t="shared" si="3"/>
        <v>0</v>
      </c>
      <c r="O21" s="45"/>
      <c r="P21" s="120"/>
      <c r="Q21" s="107"/>
      <c r="R21" s="107"/>
      <c r="S21" s="107"/>
      <c r="T21" s="107"/>
      <c r="U21" s="121">
        <f t="shared" si="4"/>
        <v>0</v>
      </c>
      <c r="V21" s="121">
        <f t="shared" si="8"/>
        <v>22</v>
      </c>
      <c r="W21" s="122">
        <f t="shared" si="5"/>
        <v>0</v>
      </c>
      <c r="X21" s="123" t="str">
        <f t="shared" si="0"/>
        <v/>
      </c>
      <c r="Y21" s="48"/>
      <c r="Z21" s="131">
        <f>IFERROR(VLOOKUP(B21,OBJECTIFS!$C$76:$E$137,2,FALSE),0)</f>
        <v>0</v>
      </c>
      <c r="AA21" s="82"/>
      <c r="AB21" s="133">
        <f>IFERROR(VLOOKUP(B21,OBJECTIFS!$H$76:$J$137,2,FALSE),0)</f>
        <v>0</v>
      </c>
      <c r="AC21" s="134">
        <f t="shared" si="6"/>
        <v>0</v>
      </c>
      <c r="AD21" s="138"/>
      <c r="AE21" s="133">
        <f>IFERROR(VLOOKUP(B21,OBJECTIFS!$C$142:$E$203,2,FALSE),0)</f>
        <v>0</v>
      </c>
      <c r="AF21" s="140">
        <f>IFERROR(VLOOKUP(B21,OBJECTIFS!$H$142:$J$203,2,FALSE),0)</f>
        <v>0</v>
      </c>
      <c r="AG21" s="140">
        <f>IFERROR(VLOOKUP(B21,OBJECTIFS!$F$208:$H$269,3,FALSE),0)</f>
        <v>0</v>
      </c>
      <c r="AH21" s="48"/>
      <c r="AI21" s="142">
        <f t="shared" si="7"/>
        <v>0</v>
      </c>
      <c r="AJ21" s="45"/>
      <c r="AK21" s="144">
        <f t="shared" si="1"/>
        <v>0</v>
      </c>
      <c r="AL21" s="85" t="str">
        <f t="shared" si="2"/>
        <v/>
      </c>
      <c r="AM21" s="146" t="str">
        <f t="shared" si="9"/>
        <v/>
      </c>
    </row>
    <row r="22" spans="1:39" x14ac:dyDescent="0.2">
      <c r="A22" s="104"/>
      <c r="B22" s="105"/>
      <c r="C22" s="105"/>
      <c r="D22" s="106"/>
      <c r="E22" s="107"/>
      <c r="F22" s="108"/>
      <c r="H22" s="97" t="str">
        <f>IFERROR(IF(OR(D22="",F22="",A22=""),"",IF(AND(E22="non",J22&lt;165000),LOOKUP(J22,OBJECTIFS!$E$277:$E$398,OBJECTIFS!$F$277:$F$398),(((J22*3%)*10%)*10.25))),0)</f>
        <v/>
      </c>
      <c r="J22" s="91"/>
      <c r="K22" s="92"/>
      <c r="L22" s="194"/>
      <c r="M22" s="194"/>
      <c r="N22" s="93">
        <f t="shared" si="3"/>
        <v>0</v>
      </c>
      <c r="O22" s="45"/>
      <c r="P22" s="120"/>
      <c r="Q22" s="107"/>
      <c r="R22" s="107"/>
      <c r="S22" s="107"/>
      <c r="T22" s="107"/>
      <c r="U22" s="121">
        <f t="shared" si="4"/>
        <v>0</v>
      </c>
      <c r="V22" s="121">
        <f t="shared" si="8"/>
        <v>22</v>
      </c>
      <c r="W22" s="122">
        <f t="shared" si="5"/>
        <v>0</v>
      </c>
      <c r="X22" s="123" t="str">
        <f t="shared" si="0"/>
        <v/>
      </c>
      <c r="Y22" s="48"/>
      <c r="Z22" s="131">
        <f>IFERROR(VLOOKUP(B22,OBJECTIFS!$C$76:$E$137,2,FALSE),0)</f>
        <v>0</v>
      </c>
      <c r="AA22" s="82"/>
      <c r="AB22" s="133">
        <f>IFERROR(VLOOKUP(B22,OBJECTIFS!$H$76:$J$137,2,FALSE),0)</f>
        <v>0</v>
      </c>
      <c r="AC22" s="134">
        <f t="shared" si="6"/>
        <v>0</v>
      </c>
      <c r="AD22" s="138"/>
      <c r="AE22" s="133">
        <f>IFERROR(VLOOKUP(B22,OBJECTIFS!$C$142:$E$203,2,FALSE),0)</f>
        <v>0</v>
      </c>
      <c r="AF22" s="140">
        <f>IFERROR(VLOOKUP(B22,OBJECTIFS!$H$142:$J$203,2,FALSE),0)</f>
        <v>0</v>
      </c>
      <c r="AG22" s="140">
        <f>IFERROR(VLOOKUP(B22,OBJECTIFS!$F$208:$H$269,3,FALSE),0)</f>
        <v>0</v>
      </c>
      <c r="AH22" s="48"/>
      <c r="AI22" s="142">
        <f t="shared" si="7"/>
        <v>0</v>
      </c>
      <c r="AJ22" s="45"/>
      <c r="AK22" s="144">
        <f t="shared" si="1"/>
        <v>0</v>
      </c>
      <c r="AL22" s="85" t="str">
        <f t="shared" si="2"/>
        <v/>
      </c>
      <c r="AM22" s="146" t="str">
        <f t="shared" si="9"/>
        <v/>
      </c>
    </row>
    <row r="23" spans="1:39" x14ac:dyDescent="0.2">
      <c r="A23" s="104"/>
      <c r="B23" s="105"/>
      <c r="C23" s="105"/>
      <c r="D23" s="106"/>
      <c r="E23" s="107"/>
      <c r="F23" s="108"/>
      <c r="H23" s="97" t="str">
        <f>IFERROR(IF(OR(D23="",F23="",A23=""),"",IF(AND(E23="non",J23&lt;165000),LOOKUP(J23,OBJECTIFS!$E$277:$E$398,OBJECTIFS!$F$277:$F$398),(((J23*3%)*10%)*10.25))),0)</f>
        <v/>
      </c>
      <c r="J23" s="91"/>
      <c r="K23" s="92"/>
      <c r="L23" s="194"/>
      <c r="M23" s="194"/>
      <c r="N23" s="93">
        <f t="shared" si="3"/>
        <v>0</v>
      </c>
      <c r="O23" s="45"/>
      <c r="P23" s="120"/>
      <c r="Q23" s="107"/>
      <c r="R23" s="107"/>
      <c r="S23" s="107"/>
      <c r="T23" s="107"/>
      <c r="U23" s="121">
        <f t="shared" ref="U23:U63" si="10">SUM(S23:T23,Q23)</f>
        <v>0</v>
      </c>
      <c r="V23" s="121">
        <f t="shared" si="8"/>
        <v>22</v>
      </c>
      <c r="W23" s="122">
        <f t="shared" si="5"/>
        <v>0</v>
      </c>
      <c r="X23" s="123" t="str">
        <f t="shared" si="0"/>
        <v/>
      </c>
      <c r="Y23" s="48"/>
      <c r="Z23" s="131">
        <f>IFERROR(VLOOKUP(B23,OBJECTIFS!$C$76:$E$137,2,FALSE),0)</f>
        <v>0</v>
      </c>
      <c r="AA23" s="82"/>
      <c r="AB23" s="133">
        <f>IFERROR(VLOOKUP(B23,OBJECTIFS!$H$76:$J$137,2,FALSE),0)</f>
        <v>0</v>
      </c>
      <c r="AC23" s="134">
        <f t="shared" si="6"/>
        <v>0</v>
      </c>
      <c r="AD23" s="138"/>
      <c r="AE23" s="133">
        <f>IFERROR(VLOOKUP(B23,OBJECTIFS!$C$142:$E$203,2,FALSE),0)</f>
        <v>0</v>
      </c>
      <c r="AF23" s="140">
        <f>IFERROR(VLOOKUP(B23,OBJECTIFS!$H$142:$J$203,2,FALSE),0)</f>
        <v>0</v>
      </c>
      <c r="AG23" s="140">
        <f>IFERROR(VLOOKUP(B23,OBJECTIFS!$F$208:$H$269,3,FALSE),0)</f>
        <v>0</v>
      </c>
      <c r="AH23" s="48"/>
      <c r="AI23" s="142">
        <f t="shared" si="7"/>
        <v>0</v>
      </c>
      <c r="AJ23" s="45"/>
      <c r="AK23" s="144">
        <f t="shared" si="1"/>
        <v>0</v>
      </c>
      <c r="AL23" s="85" t="str">
        <f t="shared" ref="AL23:AL63" si="11">IF(AM23="","","è")</f>
        <v/>
      </c>
      <c r="AM23" s="146" t="str">
        <f t="shared" si="9"/>
        <v/>
      </c>
    </row>
    <row r="24" spans="1:39" x14ac:dyDescent="0.2">
      <c r="A24" s="104"/>
      <c r="B24" s="105"/>
      <c r="C24" s="105"/>
      <c r="D24" s="106"/>
      <c r="E24" s="107"/>
      <c r="F24" s="108"/>
      <c r="H24" s="97" t="str">
        <f>IFERROR(IF(OR(D24="",F24="",A24=""),"",IF(AND(E24="non",J24&lt;165000),LOOKUP(J24,OBJECTIFS!$E$277:$E$398,OBJECTIFS!$F$277:$F$398),(((J24*3%)*10%)*10.25))),0)</f>
        <v/>
      </c>
      <c r="J24" s="91"/>
      <c r="K24" s="92"/>
      <c r="L24" s="194"/>
      <c r="M24" s="194"/>
      <c r="N24" s="93">
        <f t="shared" si="3"/>
        <v>0</v>
      </c>
      <c r="O24" s="45"/>
      <c r="P24" s="120"/>
      <c r="Q24" s="107"/>
      <c r="R24" s="107"/>
      <c r="S24" s="107"/>
      <c r="T24" s="107"/>
      <c r="U24" s="121">
        <f t="shared" si="10"/>
        <v>0</v>
      </c>
      <c r="V24" s="121">
        <f t="shared" si="8"/>
        <v>22</v>
      </c>
      <c r="W24" s="122">
        <f t="shared" si="5"/>
        <v>0</v>
      </c>
      <c r="X24" s="123" t="str">
        <f t="shared" si="0"/>
        <v/>
      </c>
      <c r="Y24" s="48"/>
      <c r="Z24" s="131">
        <f>IFERROR(VLOOKUP(B24,OBJECTIFS!$C$76:$E$137,2,FALSE),0)</f>
        <v>0</v>
      </c>
      <c r="AA24" s="82"/>
      <c r="AB24" s="133">
        <f>IFERROR(VLOOKUP(B24,OBJECTIFS!$H$76:$J$137,2,FALSE),0)</f>
        <v>0</v>
      </c>
      <c r="AC24" s="134">
        <f t="shared" si="6"/>
        <v>0</v>
      </c>
      <c r="AD24" s="138"/>
      <c r="AE24" s="133">
        <f>IFERROR(VLOOKUP(B24,OBJECTIFS!$C$142:$E$203,2,FALSE),0)</f>
        <v>0</v>
      </c>
      <c r="AF24" s="140">
        <f>IFERROR(VLOOKUP(B24,OBJECTIFS!$H$142:$J$203,2,FALSE),0)</f>
        <v>0</v>
      </c>
      <c r="AG24" s="140">
        <f>IFERROR(VLOOKUP(B24,OBJECTIFS!$F$208:$H$269,3,FALSE),0)</f>
        <v>0</v>
      </c>
      <c r="AH24" s="48"/>
      <c r="AI24" s="142">
        <f t="shared" si="7"/>
        <v>0</v>
      </c>
      <c r="AJ24" s="45"/>
      <c r="AK24" s="144">
        <f t="shared" si="1"/>
        <v>0</v>
      </c>
      <c r="AL24" s="85" t="str">
        <f t="shared" si="11"/>
        <v/>
      </c>
      <c r="AM24" s="146" t="str">
        <f t="shared" si="9"/>
        <v/>
      </c>
    </row>
    <row r="25" spans="1:39" x14ac:dyDescent="0.2">
      <c r="A25" s="104"/>
      <c r="B25" s="105"/>
      <c r="C25" s="105"/>
      <c r="D25" s="106"/>
      <c r="E25" s="107"/>
      <c r="F25" s="108"/>
      <c r="H25" s="97" t="str">
        <f>IFERROR(IF(OR(D25="",F25="",A25=""),"",IF(AND(E25="non",J25&lt;165000),LOOKUP(J25,OBJECTIFS!$E$277:$E$398,OBJECTIFS!$F$277:$F$398),(((J25*3%)*10%)*10.25))),0)</f>
        <v/>
      </c>
      <c r="J25" s="91"/>
      <c r="K25" s="92"/>
      <c r="L25" s="194"/>
      <c r="M25" s="194"/>
      <c r="N25" s="93">
        <f t="shared" si="3"/>
        <v>0</v>
      </c>
      <c r="O25" s="45"/>
      <c r="P25" s="120"/>
      <c r="Q25" s="107"/>
      <c r="R25" s="107"/>
      <c r="S25" s="107"/>
      <c r="T25" s="107"/>
      <c r="U25" s="121">
        <f t="shared" si="10"/>
        <v>0</v>
      </c>
      <c r="V25" s="121">
        <f t="shared" si="8"/>
        <v>22</v>
      </c>
      <c r="W25" s="122">
        <f t="shared" si="5"/>
        <v>0</v>
      </c>
      <c r="X25" s="123" t="str">
        <f t="shared" si="0"/>
        <v/>
      </c>
      <c r="Y25" s="48"/>
      <c r="Z25" s="131">
        <f>IFERROR(VLOOKUP(B25,OBJECTIFS!$C$76:$E$137,2,FALSE),0)</f>
        <v>0</v>
      </c>
      <c r="AA25" s="82"/>
      <c r="AB25" s="133">
        <f>IFERROR(VLOOKUP(B25,OBJECTIFS!$H$76:$J$137,2,FALSE),0)</f>
        <v>0</v>
      </c>
      <c r="AC25" s="134">
        <f t="shared" si="6"/>
        <v>0</v>
      </c>
      <c r="AD25" s="138"/>
      <c r="AE25" s="133">
        <f>IFERROR(VLOOKUP(B25,OBJECTIFS!$C$142:$E$203,2,FALSE),0)</f>
        <v>0</v>
      </c>
      <c r="AF25" s="140">
        <f>IFERROR(VLOOKUP(B25,OBJECTIFS!$H$142:$J$203,2,FALSE),0)</f>
        <v>0</v>
      </c>
      <c r="AG25" s="140">
        <f>IFERROR(VLOOKUP(B25,OBJECTIFS!$F$208:$H$269,3,FALSE),0)</f>
        <v>0</v>
      </c>
      <c r="AH25" s="48"/>
      <c r="AI25" s="142">
        <f t="shared" si="7"/>
        <v>0</v>
      </c>
      <c r="AJ25" s="45"/>
      <c r="AK25" s="144">
        <f t="shared" si="1"/>
        <v>0</v>
      </c>
      <c r="AL25" s="85" t="str">
        <f t="shared" si="11"/>
        <v/>
      </c>
      <c r="AM25" s="146" t="str">
        <f t="shared" si="9"/>
        <v/>
      </c>
    </row>
    <row r="26" spans="1:39" x14ac:dyDescent="0.2">
      <c r="A26" s="104"/>
      <c r="B26" s="105"/>
      <c r="C26" s="105"/>
      <c r="D26" s="106"/>
      <c r="E26" s="107"/>
      <c r="F26" s="108"/>
      <c r="H26" s="97" t="str">
        <f>IFERROR(IF(OR(D26="",F26="",A26=""),"",IF(AND(E26="non",J26&lt;165000),LOOKUP(J26,OBJECTIFS!$E$277:$E$398,OBJECTIFS!$F$277:$F$398),(((J26*3%)*10%)*10.25))),0)</f>
        <v/>
      </c>
      <c r="J26" s="91"/>
      <c r="K26" s="92"/>
      <c r="L26" s="194"/>
      <c r="M26" s="194"/>
      <c r="N26" s="93">
        <f t="shared" si="3"/>
        <v>0</v>
      </c>
      <c r="O26" s="45"/>
      <c r="P26" s="120"/>
      <c r="Q26" s="107"/>
      <c r="R26" s="107"/>
      <c r="S26" s="107"/>
      <c r="T26" s="107"/>
      <c r="U26" s="121">
        <f t="shared" si="10"/>
        <v>0</v>
      </c>
      <c r="V26" s="121">
        <f t="shared" si="8"/>
        <v>22</v>
      </c>
      <c r="W26" s="122">
        <f t="shared" si="5"/>
        <v>0</v>
      </c>
      <c r="X26" s="123" t="str">
        <f t="shared" si="0"/>
        <v/>
      </c>
      <c r="Y26" s="48"/>
      <c r="Z26" s="131">
        <f>IFERROR(VLOOKUP(B26,OBJECTIFS!$C$76:$E$137,2,FALSE),0)</f>
        <v>0</v>
      </c>
      <c r="AA26" s="82"/>
      <c r="AB26" s="133">
        <f>IFERROR(VLOOKUP(B26,OBJECTIFS!$H$76:$J$137,2,FALSE),0)</f>
        <v>0</v>
      </c>
      <c r="AC26" s="134">
        <f t="shared" si="6"/>
        <v>0</v>
      </c>
      <c r="AD26" s="138"/>
      <c r="AE26" s="133">
        <f>IFERROR(VLOOKUP(B26,OBJECTIFS!$C$142:$E$203,2,FALSE),0)</f>
        <v>0</v>
      </c>
      <c r="AF26" s="140">
        <f>IFERROR(VLOOKUP(B26,OBJECTIFS!$H$142:$J$203,2,FALSE),0)</f>
        <v>0</v>
      </c>
      <c r="AG26" s="140">
        <f>IFERROR(VLOOKUP(B26,OBJECTIFS!$F$208:$H$269,3,FALSE),0)</f>
        <v>0</v>
      </c>
      <c r="AH26" s="48"/>
      <c r="AI26" s="142">
        <f t="shared" si="7"/>
        <v>0</v>
      </c>
      <c r="AJ26" s="45"/>
      <c r="AK26" s="144">
        <f t="shared" si="1"/>
        <v>0</v>
      </c>
      <c r="AL26" s="85" t="str">
        <f t="shared" si="11"/>
        <v/>
      </c>
      <c r="AM26" s="146" t="str">
        <f t="shared" si="9"/>
        <v/>
      </c>
    </row>
    <row r="27" spans="1:39" x14ac:dyDescent="0.2">
      <c r="A27" s="104"/>
      <c r="B27" s="105"/>
      <c r="C27" s="105"/>
      <c r="D27" s="106"/>
      <c r="E27" s="107"/>
      <c r="F27" s="108"/>
      <c r="H27" s="97" t="str">
        <f>IFERROR(IF(OR(D27="",F27="",A27=""),"",IF(AND(E27="non",J27&lt;165000),LOOKUP(J27,OBJECTIFS!$E$277:$E$398,OBJECTIFS!$F$277:$F$398),(((J27*3%)*10%)*10.25))),0)</f>
        <v/>
      </c>
      <c r="J27" s="91"/>
      <c r="K27" s="92"/>
      <c r="L27" s="194"/>
      <c r="M27" s="194"/>
      <c r="N27" s="93">
        <f t="shared" si="3"/>
        <v>0</v>
      </c>
      <c r="O27" s="45"/>
      <c r="P27" s="120"/>
      <c r="Q27" s="107"/>
      <c r="R27" s="107"/>
      <c r="S27" s="107"/>
      <c r="T27" s="107"/>
      <c r="U27" s="121">
        <f t="shared" si="10"/>
        <v>0</v>
      </c>
      <c r="V27" s="121">
        <f t="shared" si="8"/>
        <v>22</v>
      </c>
      <c r="W27" s="122">
        <f t="shared" si="5"/>
        <v>0</v>
      </c>
      <c r="X27" s="123" t="str">
        <f t="shared" si="0"/>
        <v/>
      </c>
      <c r="Y27" s="48"/>
      <c r="Z27" s="131">
        <f>IFERROR(VLOOKUP(B27,OBJECTIFS!$C$76:$E$137,2,FALSE),0)</f>
        <v>0</v>
      </c>
      <c r="AA27" s="82"/>
      <c r="AB27" s="133">
        <f>IFERROR(VLOOKUP(B27,OBJECTIFS!$H$76:$J$137,2,FALSE),0)</f>
        <v>0</v>
      </c>
      <c r="AC27" s="134">
        <f t="shared" si="6"/>
        <v>0</v>
      </c>
      <c r="AD27" s="138"/>
      <c r="AE27" s="133">
        <f>IFERROR(VLOOKUP(B27,OBJECTIFS!$C$142:$E$203,2,FALSE),0)</f>
        <v>0</v>
      </c>
      <c r="AF27" s="140">
        <f>IFERROR(VLOOKUP(B27,OBJECTIFS!$H$142:$J$203,2,FALSE),0)</f>
        <v>0</v>
      </c>
      <c r="AG27" s="140">
        <f>IFERROR(VLOOKUP(B27,OBJECTIFS!$F$208:$H$269,3,FALSE),0)</f>
        <v>0</v>
      </c>
      <c r="AH27" s="48"/>
      <c r="AI27" s="142">
        <f t="shared" si="7"/>
        <v>0</v>
      </c>
      <c r="AJ27" s="45"/>
      <c r="AK27" s="144">
        <f t="shared" si="1"/>
        <v>0</v>
      </c>
      <c r="AL27" s="85" t="str">
        <f t="shared" si="11"/>
        <v/>
      </c>
      <c r="AM27" s="146" t="str">
        <f t="shared" si="9"/>
        <v/>
      </c>
    </row>
    <row r="28" spans="1:39" x14ac:dyDescent="0.2">
      <c r="A28" s="104"/>
      <c r="B28" s="105"/>
      <c r="C28" s="105"/>
      <c r="D28" s="106"/>
      <c r="E28" s="107"/>
      <c r="F28" s="108"/>
      <c r="H28" s="97" t="str">
        <f>IFERROR(IF(OR(D28="",F28="",A28=""),"",IF(AND(E28="non",J28&lt;165000),LOOKUP(J28,OBJECTIFS!$E$277:$E$398,OBJECTIFS!$F$277:$F$398),(((J28*3%)*10%)*10.25))),0)</f>
        <v/>
      </c>
      <c r="J28" s="91"/>
      <c r="K28" s="92"/>
      <c r="L28" s="194"/>
      <c r="M28" s="194"/>
      <c r="N28" s="93">
        <f t="shared" si="3"/>
        <v>0</v>
      </c>
      <c r="O28" s="45"/>
      <c r="P28" s="120"/>
      <c r="Q28" s="107"/>
      <c r="R28" s="107"/>
      <c r="S28" s="107"/>
      <c r="T28" s="107"/>
      <c r="U28" s="121">
        <f t="shared" si="10"/>
        <v>0</v>
      </c>
      <c r="V28" s="121">
        <f t="shared" si="8"/>
        <v>22</v>
      </c>
      <c r="W28" s="122">
        <f t="shared" si="5"/>
        <v>0</v>
      </c>
      <c r="X28" s="123" t="str">
        <f t="shared" si="0"/>
        <v/>
      </c>
      <c r="Y28" s="48"/>
      <c r="Z28" s="131">
        <f>IFERROR(VLOOKUP(B28,OBJECTIFS!$C$76:$E$137,2,FALSE),0)</f>
        <v>0</v>
      </c>
      <c r="AA28" s="82"/>
      <c r="AB28" s="133">
        <f>IFERROR(VLOOKUP(B28,OBJECTIFS!$H$76:$J$137,2,FALSE),0)</f>
        <v>0</v>
      </c>
      <c r="AC28" s="134">
        <f t="shared" si="6"/>
        <v>0</v>
      </c>
      <c r="AD28" s="138"/>
      <c r="AE28" s="133">
        <f>IFERROR(VLOOKUP(B28,OBJECTIFS!$C$142:$E$203,2,FALSE),0)</f>
        <v>0</v>
      </c>
      <c r="AF28" s="140">
        <f>IFERROR(VLOOKUP(B28,OBJECTIFS!$H$142:$J$203,2,FALSE),0)</f>
        <v>0</v>
      </c>
      <c r="AG28" s="140">
        <f>IFERROR(VLOOKUP(B28,OBJECTIFS!$F$208:$H$269,3,FALSE),0)</f>
        <v>0</v>
      </c>
      <c r="AH28" s="48"/>
      <c r="AI28" s="142">
        <f t="shared" si="7"/>
        <v>0</v>
      </c>
      <c r="AJ28" s="45"/>
      <c r="AK28" s="144">
        <f t="shared" si="1"/>
        <v>0</v>
      </c>
      <c r="AL28" s="85" t="str">
        <f t="shared" si="11"/>
        <v/>
      </c>
      <c r="AM28" s="146" t="str">
        <f t="shared" si="9"/>
        <v/>
      </c>
    </row>
    <row r="29" spans="1:39" x14ac:dyDescent="0.2">
      <c r="A29" s="104"/>
      <c r="B29" s="105"/>
      <c r="C29" s="105"/>
      <c r="D29" s="106"/>
      <c r="E29" s="107"/>
      <c r="F29" s="108"/>
      <c r="H29" s="97" t="str">
        <f>IFERROR(IF(OR(D29="",F29="",A29=""),"",IF(AND(E29="non",J29&lt;165000),LOOKUP(J29,OBJECTIFS!$E$277:$E$398,OBJECTIFS!$F$277:$F$398),(((J29*3%)*10%)*10.25))),0)</f>
        <v/>
      </c>
      <c r="J29" s="91"/>
      <c r="K29" s="92"/>
      <c r="L29" s="194"/>
      <c r="M29" s="194"/>
      <c r="N29" s="93">
        <f t="shared" si="3"/>
        <v>0</v>
      </c>
      <c r="O29" s="45"/>
      <c r="P29" s="120"/>
      <c r="Q29" s="107"/>
      <c r="R29" s="107"/>
      <c r="S29" s="107"/>
      <c r="T29" s="107"/>
      <c r="U29" s="121">
        <f t="shared" si="10"/>
        <v>0</v>
      </c>
      <c r="V29" s="121">
        <f t="shared" si="8"/>
        <v>22</v>
      </c>
      <c r="W29" s="122">
        <f t="shared" si="5"/>
        <v>0</v>
      </c>
      <c r="X29" s="123" t="str">
        <f t="shared" si="0"/>
        <v/>
      </c>
      <c r="Y29" s="48"/>
      <c r="Z29" s="131">
        <f>IFERROR(VLOOKUP(B29,OBJECTIFS!$C$76:$E$137,2,FALSE),0)</f>
        <v>0</v>
      </c>
      <c r="AA29" s="82"/>
      <c r="AB29" s="133">
        <f>IFERROR(VLOOKUP(B29,OBJECTIFS!$H$76:$J$137,2,FALSE),0)</f>
        <v>0</v>
      </c>
      <c r="AC29" s="134">
        <f t="shared" si="6"/>
        <v>0</v>
      </c>
      <c r="AD29" s="138"/>
      <c r="AE29" s="133">
        <f>IFERROR(VLOOKUP(B29,OBJECTIFS!$C$142:$E$203,2,FALSE),0)</f>
        <v>0</v>
      </c>
      <c r="AF29" s="140">
        <f>IFERROR(VLOOKUP(B29,OBJECTIFS!$H$142:$J$203,2,FALSE),0)</f>
        <v>0</v>
      </c>
      <c r="AG29" s="140">
        <f>IFERROR(VLOOKUP(B29,OBJECTIFS!$F$208:$H$269,3,FALSE),0)</f>
        <v>0</v>
      </c>
      <c r="AH29" s="48"/>
      <c r="AI29" s="142">
        <f t="shared" si="7"/>
        <v>0</v>
      </c>
      <c r="AJ29" s="45"/>
      <c r="AK29" s="144">
        <f t="shared" si="1"/>
        <v>0</v>
      </c>
      <c r="AL29" s="85" t="str">
        <f t="shared" si="11"/>
        <v/>
      </c>
      <c r="AM29" s="146" t="str">
        <f t="shared" si="9"/>
        <v/>
      </c>
    </row>
    <row r="30" spans="1:39" x14ac:dyDescent="0.2">
      <c r="A30" s="104"/>
      <c r="B30" s="105"/>
      <c r="C30" s="105"/>
      <c r="D30" s="106"/>
      <c r="E30" s="107"/>
      <c r="F30" s="108"/>
      <c r="H30" s="97" t="str">
        <f>IFERROR(IF(OR(D30="",F30="",A30=""),"",IF(AND(E30="non",J30&lt;165000),LOOKUP(J30,OBJECTIFS!$E$277:$E$398,OBJECTIFS!$F$277:$F$398),(((J30*3%)*10%)*10.25))),0)</f>
        <v/>
      </c>
      <c r="J30" s="91"/>
      <c r="K30" s="92"/>
      <c r="L30" s="194"/>
      <c r="M30" s="194"/>
      <c r="N30" s="93">
        <f t="shared" si="3"/>
        <v>0</v>
      </c>
      <c r="O30" s="45"/>
      <c r="P30" s="120"/>
      <c r="Q30" s="107"/>
      <c r="R30" s="107"/>
      <c r="S30" s="107"/>
      <c r="T30" s="107"/>
      <c r="U30" s="121">
        <f t="shared" si="10"/>
        <v>0</v>
      </c>
      <c r="V30" s="121">
        <f t="shared" si="8"/>
        <v>22</v>
      </c>
      <c r="W30" s="122">
        <f t="shared" si="5"/>
        <v>0</v>
      </c>
      <c r="X30" s="123" t="str">
        <f t="shared" si="0"/>
        <v/>
      </c>
      <c r="Y30" s="48"/>
      <c r="Z30" s="131">
        <f>IFERROR(VLOOKUP(B30,OBJECTIFS!$C$76:$E$137,2,FALSE),0)</f>
        <v>0</v>
      </c>
      <c r="AA30" s="82"/>
      <c r="AB30" s="133">
        <f>IFERROR(VLOOKUP(B30,OBJECTIFS!$H$76:$J$137,2,FALSE),0)</f>
        <v>0</v>
      </c>
      <c r="AC30" s="134">
        <f t="shared" si="6"/>
        <v>0</v>
      </c>
      <c r="AD30" s="138"/>
      <c r="AE30" s="133">
        <f>IFERROR(VLOOKUP(B30,OBJECTIFS!$C$142:$E$203,2,FALSE),0)</f>
        <v>0</v>
      </c>
      <c r="AF30" s="140">
        <f>IFERROR(VLOOKUP(B30,OBJECTIFS!$H$142:$J$203,2,FALSE),0)</f>
        <v>0</v>
      </c>
      <c r="AG30" s="140">
        <f>IFERROR(VLOOKUP(B30,OBJECTIFS!$F$208:$H$269,3,FALSE),0)</f>
        <v>0</v>
      </c>
      <c r="AH30" s="48"/>
      <c r="AI30" s="142">
        <f t="shared" si="7"/>
        <v>0</v>
      </c>
      <c r="AJ30" s="45"/>
      <c r="AK30" s="144">
        <f t="shared" si="1"/>
        <v>0</v>
      </c>
      <c r="AL30" s="85" t="str">
        <f t="shared" si="11"/>
        <v/>
      </c>
      <c r="AM30" s="146" t="str">
        <f t="shared" si="9"/>
        <v/>
      </c>
    </row>
    <row r="31" spans="1:39" x14ac:dyDescent="0.2">
      <c r="A31" s="104"/>
      <c r="B31" s="105"/>
      <c r="C31" s="105"/>
      <c r="D31" s="106"/>
      <c r="E31" s="107"/>
      <c r="F31" s="108"/>
      <c r="H31" s="97" t="str">
        <f>IFERROR(IF(OR(D31="",F31="",A31=""),"",IF(AND(E31="non",J31&lt;165000),LOOKUP(J31,OBJECTIFS!$E$277:$E$398,OBJECTIFS!$F$277:$F$398),(((J31*3%)*10%)*10.25))),0)</f>
        <v/>
      </c>
      <c r="J31" s="91"/>
      <c r="K31" s="92"/>
      <c r="L31" s="194"/>
      <c r="M31" s="194"/>
      <c r="N31" s="93">
        <f t="shared" si="3"/>
        <v>0</v>
      </c>
      <c r="O31" s="45"/>
      <c r="P31" s="120"/>
      <c r="Q31" s="107"/>
      <c r="R31" s="107"/>
      <c r="S31" s="107"/>
      <c r="T31" s="107"/>
      <c r="U31" s="121">
        <f t="shared" si="10"/>
        <v>0</v>
      </c>
      <c r="V31" s="121">
        <f t="shared" si="8"/>
        <v>22</v>
      </c>
      <c r="W31" s="122">
        <f t="shared" si="5"/>
        <v>0</v>
      </c>
      <c r="X31" s="123" t="str">
        <f t="shared" si="0"/>
        <v/>
      </c>
      <c r="Y31" s="48"/>
      <c r="Z31" s="131">
        <f>IFERROR(VLOOKUP(B31,OBJECTIFS!$C$76:$E$137,2,FALSE),0)</f>
        <v>0</v>
      </c>
      <c r="AA31" s="82"/>
      <c r="AB31" s="133">
        <f>IFERROR(VLOOKUP(B31,OBJECTIFS!$H$76:$J$137,2,FALSE),0)</f>
        <v>0</v>
      </c>
      <c r="AC31" s="134">
        <f t="shared" si="6"/>
        <v>0</v>
      </c>
      <c r="AD31" s="138"/>
      <c r="AE31" s="133">
        <f>IFERROR(VLOOKUP(B31,OBJECTIFS!$C$142:$E$203,2,FALSE),0)</f>
        <v>0</v>
      </c>
      <c r="AF31" s="140">
        <f>IFERROR(VLOOKUP(B31,OBJECTIFS!$H$142:$J$203,2,FALSE),0)</f>
        <v>0</v>
      </c>
      <c r="AG31" s="140">
        <f>IFERROR(VLOOKUP(B31,OBJECTIFS!$F$208:$H$269,3,FALSE),0)</f>
        <v>0</v>
      </c>
      <c r="AH31" s="48"/>
      <c r="AI31" s="142">
        <f t="shared" si="7"/>
        <v>0</v>
      </c>
      <c r="AJ31" s="45"/>
      <c r="AK31" s="144">
        <f t="shared" si="1"/>
        <v>0</v>
      </c>
      <c r="AL31" s="85" t="str">
        <f t="shared" si="11"/>
        <v/>
      </c>
      <c r="AM31" s="146" t="str">
        <f t="shared" si="9"/>
        <v/>
      </c>
    </row>
    <row r="32" spans="1:39" x14ac:dyDescent="0.2">
      <c r="A32" s="104"/>
      <c r="B32" s="105"/>
      <c r="C32" s="105"/>
      <c r="D32" s="106"/>
      <c r="E32" s="107"/>
      <c r="F32" s="108"/>
      <c r="H32" s="97" t="str">
        <f>IFERROR(IF(OR(D32="",F32="",A32=""),"",IF(AND(E32="non",J32&lt;165000),LOOKUP(J32,OBJECTIFS!$E$277:$E$398,OBJECTIFS!$F$277:$F$398),(((J32*3%)*10%)*10.25))),0)</f>
        <v/>
      </c>
      <c r="J32" s="91"/>
      <c r="K32" s="92"/>
      <c r="L32" s="194"/>
      <c r="M32" s="194"/>
      <c r="N32" s="93">
        <f t="shared" si="3"/>
        <v>0</v>
      </c>
      <c r="O32" s="45"/>
      <c r="P32" s="120"/>
      <c r="Q32" s="107"/>
      <c r="R32" s="107"/>
      <c r="S32" s="107"/>
      <c r="T32" s="107"/>
      <c r="U32" s="121">
        <f t="shared" si="10"/>
        <v>0</v>
      </c>
      <c r="V32" s="121">
        <f t="shared" si="8"/>
        <v>22</v>
      </c>
      <c r="W32" s="122">
        <f t="shared" si="5"/>
        <v>0</v>
      </c>
      <c r="X32" s="123" t="str">
        <f t="shared" si="0"/>
        <v/>
      </c>
      <c r="Y32" s="48"/>
      <c r="Z32" s="131">
        <f>IFERROR(VLOOKUP(B32,OBJECTIFS!$C$76:$E$137,2,FALSE),0)</f>
        <v>0</v>
      </c>
      <c r="AA32" s="82"/>
      <c r="AB32" s="133">
        <f>IFERROR(VLOOKUP(B32,OBJECTIFS!$H$76:$J$137,2,FALSE),0)</f>
        <v>0</v>
      </c>
      <c r="AC32" s="134">
        <f t="shared" si="6"/>
        <v>0</v>
      </c>
      <c r="AD32" s="138"/>
      <c r="AE32" s="133">
        <f>IFERROR(VLOOKUP(B32,OBJECTIFS!$C$142:$E$203,2,FALSE),0)</f>
        <v>0</v>
      </c>
      <c r="AF32" s="140">
        <f>IFERROR(VLOOKUP(B32,OBJECTIFS!$H$142:$J$203,2,FALSE),0)</f>
        <v>0</v>
      </c>
      <c r="AG32" s="140">
        <f>IFERROR(VLOOKUP(B32,OBJECTIFS!$F$208:$H$269,3,FALSE),0)</f>
        <v>0</v>
      </c>
      <c r="AH32" s="48"/>
      <c r="AI32" s="142">
        <f t="shared" si="7"/>
        <v>0</v>
      </c>
      <c r="AJ32" s="45"/>
      <c r="AK32" s="144">
        <f t="shared" si="1"/>
        <v>0</v>
      </c>
      <c r="AL32" s="85" t="str">
        <f t="shared" si="11"/>
        <v/>
      </c>
      <c r="AM32" s="146" t="str">
        <f t="shared" si="9"/>
        <v/>
      </c>
    </row>
    <row r="33" spans="1:39" x14ac:dyDescent="0.2">
      <c r="A33" s="104"/>
      <c r="B33" s="105"/>
      <c r="C33" s="105"/>
      <c r="D33" s="106"/>
      <c r="E33" s="107"/>
      <c r="F33" s="108"/>
      <c r="H33" s="97" t="str">
        <f>IFERROR(IF(OR(D33="",F33="",A33=""),"",IF(AND(E33="non",J33&lt;165000),LOOKUP(J33,OBJECTIFS!$E$277:$E$398,OBJECTIFS!$F$277:$F$398),(((J33*3%)*10%)*10.25))),0)</f>
        <v/>
      </c>
      <c r="J33" s="91"/>
      <c r="K33" s="92"/>
      <c r="L33" s="194"/>
      <c r="M33" s="194"/>
      <c r="N33" s="93">
        <f t="shared" si="3"/>
        <v>0</v>
      </c>
      <c r="O33" s="45"/>
      <c r="P33" s="120"/>
      <c r="Q33" s="107"/>
      <c r="R33" s="107"/>
      <c r="S33" s="107"/>
      <c r="T33" s="107"/>
      <c r="U33" s="121">
        <f t="shared" si="10"/>
        <v>0</v>
      </c>
      <c r="V33" s="121">
        <f t="shared" si="8"/>
        <v>22</v>
      </c>
      <c r="W33" s="122">
        <f t="shared" si="5"/>
        <v>0</v>
      </c>
      <c r="X33" s="123" t="str">
        <f t="shared" si="0"/>
        <v/>
      </c>
      <c r="Y33" s="48"/>
      <c r="Z33" s="131">
        <f>IFERROR(VLOOKUP(B33,OBJECTIFS!$C$76:$E$137,2,FALSE),0)</f>
        <v>0</v>
      </c>
      <c r="AA33" s="82"/>
      <c r="AB33" s="133">
        <f>IFERROR(VLOOKUP(B33,OBJECTIFS!$H$76:$J$137,2,FALSE),0)</f>
        <v>0</v>
      </c>
      <c r="AC33" s="134">
        <f t="shared" si="6"/>
        <v>0</v>
      </c>
      <c r="AD33" s="138"/>
      <c r="AE33" s="133">
        <f>IFERROR(VLOOKUP(B33,OBJECTIFS!$C$142:$E$203,2,FALSE),0)</f>
        <v>0</v>
      </c>
      <c r="AF33" s="140">
        <f>IFERROR(VLOOKUP(B33,OBJECTIFS!$H$142:$J$203,2,FALSE),0)</f>
        <v>0</v>
      </c>
      <c r="AG33" s="140">
        <f>IFERROR(VLOOKUP(B33,OBJECTIFS!$F$208:$H$269,3,FALSE),0)</f>
        <v>0</v>
      </c>
      <c r="AH33" s="48"/>
      <c r="AI33" s="142">
        <f t="shared" si="7"/>
        <v>0</v>
      </c>
      <c r="AJ33" s="45"/>
      <c r="AK33" s="144">
        <f t="shared" si="1"/>
        <v>0</v>
      </c>
      <c r="AL33" s="85" t="str">
        <f t="shared" si="11"/>
        <v/>
      </c>
      <c r="AM33" s="146" t="str">
        <f t="shared" si="9"/>
        <v/>
      </c>
    </row>
    <row r="34" spans="1:39" x14ac:dyDescent="0.2">
      <c r="A34" s="104"/>
      <c r="B34" s="105"/>
      <c r="C34" s="105"/>
      <c r="D34" s="106"/>
      <c r="E34" s="107"/>
      <c r="F34" s="108"/>
      <c r="H34" s="97" t="str">
        <f>IFERROR(IF(OR(D34="",F34="",A34=""),"",IF(AND(E34="non",J34&lt;165000),LOOKUP(J34,OBJECTIFS!$E$277:$E$398,OBJECTIFS!$F$277:$F$398),(((J34*3%)*10%)*10.25))),0)</f>
        <v/>
      </c>
      <c r="J34" s="91"/>
      <c r="K34" s="92"/>
      <c r="L34" s="194"/>
      <c r="M34" s="194"/>
      <c r="N34" s="93">
        <f t="shared" si="3"/>
        <v>0</v>
      </c>
      <c r="O34" s="45"/>
      <c r="P34" s="120"/>
      <c r="Q34" s="107"/>
      <c r="R34" s="107"/>
      <c r="S34" s="107"/>
      <c r="T34" s="107"/>
      <c r="U34" s="121">
        <f t="shared" si="10"/>
        <v>0</v>
      </c>
      <c r="V34" s="121">
        <f t="shared" si="8"/>
        <v>22</v>
      </c>
      <c r="W34" s="122">
        <f t="shared" si="5"/>
        <v>0</v>
      </c>
      <c r="X34" s="123" t="str">
        <f t="shared" si="0"/>
        <v/>
      </c>
      <c r="Y34" s="48"/>
      <c r="Z34" s="131">
        <f>IFERROR(VLOOKUP(B34,OBJECTIFS!$C$76:$E$137,2,FALSE),0)</f>
        <v>0</v>
      </c>
      <c r="AA34" s="82"/>
      <c r="AB34" s="133">
        <f>IFERROR(VLOOKUP(B34,OBJECTIFS!$H$76:$J$137,2,FALSE),0)</f>
        <v>0</v>
      </c>
      <c r="AC34" s="134">
        <f t="shared" si="6"/>
        <v>0</v>
      </c>
      <c r="AD34" s="138"/>
      <c r="AE34" s="133">
        <f>IFERROR(VLOOKUP(B34,OBJECTIFS!$C$142:$E$203,2,FALSE),0)</f>
        <v>0</v>
      </c>
      <c r="AF34" s="140">
        <f>IFERROR(VLOOKUP(B34,OBJECTIFS!$H$142:$J$203,2,FALSE),0)</f>
        <v>0</v>
      </c>
      <c r="AG34" s="140">
        <f>IFERROR(VLOOKUP(B34,OBJECTIFS!$F$208:$H$269,3,FALSE),0)</f>
        <v>0</v>
      </c>
      <c r="AH34" s="48"/>
      <c r="AI34" s="142">
        <f t="shared" si="7"/>
        <v>0</v>
      </c>
      <c r="AJ34" s="45"/>
      <c r="AK34" s="144">
        <f t="shared" si="1"/>
        <v>0</v>
      </c>
      <c r="AL34" s="85" t="str">
        <f t="shared" si="11"/>
        <v/>
      </c>
      <c r="AM34" s="146" t="str">
        <f t="shared" si="9"/>
        <v/>
      </c>
    </row>
    <row r="35" spans="1:39" x14ac:dyDescent="0.2">
      <c r="A35" s="104"/>
      <c r="B35" s="105"/>
      <c r="C35" s="105"/>
      <c r="D35" s="106"/>
      <c r="E35" s="107"/>
      <c r="F35" s="108"/>
      <c r="H35" s="97" t="str">
        <f>IFERROR(IF(OR(D35="",F35="",A35=""),"",IF(AND(E35="non",J35&lt;165000),LOOKUP(J35,OBJECTIFS!$E$277:$E$398,OBJECTIFS!$F$277:$F$398),(((J35*3%)*10%)*10.25))),0)</f>
        <v/>
      </c>
      <c r="J35" s="91"/>
      <c r="K35" s="92"/>
      <c r="L35" s="194"/>
      <c r="M35" s="194"/>
      <c r="N35" s="93">
        <f t="shared" si="3"/>
        <v>0</v>
      </c>
      <c r="O35" s="45"/>
      <c r="P35" s="120"/>
      <c r="Q35" s="107"/>
      <c r="R35" s="107"/>
      <c r="S35" s="107"/>
      <c r="T35" s="107"/>
      <c r="U35" s="121">
        <f t="shared" si="10"/>
        <v>0</v>
      </c>
      <c r="V35" s="121">
        <f t="shared" si="8"/>
        <v>22</v>
      </c>
      <c r="W35" s="122">
        <f t="shared" si="5"/>
        <v>0</v>
      </c>
      <c r="X35" s="123" t="str">
        <f t="shared" si="0"/>
        <v/>
      </c>
      <c r="Y35" s="48"/>
      <c r="Z35" s="131">
        <f>IFERROR(VLOOKUP(B35,OBJECTIFS!$C$76:$E$137,2,FALSE),0)</f>
        <v>0</v>
      </c>
      <c r="AA35" s="82"/>
      <c r="AB35" s="133">
        <f>IFERROR(VLOOKUP(B35,OBJECTIFS!$H$76:$J$137,2,FALSE),0)</f>
        <v>0</v>
      </c>
      <c r="AC35" s="134">
        <f t="shared" si="6"/>
        <v>0</v>
      </c>
      <c r="AD35" s="138"/>
      <c r="AE35" s="133">
        <f>IFERROR(VLOOKUP(B35,OBJECTIFS!$C$142:$E$203,2,FALSE),0)</f>
        <v>0</v>
      </c>
      <c r="AF35" s="140">
        <f>IFERROR(VLOOKUP(B35,OBJECTIFS!$H$142:$J$203,2,FALSE),0)</f>
        <v>0</v>
      </c>
      <c r="AG35" s="140">
        <f>IFERROR(VLOOKUP(B35,OBJECTIFS!$F$208:$H$269,3,FALSE),0)</f>
        <v>0</v>
      </c>
      <c r="AH35" s="48"/>
      <c r="AI35" s="142">
        <f t="shared" si="7"/>
        <v>0</v>
      </c>
      <c r="AJ35" s="45"/>
      <c r="AK35" s="144">
        <f t="shared" si="1"/>
        <v>0</v>
      </c>
      <c r="AL35" s="85" t="str">
        <f t="shared" si="11"/>
        <v/>
      </c>
      <c r="AM35" s="146" t="str">
        <f t="shared" si="9"/>
        <v/>
      </c>
    </row>
    <row r="36" spans="1:39" x14ac:dyDescent="0.2">
      <c r="A36" s="104"/>
      <c r="B36" s="105"/>
      <c r="C36" s="105"/>
      <c r="D36" s="106"/>
      <c r="E36" s="107"/>
      <c r="F36" s="108"/>
      <c r="H36" s="97" t="str">
        <f>IFERROR(IF(OR(D36="",F36="",A36=""),"",IF(AND(E36="non",J36&lt;165000),LOOKUP(J36,OBJECTIFS!$E$277:$E$398,OBJECTIFS!$F$277:$F$398),(((J36*3%)*10%)*10.25))),0)</f>
        <v/>
      </c>
      <c r="J36" s="91"/>
      <c r="K36" s="92"/>
      <c r="L36" s="194"/>
      <c r="M36" s="194"/>
      <c r="N36" s="93">
        <f t="shared" si="3"/>
        <v>0</v>
      </c>
      <c r="O36" s="45"/>
      <c r="P36" s="120"/>
      <c r="Q36" s="107"/>
      <c r="R36" s="107"/>
      <c r="S36" s="107"/>
      <c r="T36" s="107"/>
      <c r="U36" s="121">
        <f t="shared" si="10"/>
        <v>0</v>
      </c>
      <c r="V36" s="121">
        <f t="shared" si="8"/>
        <v>22</v>
      </c>
      <c r="W36" s="122">
        <f t="shared" si="5"/>
        <v>0</v>
      </c>
      <c r="X36" s="123" t="str">
        <f t="shared" si="0"/>
        <v/>
      </c>
      <c r="Y36" s="48"/>
      <c r="Z36" s="131">
        <f>IFERROR(VLOOKUP(B36,OBJECTIFS!$C$76:$E$137,2,FALSE),0)</f>
        <v>0</v>
      </c>
      <c r="AA36" s="82"/>
      <c r="AB36" s="133">
        <f>IFERROR(VLOOKUP(B36,OBJECTIFS!$H$76:$J$137,2,FALSE),0)</f>
        <v>0</v>
      </c>
      <c r="AC36" s="134">
        <f t="shared" si="6"/>
        <v>0</v>
      </c>
      <c r="AD36" s="138"/>
      <c r="AE36" s="133">
        <f>IFERROR(VLOOKUP(B36,OBJECTIFS!$C$142:$E$203,2,FALSE),0)</f>
        <v>0</v>
      </c>
      <c r="AF36" s="140">
        <f>IFERROR(VLOOKUP(B36,OBJECTIFS!$H$142:$J$203,2,FALSE),0)</f>
        <v>0</v>
      </c>
      <c r="AG36" s="140">
        <f>IFERROR(VLOOKUP(B36,OBJECTIFS!$F$208:$H$269,3,FALSE),0)</f>
        <v>0</v>
      </c>
      <c r="AH36" s="48"/>
      <c r="AI36" s="142">
        <f t="shared" si="7"/>
        <v>0</v>
      </c>
      <c r="AJ36" s="45"/>
      <c r="AK36" s="144">
        <f t="shared" si="1"/>
        <v>0</v>
      </c>
      <c r="AL36" s="85" t="str">
        <f t="shared" si="11"/>
        <v/>
      </c>
      <c r="AM36" s="146" t="str">
        <f t="shared" si="9"/>
        <v/>
      </c>
    </row>
    <row r="37" spans="1:39" x14ac:dyDescent="0.2">
      <c r="A37" s="104"/>
      <c r="B37" s="105"/>
      <c r="C37" s="105"/>
      <c r="D37" s="106"/>
      <c r="E37" s="107"/>
      <c r="F37" s="108"/>
      <c r="H37" s="97" t="str">
        <f>IFERROR(IF(OR(D37="",F37="",A37=""),"",IF(AND(E37="non",J37&lt;165000),LOOKUP(J37,OBJECTIFS!$E$277:$E$398,OBJECTIFS!$F$277:$F$398),(((J37*3%)*10%)*10.25))),0)</f>
        <v/>
      </c>
      <c r="J37" s="91"/>
      <c r="K37" s="92"/>
      <c r="L37" s="194"/>
      <c r="M37" s="194"/>
      <c r="N37" s="93">
        <f t="shared" si="3"/>
        <v>0</v>
      </c>
      <c r="O37" s="45"/>
      <c r="P37" s="120"/>
      <c r="Q37" s="107"/>
      <c r="R37" s="107"/>
      <c r="S37" s="107"/>
      <c r="T37" s="107"/>
      <c r="U37" s="121">
        <f t="shared" si="10"/>
        <v>0</v>
      </c>
      <c r="V37" s="121">
        <f t="shared" si="8"/>
        <v>22</v>
      </c>
      <c r="W37" s="122">
        <f t="shared" si="5"/>
        <v>0</v>
      </c>
      <c r="X37" s="123" t="str">
        <f t="shared" si="0"/>
        <v/>
      </c>
      <c r="Y37" s="48"/>
      <c r="Z37" s="131">
        <f>IFERROR(VLOOKUP(B37,OBJECTIFS!$C$76:$E$137,2,FALSE),0)</f>
        <v>0</v>
      </c>
      <c r="AA37" s="82"/>
      <c r="AB37" s="133">
        <f>IFERROR(VLOOKUP(B37,OBJECTIFS!$H$76:$J$137,2,FALSE),0)</f>
        <v>0</v>
      </c>
      <c r="AC37" s="134">
        <f t="shared" si="6"/>
        <v>0</v>
      </c>
      <c r="AD37" s="138"/>
      <c r="AE37" s="133">
        <f>IFERROR(VLOOKUP(B37,OBJECTIFS!$C$142:$E$203,2,FALSE),0)</f>
        <v>0</v>
      </c>
      <c r="AF37" s="140">
        <f>IFERROR(VLOOKUP(B37,OBJECTIFS!$H$142:$J$203,2,FALSE),0)</f>
        <v>0</v>
      </c>
      <c r="AG37" s="140">
        <f>IFERROR(VLOOKUP(B37,OBJECTIFS!$F$208:$H$269,3,FALSE),0)</f>
        <v>0</v>
      </c>
      <c r="AH37" s="48"/>
      <c r="AI37" s="142">
        <f t="shared" si="7"/>
        <v>0</v>
      </c>
      <c r="AJ37" s="45"/>
      <c r="AK37" s="144">
        <f t="shared" si="1"/>
        <v>0</v>
      </c>
      <c r="AL37" s="85" t="str">
        <f t="shared" si="11"/>
        <v/>
      </c>
      <c r="AM37" s="146" t="str">
        <f t="shared" si="9"/>
        <v/>
      </c>
    </row>
    <row r="38" spans="1:39" x14ac:dyDescent="0.2">
      <c r="A38" s="104"/>
      <c r="B38" s="105"/>
      <c r="C38" s="105"/>
      <c r="D38" s="106"/>
      <c r="E38" s="107"/>
      <c r="F38" s="108"/>
      <c r="H38" s="97" t="str">
        <f>IFERROR(IF(OR(D38="",F38="",A38=""),"",IF(AND(E38="non",J38&lt;165000),LOOKUP(J38,OBJECTIFS!$E$277:$E$398,OBJECTIFS!$F$277:$F$398),(((J38*3%)*10%)*10.25))),0)</f>
        <v/>
      </c>
      <c r="J38" s="91"/>
      <c r="K38" s="92"/>
      <c r="L38" s="194"/>
      <c r="M38" s="194"/>
      <c r="N38" s="93">
        <f t="shared" si="3"/>
        <v>0</v>
      </c>
      <c r="O38" s="45"/>
      <c r="P38" s="120"/>
      <c r="Q38" s="107"/>
      <c r="R38" s="107"/>
      <c r="S38" s="107"/>
      <c r="T38" s="107"/>
      <c r="U38" s="121">
        <f t="shared" si="10"/>
        <v>0</v>
      </c>
      <c r="V38" s="121">
        <f t="shared" si="8"/>
        <v>22</v>
      </c>
      <c r="W38" s="122">
        <f t="shared" si="5"/>
        <v>0</v>
      </c>
      <c r="X38" s="123" t="str">
        <f t="shared" si="0"/>
        <v/>
      </c>
      <c r="Y38" s="48"/>
      <c r="Z38" s="131">
        <f>IFERROR(VLOOKUP(B38,OBJECTIFS!$C$76:$E$137,2,FALSE),0)</f>
        <v>0</v>
      </c>
      <c r="AA38" s="82"/>
      <c r="AB38" s="133">
        <f>IFERROR(VLOOKUP(B38,OBJECTIFS!$H$76:$J$137,2,FALSE),0)</f>
        <v>0</v>
      </c>
      <c r="AC38" s="134">
        <f t="shared" si="6"/>
        <v>0</v>
      </c>
      <c r="AD38" s="138"/>
      <c r="AE38" s="133">
        <f>IFERROR(VLOOKUP(B38,OBJECTIFS!$C$142:$E$203,2,FALSE),0)</f>
        <v>0</v>
      </c>
      <c r="AF38" s="140">
        <f>IFERROR(VLOOKUP(B38,OBJECTIFS!$H$142:$J$203,2,FALSE),0)</f>
        <v>0</v>
      </c>
      <c r="AG38" s="140">
        <f>IFERROR(VLOOKUP(B38,OBJECTIFS!$F$208:$H$269,3,FALSE),0)</f>
        <v>0</v>
      </c>
      <c r="AH38" s="48"/>
      <c r="AI38" s="142">
        <f t="shared" si="7"/>
        <v>0</v>
      </c>
      <c r="AJ38" s="45"/>
      <c r="AK38" s="144">
        <f t="shared" si="1"/>
        <v>0</v>
      </c>
      <c r="AL38" s="85" t="str">
        <f t="shared" si="11"/>
        <v/>
      </c>
      <c r="AM38" s="146" t="str">
        <f t="shared" si="9"/>
        <v/>
      </c>
    </row>
    <row r="39" spans="1:39" x14ac:dyDescent="0.2">
      <c r="A39" s="104"/>
      <c r="B39" s="105"/>
      <c r="C39" s="105"/>
      <c r="D39" s="106"/>
      <c r="E39" s="107"/>
      <c r="F39" s="108"/>
      <c r="H39" s="97" t="str">
        <f>IFERROR(IF(OR(D39="",F39="",A39=""),"",IF(AND(E39="non",J39&lt;165000),LOOKUP(J39,OBJECTIFS!$E$277:$E$398,OBJECTIFS!$F$277:$F$398),(((J39*3%)*10%)*10.25))),0)</f>
        <v/>
      </c>
      <c r="J39" s="91"/>
      <c r="K39" s="92"/>
      <c r="L39" s="194"/>
      <c r="M39" s="194"/>
      <c r="N39" s="93">
        <f t="shared" si="3"/>
        <v>0</v>
      </c>
      <c r="O39" s="45"/>
      <c r="P39" s="120"/>
      <c r="Q39" s="107"/>
      <c r="R39" s="107"/>
      <c r="S39" s="107"/>
      <c r="T39" s="107"/>
      <c r="U39" s="121">
        <f t="shared" si="10"/>
        <v>0</v>
      </c>
      <c r="V39" s="121">
        <f t="shared" si="8"/>
        <v>22</v>
      </c>
      <c r="W39" s="122">
        <f t="shared" si="5"/>
        <v>0</v>
      </c>
      <c r="X39" s="123" t="str">
        <f t="shared" si="0"/>
        <v/>
      </c>
      <c r="Y39" s="48"/>
      <c r="Z39" s="131">
        <f>IFERROR(VLOOKUP(B39,OBJECTIFS!$C$76:$E$137,2,FALSE),0)</f>
        <v>0</v>
      </c>
      <c r="AA39" s="82"/>
      <c r="AB39" s="133">
        <f>IFERROR(VLOOKUP(B39,OBJECTIFS!$H$76:$J$137,2,FALSE),0)</f>
        <v>0</v>
      </c>
      <c r="AC39" s="134">
        <f t="shared" si="6"/>
        <v>0</v>
      </c>
      <c r="AD39" s="138"/>
      <c r="AE39" s="133">
        <f>IFERROR(VLOOKUP(B39,OBJECTIFS!$C$142:$E$203,2,FALSE),0)</f>
        <v>0</v>
      </c>
      <c r="AF39" s="140">
        <f>IFERROR(VLOOKUP(B39,OBJECTIFS!$H$142:$J$203,2,FALSE),0)</f>
        <v>0</v>
      </c>
      <c r="AG39" s="140">
        <f>IFERROR(VLOOKUP(B39,OBJECTIFS!$F$208:$H$269,3,FALSE),0)</f>
        <v>0</v>
      </c>
      <c r="AH39" s="48"/>
      <c r="AI39" s="142">
        <f t="shared" si="7"/>
        <v>0</v>
      </c>
      <c r="AJ39" s="45"/>
      <c r="AK39" s="144">
        <f t="shared" si="1"/>
        <v>0</v>
      </c>
      <c r="AL39" s="85" t="str">
        <f t="shared" si="11"/>
        <v/>
      </c>
      <c r="AM39" s="146" t="str">
        <f t="shared" si="9"/>
        <v/>
      </c>
    </row>
    <row r="40" spans="1:39" x14ac:dyDescent="0.2">
      <c r="A40" s="104"/>
      <c r="B40" s="105"/>
      <c r="C40" s="105"/>
      <c r="D40" s="106"/>
      <c r="E40" s="107"/>
      <c r="F40" s="108"/>
      <c r="H40" s="97" t="str">
        <f>IFERROR(IF(OR(D40="",F40="",A40=""),"",IF(AND(E40="non",J40&lt;165000),LOOKUP(J40,OBJECTIFS!$E$277:$E$398,OBJECTIFS!$F$277:$F$398),(((J40*3%)*10%)*10.25))),0)</f>
        <v/>
      </c>
      <c r="J40" s="91"/>
      <c r="K40" s="92"/>
      <c r="L40" s="194"/>
      <c r="M40" s="194"/>
      <c r="N40" s="93">
        <f t="shared" si="3"/>
        <v>0</v>
      </c>
      <c r="O40" s="45"/>
      <c r="P40" s="120"/>
      <c r="Q40" s="107"/>
      <c r="R40" s="107"/>
      <c r="S40" s="107"/>
      <c r="T40" s="107"/>
      <c r="U40" s="121">
        <f t="shared" si="10"/>
        <v>0</v>
      </c>
      <c r="V40" s="121">
        <f t="shared" si="8"/>
        <v>22</v>
      </c>
      <c r="W40" s="122">
        <f t="shared" si="5"/>
        <v>0</v>
      </c>
      <c r="X40" s="123" t="str">
        <f t="shared" si="0"/>
        <v/>
      </c>
      <c r="Y40" s="48"/>
      <c r="Z40" s="131">
        <f>IFERROR(VLOOKUP(B40,OBJECTIFS!$C$76:$E$137,2,FALSE),0)</f>
        <v>0</v>
      </c>
      <c r="AA40" s="82"/>
      <c r="AB40" s="133">
        <f>IFERROR(VLOOKUP(B40,OBJECTIFS!$H$76:$J$137,2,FALSE),0)</f>
        <v>0</v>
      </c>
      <c r="AC40" s="134">
        <f t="shared" si="6"/>
        <v>0</v>
      </c>
      <c r="AD40" s="138"/>
      <c r="AE40" s="133">
        <f>IFERROR(VLOOKUP(B40,OBJECTIFS!$C$142:$E$203,2,FALSE),0)</f>
        <v>0</v>
      </c>
      <c r="AF40" s="140">
        <f>IFERROR(VLOOKUP(B40,OBJECTIFS!$H$142:$J$203,2,FALSE),0)</f>
        <v>0</v>
      </c>
      <c r="AG40" s="140">
        <f>IFERROR(VLOOKUP(B40,OBJECTIFS!$F$208:$H$269,3,FALSE),0)</f>
        <v>0</v>
      </c>
      <c r="AH40" s="48"/>
      <c r="AI40" s="142">
        <f t="shared" si="7"/>
        <v>0</v>
      </c>
      <c r="AJ40" s="45"/>
      <c r="AK40" s="144">
        <f t="shared" si="1"/>
        <v>0</v>
      </c>
      <c r="AL40" s="85" t="str">
        <f t="shared" si="11"/>
        <v/>
      </c>
      <c r="AM40" s="146" t="str">
        <f t="shared" si="9"/>
        <v/>
      </c>
    </row>
    <row r="41" spans="1:39" x14ac:dyDescent="0.2">
      <c r="A41" s="104"/>
      <c r="B41" s="105"/>
      <c r="C41" s="105"/>
      <c r="D41" s="106"/>
      <c r="E41" s="107"/>
      <c r="F41" s="108"/>
      <c r="H41" s="97" t="str">
        <f>IFERROR(IF(OR(D41="",F41="",A41=""),"",IF(AND(E41="non",J41&lt;165000),LOOKUP(J41,OBJECTIFS!$E$277:$E$398,OBJECTIFS!$F$277:$F$398),(((J41*3%)*10%)*10.25))),0)</f>
        <v/>
      </c>
      <c r="J41" s="91"/>
      <c r="K41" s="92"/>
      <c r="L41" s="194"/>
      <c r="M41" s="194"/>
      <c r="N41" s="93">
        <f t="shared" si="3"/>
        <v>0</v>
      </c>
      <c r="O41" s="45"/>
      <c r="P41" s="120"/>
      <c r="Q41" s="107"/>
      <c r="R41" s="107"/>
      <c r="S41" s="107"/>
      <c r="T41" s="107"/>
      <c r="U41" s="121">
        <f t="shared" si="10"/>
        <v>0</v>
      </c>
      <c r="V41" s="121">
        <f t="shared" si="8"/>
        <v>22</v>
      </c>
      <c r="W41" s="122">
        <f t="shared" si="5"/>
        <v>0</v>
      </c>
      <c r="X41" s="123" t="str">
        <f t="shared" ref="X41:X72" si="12">IFERROR((H41*N41/100)*(1+W41),"")</f>
        <v/>
      </c>
      <c r="Y41" s="48"/>
      <c r="Z41" s="131">
        <f>IFERROR(VLOOKUP(B41,OBJECTIFS!$C$76:$E$137,2,FALSE),0)</f>
        <v>0</v>
      </c>
      <c r="AA41" s="82"/>
      <c r="AB41" s="133">
        <f>IFERROR(VLOOKUP(B41,OBJECTIFS!$H$76:$J$137,2,FALSE),0)</f>
        <v>0</v>
      </c>
      <c r="AC41" s="134">
        <f t="shared" si="6"/>
        <v>0</v>
      </c>
      <c r="AD41" s="138"/>
      <c r="AE41" s="133">
        <f>IFERROR(VLOOKUP(B41,OBJECTIFS!$C$142:$E$203,2,FALSE),0)</f>
        <v>0</v>
      </c>
      <c r="AF41" s="140">
        <f>IFERROR(VLOOKUP(B41,OBJECTIFS!$H$142:$J$203,2,FALSE),0)</f>
        <v>0</v>
      </c>
      <c r="AG41" s="140">
        <f>IFERROR(VLOOKUP(B41,OBJECTIFS!$F$208:$H$269,3,FALSE),0)</f>
        <v>0</v>
      </c>
      <c r="AH41" s="48"/>
      <c r="AI41" s="142">
        <f t="shared" si="7"/>
        <v>0</v>
      </c>
      <c r="AJ41" s="45"/>
      <c r="AK41" s="144">
        <f t="shared" ref="AK41:AK72" si="13">IFERROR(IF(OR(Q41&gt;=2,R41&gt;=8,AND(Q41=1,R41&gt;=4)),0,IF(OR(AND(Q41=1,R41&lt;4),AND(Q41=0,R41&gt;=4,R41&lt;8)),0.5,1))*N41*(V41-U41)/V41,"")</f>
        <v>0</v>
      </c>
      <c r="AL41" s="85" t="str">
        <f t="shared" si="11"/>
        <v/>
      </c>
      <c r="AM41" s="146" t="str">
        <f t="shared" si="9"/>
        <v/>
      </c>
    </row>
    <row r="42" spans="1:39" x14ac:dyDescent="0.2">
      <c r="A42" s="104"/>
      <c r="B42" s="105"/>
      <c r="C42" s="105"/>
      <c r="D42" s="106"/>
      <c r="E42" s="107"/>
      <c r="F42" s="108"/>
      <c r="H42" s="97" t="str">
        <f>IFERROR(IF(OR(D42="",F42="",A42=""),"",IF(AND(E42="non",J42&lt;165000),LOOKUP(J42,OBJECTIFS!$E$277:$E$398,OBJECTIFS!$F$277:$F$398),(((J42*3%)*10%)*10.25))),0)</f>
        <v/>
      </c>
      <c r="J42" s="91"/>
      <c r="K42" s="92"/>
      <c r="L42" s="194"/>
      <c r="M42" s="194"/>
      <c r="N42" s="93">
        <f t="shared" si="3"/>
        <v>0</v>
      </c>
      <c r="O42" s="45"/>
      <c r="P42" s="120"/>
      <c r="Q42" s="107"/>
      <c r="R42" s="107"/>
      <c r="S42" s="107"/>
      <c r="T42" s="107"/>
      <c r="U42" s="121">
        <f t="shared" si="10"/>
        <v>0</v>
      </c>
      <c r="V42" s="121">
        <f t="shared" si="8"/>
        <v>22</v>
      </c>
      <c r="W42" s="122">
        <f t="shared" si="5"/>
        <v>0</v>
      </c>
      <c r="X42" s="123" t="str">
        <f t="shared" si="12"/>
        <v/>
      </c>
      <c r="Y42" s="48"/>
      <c r="Z42" s="131">
        <f>IFERROR(VLOOKUP(B42,OBJECTIFS!$C$76:$E$137,2,FALSE),0)</f>
        <v>0</v>
      </c>
      <c r="AA42" s="82"/>
      <c r="AB42" s="133">
        <f>IFERROR(VLOOKUP(B42,OBJECTIFS!$H$76:$J$137,2,FALSE),0)</f>
        <v>0</v>
      </c>
      <c r="AC42" s="134">
        <f t="shared" si="6"/>
        <v>0</v>
      </c>
      <c r="AD42" s="138"/>
      <c r="AE42" s="133">
        <f>IFERROR(VLOOKUP(B42,OBJECTIFS!$C$142:$E$203,2,FALSE),0)</f>
        <v>0</v>
      </c>
      <c r="AF42" s="140">
        <f>IFERROR(VLOOKUP(B42,OBJECTIFS!$H$142:$J$203,2,FALSE),0)</f>
        <v>0</v>
      </c>
      <c r="AG42" s="140">
        <f>IFERROR(VLOOKUP(B42,OBJECTIFS!$F$208:$H$269,3,FALSE),0)</f>
        <v>0</v>
      </c>
      <c r="AH42" s="48"/>
      <c r="AI42" s="142">
        <f t="shared" si="7"/>
        <v>0</v>
      </c>
      <c r="AJ42" s="45"/>
      <c r="AK42" s="144">
        <f t="shared" si="13"/>
        <v>0</v>
      </c>
      <c r="AL42" s="85" t="str">
        <f t="shared" si="11"/>
        <v/>
      </c>
      <c r="AM42" s="146" t="str">
        <f t="shared" si="9"/>
        <v/>
      </c>
    </row>
    <row r="43" spans="1:39" x14ac:dyDescent="0.2">
      <c r="A43" s="104"/>
      <c r="B43" s="105"/>
      <c r="C43" s="105"/>
      <c r="D43" s="106"/>
      <c r="E43" s="107"/>
      <c r="F43" s="108"/>
      <c r="H43" s="97" t="str">
        <f>IFERROR(IF(OR(D43="",F43="",A43=""),"",IF(AND(E43="non",J43&lt;165000),LOOKUP(J43,OBJECTIFS!$E$277:$E$398,OBJECTIFS!$F$277:$F$398),(((J43*3%)*10%)*10.25))),0)</f>
        <v/>
      </c>
      <c r="J43" s="91"/>
      <c r="K43" s="92"/>
      <c r="L43" s="194"/>
      <c r="M43" s="194"/>
      <c r="N43" s="93">
        <f t="shared" si="3"/>
        <v>0</v>
      </c>
      <c r="O43" s="45"/>
      <c r="P43" s="120"/>
      <c r="Q43" s="107"/>
      <c r="R43" s="107"/>
      <c r="S43" s="107"/>
      <c r="T43" s="107"/>
      <c r="U43" s="121">
        <f t="shared" si="10"/>
        <v>0</v>
      </c>
      <c r="V43" s="121">
        <f t="shared" si="8"/>
        <v>22</v>
      </c>
      <c r="W43" s="122">
        <f t="shared" si="5"/>
        <v>0</v>
      </c>
      <c r="X43" s="123" t="str">
        <f t="shared" si="12"/>
        <v/>
      </c>
      <c r="Y43" s="48"/>
      <c r="Z43" s="131">
        <f>IFERROR(VLOOKUP(B43,OBJECTIFS!$C$76:$E$137,2,FALSE),0)</f>
        <v>0</v>
      </c>
      <c r="AA43" s="82"/>
      <c r="AB43" s="133">
        <f>IFERROR(VLOOKUP(B43,OBJECTIFS!$H$76:$J$137,2,FALSE),0)</f>
        <v>0</v>
      </c>
      <c r="AC43" s="134">
        <f t="shared" si="6"/>
        <v>0</v>
      </c>
      <c r="AD43" s="138"/>
      <c r="AE43" s="133">
        <f>IFERROR(VLOOKUP(B43,OBJECTIFS!$C$142:$E$203,2,FALSE),0)</f>
        <v>0</v>
      </c>
      <c r="AF43" s="140">
        <f>IFERROR(VLOOKUP(B43,OBJECTIFS!$H$142:$J$203,2,FALSE),0)</f>
        <v>0</v>
      </c>
      <c r="AG43" s="140">
        <f>IFERROR(VLOOKUP(B43,OBJECTIFS!$F$208:$H$269,3,FALSE),0)</f>
        <v>0</v>
      </c>
      <c r="AH43" s="48"/>
      <c r="AI43" s="142">
        <f t="shared" si="7"/>
        <v>0</v>
      </c>
      <c r="AJ43" s="45"/>
      <c r="AK43" s="144">
        <f t="shared" si="13"/>
        <v>0</v>
      </c>
      <c r="AL43" s="85" t="str">
        <f t="shared" si="11"/>
        <v/>
      </c>
      <c r="AM43" s="146" t="str">
        <f t="shared" ref="AM43:AM79" si="14">IF(AK43=0,"",IF(AK43&gt;=MAX($AK$9:$AK$78),A43,""))</f>
        <v/>
      </c>
    </row>
    <row r="44" spans="1:39" x14ac:dyDescent="0.2">
      <c r="A44" s="104"/>
      <c r="B44" s="105"/>
      <c r="C44" s="105"/>
      <c r="D44" s="106"/>
      <c r="E44" s="107"/>
      <c r="F44" s="108"/>
      <c r="H44" s="97" t="str">
        <f>IFERROR(IF(OR(D44="",F44="",A44=""),"",IF(AND(E44="non",J44&lt;165000),LOOKUP(J44,OBJECTIFS!$E$277:$E$398,OBJECTIFS!$F$277:$F$398),(((J44*3%)*10%)*10.25))),0)</f>
        <v/>
      </c>
      <c r="J44" s="91"/>
      <c r="K44" s="92"/>
      <c r="L44" s="194"/>
      <c r="M44" s="194"/>
      <c r="N44" s="93">
        <f t="shared" si="3"/>
        <v>0</v>
      </c>
      <c r="O44" s="45"/>
      <c r="P44" s="120"/>
      <c r="Q44" s="107"/>
      <c r="R44" s="107"/>
      <c r="S44" s="107"/>
      <c r="T44" s="107"/>
      <c r="U44" s="121">
        <f t="shared" si="10"/>
        <v>0</v>
      </c>
      <c r="V44" s="121">
        <f t="shared" si="8"/>
        <v>22</v>
      </c>
      <c r="W44" s="122">
        <f t="shared" si="5"/>
        <v>0</v>
      </c>
      <c r="X44" s="123" t="str">
        <f t="shared" si="12"/>
        <v/>
      </c>
      <c r="Y44" s="48"/>
      <c r="Z44" s="131">
        <f>IFERROR(VLOOKUP(B44,OBJECTIFS!$C$76:$E$137,2,FALSE),0)</f>
        <v>0</v>
      </c>
      <c r="AA44" s="82"/>
      <c r="AB44" s="133">
        <f>IFERROR(VLOOKUP(B44,OBJECTIFS!$H$76:$J$137,2,FALSE),0)</f>
        <v>0</v>
      </c>
      <c r="AC44" s="134">
        <f t="shared" si="6"/>
        <v>0</v>
      </c>
      <c r="AD44" s="138"/>
      <c r="AE44" s="133">
        <f>IFERROR(VLOOKUP(B44,OBJECTIFS!$C$142:$E$203,2,FALSE),0)</f>
        <v>0</v>
      </c>
      <c r="AF44" s="140">
        <f>IFERROR(VLOOKUP(B44,OBJECTIFS!$H$142:$J$203,2,FALSE),0)</f>
        <v>0</v>
      </c>
      <c r="AG44" s="140">
        <f>IFERROR(VLOOKUP(B44,OBJECTIFS!$F$208:$H$269,3,FALSE),0)</f>
        <v>0</v>
      </c>
      <c r="AH44" s="48"/>
      <c r="AI44" s="142">
        <f t="shared" si="7"/>
        <v>0</v>
      </c>
      <c r="AJ44" s="45"/>
      <c r="AK44" s="144">
        <f t="shared" si="13"/>
        <v>0</v>
      </c>
      <c r="AL44" s="85" t="str">
        <f t="shared" si="11"/>
        <v/>
      </c>
      <c r="AM44" s="146" t="str">
        <f t="shared" si="14"/>
        <v/>
      </c>
    </row>
    <row r="45" spans="1:39" x14ac:dyDescent="0.2">
      <c r="A45" s="104"/>
      <c r="B45" s="105"/>
      <c r="C45" s="105"/>
      <c r="D45" s="106"/>
      <c r="E45" s="107"/>
      <c r="F45" s="108"/>
      <c r="H45" s="97" t="str">
        <f>IFERROR(IF(OR(D45="",F45="",A45=""),"",IF(AND(E45="non",J45&lt;165000),LOOKUP(J45,OBJECTIFS!$E$277:$E$398,OBJECTIFS!$F$277:$F$398),(((J45*3%)*10%)*10.25))),0)</f>
        <v/>
      </c>
      <c r="J45" s="91"/>
      <c r="K45" s="92"/>
      <c r="L45" s="194"/>
      <c r="M45" s="194"/>
      <c r="N45" s="93">
        <f t="shared" si="3"/>
        <v>0</v>
      </c>
      <c r="O45" s="45"/>
      <c r="P45" s="120"/>
      <c r="Q45" s="107"/>
      <c r="R45" s="107"/>
      <c r="S45" s="107"/>
      <c r="T45" s="107"/>
      <c r="U45" s="121">
        <f t="shared" si="10"/>
        <v>0</v>
      </c>
      <c r="V45" s="121">
        <f t="shared" si="8"/>
        <v>22</v>
      </c>
      <c r="W45" s="122">
        <f t="shared" si="5"/>
        <v>0</v>
      </c>
      <c r="X45" s="123" t="str">
        <f t="shared" si="12"/>
        <v/>
      </c>
      <c r="Y45" s="48"/>
      <c r="Z45" s="131">
        <f>IFERROR(VLOOKUP(B45,OBJECTIFS!$C$76:$E$137,2,FALSE),0)</f>
        <v>0</v>
      </c>
      <c r="AA45" s="82"/>
      <c r="AB45" s="133">
        <f>IFERROR(VLOOKUP(B45,OBJECTIFS!$H$76:$J$137,2,FALSE),0)</f>
        <v>0</v>
      </c>
      <c r="AC45" s="134">
        <f t="shared" si="6"/>
        <v>0</v>
      </c>
      <c r="AD45" s="138"/>
      <c r="AE45" s="133">
        <f>IFERROR(VLOOKUP(B45,OBJECTIFS!$C$142:$E$203,2,FALSE),0)</f>
        <v>0</v>
      </c>
      <c r="AF45" s="140">
        <f>IFERROR(VLOOKUP(B45,OBJECTIFS!$H$142:$J$203,2,FALSE),0)</f>
        <v>0</v>
      </c>
      <c r="AG45" s="140">
        <f>IFERROR(VLOOKUP(B45,OBJECTIFS!$F$208:$H$269,3,FALSE),0)</f>
        <v>0</v>
      </c>
      <c r="AH45" s="48"/>
      <c r="AI45" s="142">
        <f t="shared" si="7"/>
        <v>0</v>
      </c>
      <c r="AJ45" s="45"/>
      <c r="AK45" s="144">
        <f t="shared" si="13"/>
        <v>0</v>
      </c>
      <c r="AL45" s="85" t="str">
        <f t="shared" si="11"/>
        <v/>
      </c>
      <c r="AM45" s="146" t="str">
        <f t="shared" si="14"/>
        <v/>
      </c>
    </row>
    <row r="46" spans="1:39" x14ac:dyDescent="0.2">
      <c r="A46" s="104"/>
      <c r="B46" s="105"/>
      <c r="C46" s="105"/>
      <c r="D46" s="106"/>
      <c r="E46" s="107"/>
      <c r="F46" s="108"/>
      <c r="H46" s="97" t="str">
        <f>IFERROR(IF(OR(D46="",F46="",A46=""),"",IF(AND(E46="non",J46&lt;165000),LOOKUP(J46,OBJECTIFS!$E$277:$E$398,OBJECTIFS!$F$277:$F$398),(((J46*3%)*10%)*10.25))),0)</f>
        <v/>
      </c>
      <c r="J46" s="91"/>
      <c r="K46" s="92"/>
      <c r="L46" s="194"/>
      <c r="M46" s="194"/>
      <c r="N46" s="93">
        <f t="shared" si="3"/>
        <v>0</v>
      </c>
      <c r="O46" s="45"/>
      <c r="P46" s="120"/>
      <c r="Q46" s="107"/>
      <c r="R46" s="107"/>
      <c r="S46" s="107"/>
      <c r="T46" s="107"/>
      <c r="U46" s="121">
        <f t="shared" si="10"/>
        <v>0</v>
      </c>
      <c r="V46" s="121">
        <f t="shared" si="8"/>
        <v>22</v>
      </c>
      <c r="W46" s="122">
        <f t="shared" si="5"/>
        <v>0</v>
      </c>
      <c r="X46" s="123" t="str">
        <f t="shared" si="12"/>
        <v/>
      </c>
      <c r="Y46" s="48"/>
      <c r="Z46" s="131">
        <f>IFERROR(VLOOKUP(B46,OBJECTIFS!$C$76:$E$137,2,FALSE),0)</f>
        <v>0</v>
      </c>
      <c r="AA46" s="82"/>
      <c r="AB46" s="133">
        <f>IFERROR(VLOOKUP(B46,OBJECTIFS!$H$76:$J$137,2,FALSE),0)</f>
        <v>0</v>
      </c>
      <c r="AC46" s="134">
        <f t="shared" si="6"/>
        <v>0</v>
      </c>
      <c r="AD46" s="138"/>
      <c r="AE46" s="133">
        <f>IFERROR(VLOOKUP(B46,OBJECTIFS!$C$142:$E$203,2,FALSE),0)</f>
        <v>0</v>
      </c>
      <c r="AF46" s="140">
        <f>IFERROR(VLOOKUP(B46,OBJECTIFS!$H$142:$J$203,2,FALSE),0)</f>
        <v>0</v>
      </c>
      <c r="AG46" s="140">
        <f>IFERROR(VLOOKUP(B46,OBJECTIFS!$F$208:$H$269,3,FALSE),0)</f>
        <v>0</v>
      </c>
      <c r="AH46" s="48"/>
      <c r="AI46" s="142">
        <f t="shared" si="7"/>
        <v>0</v>
      </c>
      <c r="AJ46" s="45"/>
      <c r="AK46" s="144">
        <f t="shared" si="13"/>
        <v>0</v>
      </c>
      <c r="AL46" s="85" t="str">
        <f t="shared" si="11"/>
        <v/>
      </c>
      <c r="AM46" s="146" t="str">
        <f t="shared" si="14"/>
        <v/>
      </c>
    </row>
    <row r="47" spans="1:39" x14ac:dyDescent="0.2">
      <c r="A47" s="104"/>
      <c r="B47" s="105"/>
      <c r="C47" s="105"/>
      <c r="D47" s="106"/>
      <c r="E47" s="107"/>
      <c r="F47" s="108"/>
      <c r="H47" s="97" t="str">
        <f>IFERROR(IF(OR(D47="",F47="",A47=""),"",IF(AND(E47="non",J47&lt;165000),LOOKUP(J47,OBJECTIFS!$E$277:$E$398,OBJECTIFS!$F$277:$F$398),(((J47*3%)*10%)*10.25))),0)</f>
        <v/>
      </c>
      <c r="J47" s="91"/>
      <c r="K47" s="92"/>
      <c r="L47" s="194"/>
      <c r="M47" s="194"/>
      <c r="N47" s="93">
        <f t="shared" si="3"/>
        <v>0</v>
      </c>
      <c r="O47" s="45"/>
      <c r="P47" s="120"/>
      <c r="Q47" s="107"/>
      <c r="R47" s="107"/>
      <c r="S47" s="107"/>
      <c r="T47" s="107"/>
      <c r="U47" s="121">
        <f t="shared" si="10"/>
        <v>0</v>
      </c>
      <c r="V47" s="121">
        <f t="shared" si="8"/>
        <v>22</v>
      </c>
      <c r="W47" s="122">
        <f t="shared" si="5"/>
        <v>0</v>
      </c>
      <c r="X47" s="123" t="str">
        <f t="shared" si="12"/>
        <v/>
      </c>
      <c r="Y47" s="48"/>
      <c r="Z47" s="131">
        <f>IFERROR(VLOOKUP(B47,OBJECTIFS!$C$76:$E$137,2,FALSE),0)</f>
        <v>0</v>
      </c>
      <c r="AA47" s="82"/>
      <c r="AB47" s="133">
        <f>IFERROR(VLOOKUP(B47,OBJECTIFS!$H$76:$J$137,2,FALSE),0)</f>
        <v>0</v>
      </c>
      <c r="AC47" s="134">
        <f t="shared" si="6"/>
        <v>0</v>
      </c>
      <c r="AD47" s="138"/>
      <c r="AE47" s="133">
        <f>IFERROR(VLOOKUP(B47,OBJECTIFS!$C$142:$E$203,2,FALSE),0)</f>
        <v>0</v>
      </c>
      <c r="AF47" s="140">
        <f>IFERROR(VLOOKUP(B47,OBJECTIFS!$H$142:$J$203,2,FALSE),0)</f>
        <v>0</v>
      </c>
      <c r="AG47" s="140">
        <f>IFERROR(VLOOKUP(B47,OBJECTIFS!$F$208:$H$269,3,FALSE),0)</f>
        <v>0</v>
      </c>
      <c r="AH47" s="48"/>
      <c r="AI47" s="142">
        <f t="shared" si="7"/>
        <v>0</v>
      </c>
      <c r="AJ47" s="45"/>
      <c r="AK47" s="144">
        <f t="shared" si="13"/>
        <v>0</v>
      </c>
      <c r="AL47" s="85" t="str">
        <f t="shared" si="11"/>
        <v/>
      </c>
      <c r="AM47" s="146" t="str">
        <f t="shared" si="14"/>
        <v/>
      </c>
    </row>
    <row r="48" spans="1:39" x14ac:dyDescent="0.2">
      <c r="A48" s="104"/>
      <c r="B48" s="105"/>
      <c r="C48" s="105"/>
      <c r="D48" s="106"/>
      <c r="E48" s="107"/>
      <c r="F48" s="108"/>
      <c r="H48" s="97" t="str">
        <f>IFERROR(IF(OR(D48="",F48="",A48=""),"",IF(AND(E48="non",J48&lt;165000),LOOKUP(J48,OBJECTIFS!$E$277:$E$398,OBJECTIFS!$F$277:$F$398),(((J48*3%)*10%)*10.25))),0)</f>
        <v/>
      </c>
      <c r="J48" s="91"/>
      <c r="K48" s="92"/>
      <c r="L48" s="194"/>
      <c r="M48" s="194"/>
      <c r="N48" s="93">
        <f t="shared" si="3"/>
        <v>0</v>
      </c>
      <c r="O48" s="45"/>
      <c r="P48" s="120"/>
      <c r="Q48" s="107"/>
      <c r="R48" s="107"/>
      <c r="S48" s="107"/>
      <c r="T48" s="107"/>
      <c r="U48" s="121">
        <f t="shared" si="10"/>
        <v>0</v>
      </c>
      <c r="V48" s="121">
        <f t="shared" si="8"/>
        <v>22</v>
      </c>
      <c r="W48" s="122">
        <f t="shared" si="5"/>
        <v>0</v>
      </c>
      <c r="X48" s="123" t="str">
        <f t="shared" si="12"/>
        <v/>
      </c>
      <c r="Y48" s="48"/>
      <c r="Z48" s="131">
        <f>IFERROR(VLOOKUP(B48,OBJECTIFS!$C$76:$E$137,2,FALSE),0)</f>
        <v>0</v>
      </c>
      <c r="AA48" s="82"/>
      <c r="AB48" s="133">
        <f>IFERROR(VLOOKUP(B48,OBJECTIFS!$H$76:$J$137,2,FALSE),0)</f>
        <v>0</v>
      </c>
      <c r="AC48" s="134">
        <f t="shared" si="6"/>
        <v>0</v>
      </c>
      <c r="AD48" s="138"/>
      <c r="AE48" s="133">
        <f>IFERROR(VLOOKUP(B48,OBJECTIFS!$C$142:$E$203,2,FALSE),0)</f>
        <v>0</v>
      </c>
      <c r="AF48" s="140">
        <f>IFERROR(VLOOKUP(B48,OBJECTIFS!$H$142:$J$203,2,FALSE),0)</f>
        <v>0</v>
      </c>
      <c r="AG48" s="140">
        <f>IFERROR(VLOOKUP(B48,OBJECTIFS!$F$208:$H$269,3,FALSE),0)</f>
        <v>0</v>
      </c>
      <c r="AH48" s="48"/>
      <c r="AI48" s="142">
        <f t="shared" si="7"/>
        <v>0</v>
      </c>
      <c r="AJ48" s="45"/>
      <c r="AK48" s="144">
        <f t="shared" si="13"/>
        <v>0</v>
      </c>
      <c r="AL48" s="85" t="str">
        <f t="shared" si="11"/>
        <v/>
      </c>
      <c r="AM48" s="146" t="str">
        <f t="shared" si="14"/>
        <v/>
      </c>
    </row>
    <row r="49" spans="1:39" x14ac:dyDescent="0.2">
      <c r="A49" s="104"/>
      <c r="B49" s="105"/>
      <c r="C49" s="105"/>
      <c r="D49" s="106"/>
      <c r="E49" s="107"/>
      <c r="F49" s="108"/>
      <c r="H49" s="97" t="str">
        <f>IFERROR(IF(OR(D49="",F49="",A49=""),"",IF(AND(E49="non",J49&lt;165000),LOOKUP(J49,OBJECTIFS!$E$277:$E$398,OBJECTIFS!$F$277:$F$398),(((J49*3%)*10%)*10.25))),0)</f>
        <v/>
      </c>
      <c r="J49" s="91"/>
      <c r="K49" s="92"/>
      <c r="L49" s="194"/>
      <c r="M49" s="194"/>
      <c r="N49" s="93">
        <f t="shared" si="3"/>
        <v>0</v>
      </c>
      <c r="O49" s="45"/>
      <c r="P49" s="120"/>
      <c r="Q49" s="107"/>
      <c r="R49" s="107"/>
      <c r="S49" s="107"/>
      <c r="T49" s="107"/>
      <c r="U49" s="121">
        <f t="shared" si="10"/>
        <v>0</v>
      </c>
      <c r="V49" s="121">
        <f t="shared" si="8"/>
        <v>22</v>
      </c>
      <c r="W49" s="122">
        <f t="shared" si="5"/>
        <v>0</v>
      </c>
      <c r="X49" s="123" t="str">
        <f t="shared" si="12"/>
        <v/>
      </c>
      <c r="Y49" s="48"/>
      <c r="Z49" s="131">
        <f>IFERROR(VLOOKUP(B49,OBJECTIFS!$C$76:$E$137,2,FALSE),0)</f>
        <v>0</v>
      </c>
      <c r="AA49" s="82"/>
      <c r="AB49" s="133">
        <f>IFERROR(VLOOKUP(B49,OBJECTIFS!$H$76:$J$137,2,FALSE),0)</f>
        <v>0</v>
      </c>
      <c r="AC49" s="134">
        <f t="shared" si="6"/>
        <v>0</v>
      </c>
      <c r="AD49" s="138"/>
      <c r="AE49" s="133">
        <f>IFERROR(VLOOKUP(B49,OBJECTIFS!$C$142:$E$203,2,FALSE),0)</f>
        <v>0</v>
      </c>
      <c r="AF49" s="140">
        <f>IFERROR(VLOOKUP(B49,OBJECTIFS!$H$142:$J$203,2,FALSE),0)</f>
        <v>0</v>
      </c>
      <c r="AG49" s="140">
        <f>IFERROR(VLOOKUP(B49,OBJECTIFS!$F$208:$H$269,3,FALSE),0)</f>
        <v>0</v>
      </c>
      <c r="AH49" s="48"/>
      <c r="AI49" s="142">
        <f t="shared" si="7"/>
        <v>0</v>
      </c>
      <c r="AJ49" s="45"/>
      <c r="AK49" s="144">
        <f t="shared" si="13"/>
        <v>0</v>
      </c>
      <c r="AL49" s="85" t="str">
        <f t="shared" si="11"/>
        <v/>
      </c>
      <c r="AM49" s="146" t="str">
        <f t="shared" si="14"/>
        <v/>
      </c>
    </row>
    <row r="50" spans="1:39" x14ac:dyDescent="0.2">
      <c r="A50" s="104"/>
      <c r="B50" s="105"/>
      <c r="C50" s="105"/>
      <c r="D50" s="106"/>
      <c r="E50" s="107"/>
      <c r="F50" s="108"/>
      <c r="H50" s="97" t="str">
        <f>IFERROR(IF(OR(D50="",F50="",A50=""),"",IF(AND(E50="non",J50&lt;165000),LOOKUP(J50,OBJECTIFS!$E$277:$E$398,OBJECTIFS!$F$277:$F$398),(((J50*3%)*10%)*10.25))),0)</f>
        <v/>
      </c>
      <c r="J50" s="91"/>
      <c r="K50" s="92"/>
      <c r="L50" s="194"/>
      <c r="M50" s="194"/>
      <c r="N50" s="93">
        <f t="shared" si="3"/>
        <v>0</v>
      </c>
      <c r="O50" s="45"/>
      <c r="P50" s="120"/>
      <c r="Q50" s="107"/>
      <c r="R50" s="107"/>
      <c r="S50" s="107"/>
      <c r="T50" s="107"/>
      <c r="U50" s="121">
        <f t="shared" si="10"/>
        <v>0</v>
      </c>
      <c r="V50" s="121">
        <f t="shared" si="8"/>
        <v>22</v>
      </c>
      <c r="W50" s="122">
        <f t="shared" si="5"/>
        <v>0</v>
      </c>
      <c r="X50" s="123" t="str">
        <f t="shared" si="12"/>
        <v/>
      </c>
      <c r="Y50" s="48"/>
      <c r="Z50" s="131">
        <f>IFERROR(VLOOKUP(B50,OBJECTIFS!$C$76:$E$137,2,FALSE),0)</f>
        <v>0</v>
      </c>
      <c r="AA50" s="82"/>
      <c r="AB50" s="133">
        <f>IFERROR(VLOOKUP(B50,OBJECTIFS!$H$76:$J$137,2,FALSE),0)</f>
        <v>0</v>
      </c>
      <c r="AC50" s="134">
        <f t="shared" si="6"/>
        <v>0</v>
      </c>
      <c r="AD50" s="138"/>
      <c r="AE50" s="133">
        <f>IFERROR(VLOOKUP(B50,OBJECTIFS!$C$142:$E$203,2,FALSE),0)</f>
        <v>0</v>
      </c>
      <c r="AF50" s="140">
        <f>IFERROR(VLOOKUP(B50,OBJECTIFS!$H$142:$J$203,2,FALSE),0)</f>
        <v>0</v>
      </c>
      <c r="AG50" s="140">
        <f>IFERROR(VLOOKUP(B50,OBJECTIFS!$F$208:$H$269,3,FALSE),0)</f>
        <v>0</v>
      </c>
      <c r="AH50" s="48"/>
      <c r="AI50" s="142">
        <f t="shared" si="7"/>
        <v>0</v>
      </c>
      <c r="AJ50" s="45"/>
      <c r="AK50" s="144">
        <f t="shared" si="13"/>
        <v>0</v>
      </c>
      <c r="AL50" s="85" t="str">
        <f t="shared" si="11"/>
        <v/>
      </c>
      <c r="AM50" s="146" t="str">
        <f t="shared" si="14"/>
        <v/>
      </c>
    </row>
    <row r="51" spans="1:39" x14ac:dyDescent="0.2">
      <c r="A51" s="104"/>
      <c r="B51" s="105"/>
      <c r="C51" s="105"/>
      <c r="D51" s="106"/>
      <c r="E51" s="107"/>
      <c r="F51" s="108"/>
      <c r="H51" s="97" t="str">
        <f>IFERROR(IF(OR(D51="",F51="",A51=""),"",IF(AND(E51="non",J51&lt;165000),LOOKUP(J51,OBJECTIFS!$E$277:$E$398,OBJECTIFS!$F$277:$F$398),(((J51*3%)*10%)*10.25))),0)</f>
        <v/>
      </c>
      <c r="J51" s="91"/>
      <c r="K51" s="92"/>
      <c r="L51" s="194"/>
      <c r="M51" s="194"/>
      <c r="N51" s="93">
        <f t="shared" si="3"/>
        <v>0</v>
      </c>
      <c r="O51" s="45"/>
      <c r="P51" s="120"/>
      <c r="Q51" s="107"/>
      <c r="R51" s="107"/>
      <c r="S51" s="107"/>
      <c r="T51" s="107"/>
      <c r="U51" s="121">
        <f t="shared" si="10"/>
        <v>0</v>
      </c>
      <c r="V51" s="121">
        <f t="shared" si="8"/>
        <v>22</v>
      </c>
      <c r="W51" s="122">
        <f t="shared" si="5"/>
        <v>0</v>
      </c>
      <c r="X51" s="123" t="str">
        <f t="shared" si="12"/>
        <v/>
      </c>
      <c r="Y51" s="48"/>
      <c r="Z51" s="131">
        <f>IFERROR(VLOOKUP(B51,OBJECTIFS!$C$76:$E$137,2,FALSE),0)</f>
        <v>0</v>
      </c>
      <c r="AA51" s="82"/>
      <c r="AB51" s="133">
        <f>IFERROR(VLOOKUP(B51,OBJECTIFS!$H$76:$J$137,2,FALSE),0)</f>
        <v>0</v>
      </c>
      <c r="AC51" s="134">
        <f t="shared" si="6"/>
        <v>0</v>
      </c>
      <c r="AD51" s="138"/>
      <c r="AE51" s="133">
        <f>IFERROR(VLOOKUP(B51,OBJECTIFS!$C$142:$E$203,2,FALSE),0)</f>
        <v>0</v>
      </c>
      <c r="AF51" s="140">
        <f>IFERROR(VLOOKUP(B51,OBJECTIFS!$H$142:$J$203,2,FALSE),0)</f>
        <v>0</v>
      </c>
      <c r="AG51" s="140">
        <f>IFERROR(VLOOKUP(B51,OBJECTIFS!$F$208:$H$269,3,FALSE),0)</f>
        <v>0</v>
      </c>
      <c r="AH51" s="48"/>
      <c r="AI51" s="142">
        <f t="shared" si="7"/>
        <v>0</v>
      </c>
      <c r="AJ51" s="45"/>
      <c r="AK51" s="144">
        <f t="shared" si="13"/>
        <v>0</v>
      </c>
      <c r="AL51" s="85" t="str">
        <f t="shared" si="11"/>
        <v/>
      </c>
      <c r="AM51" s="146" t="str">
        <f t="shared" si="14"/>
        <v/>
      </c>
    </row>
    <row r="52" spans="1:39" x14ac:dyDescent="0.2">
      <c r="A52" s="104"/>
      <c r="B52" s="105"/>
      <c r="C52" s="105"/>
      <c r="D52" s="106"/>
      <c r="E52" s="107"/>
      <c r="F52" s="108"/>
      <c r="H52" s="97" t="str">
        <f>IFERROR(IF(OR(D52="",F52="",A52=""),"",IF(AND(E52="non",J52&lt;165000),LOOKUP(J52,OBJECTIFS!$E$277:$E$398,OBJECTIFS!$F$277:$F$398),(((J52*3%)*10%)*10.25))),0)</f>
        <v/>
      </c>
      <c r="J52" s="91"/>
      <c r="K52" s="92"/>
      <c r="L52" s="194"/>
      <c r="M52" s="194"/>
      <c r="N52" s="93">
        <f t="shared" si="3"/>
        <v>0</v>
      </c>
      <c r="O52" s="45"/>
      <c r="P52" s="120"/>
      <c r="Q52" s="107"/>
      <c r="R52" s="107"/>
      <c r="S52" s="107"/>
      <c r="T52" s="107"/>
      <c r="U52" s="121">
        <f t="shared" si="10"/>
        <v>0</v>
      </c>
      <c r="V52" s="121">
        <f t="shared" si="8"/>
        <v>22</v>
      </c>
      <c r="W52" s="122">
        <f t="shared" si="5"/>
        <v>0</v>
      </c>
      <c r="X52" s="123" t="str">
        <f t="shared" si="12"/>
        <v/>
      </c>
      <c r="Y52" s="48"/>
      <c r="Z52" s="131">
        <f>IFERROR(VLOOKUP(B52,OBJECTIFS!$C$76:$E$137,2,FALSE),0)</f>
        <v>0</v>
      </c>
      <c r="AA52" s="82"/>
      <c r="AB52" s="133">
        <f>IFERROR(VLOOKUP(B52,OBJECTIFS!$H$76:$J$137,2,FALSE),0)</f>
        <v>0</v>
      </c>
      <c r="AC52" s="134">
        <f t="shared" si="6"/>
        <v>0</v>
      </c>
      <c r="AD52" s="138"/>
      <c r="AE52" s="133">
        <f>IFERROR(VLOOKUP(B52,OBJECTIFS!$C$142:$E$203,2,FALSE),0)</f>
        <v>0</v>
      </c>
      <c r="AF52" s="140">
        <f>IFERROR(VLOOKUP(B52,OBJECTIFS!$H$142:$J$203,2,FALSE),0)</f>
        <v>0</v>
      </c>
      <c r="AG52" s="140">
        <f>IFERROR(VLOOKUP(B52,OBJECTIFS!$F$208:$H$269,3,FALSE),0)</f>
        <v>0</v>
      </c>
      <c r="AH52" s="48"/>
      <c r="AI52" s="142">
        <f t="shared" si="7"/>
        <v>0</v>
      </c>
      <c r="AJ52" s="45"/>
      <c r="AK52" s="144">
        <f t="shared" si="13"/>
        <v>0</v>
      </c>
      <c r="AL52" s="85" t="str">
        <f t="shared" si="11"/>
        <v/>
      </c>
      <c r="AM52" s="146" t="str">
        <f t="shared" si="14"/>
        <v/>
      </c>
    </row>
    <row r="53" spans="1:39" x14ac:dyDescent="0.2">
      <c r="A53" s="104"/>
      <c r="B53" s="105"/>
      <c r="C53" s="105"/>
      <c r="D53" s="106"/>
      <c r="E53" s="107"/>
      <c r="F53" s="108"/>
      <c r="H53" s="97" t="str">
        <f>IFERROR(IF(OR(D53="",F53="",A53=""),"",IF(AND(E53="non",J53&lt;165000),LOOKUP(J53,OBJECTIFS!$E$277:$E$398,OBJECTIFS!$F$277:$F$398),(((J53*3%)*10%)*10.25))),0)</f>
        <v/>
      </c>
      <c r="J53" s="91"/>
      <c r="K53" s="92"/>
      <c r="L53" s="194"/>
      <c r="M53" s="194"/>
      <c r="N53" s="93">
        <f t="shared" si="3"/>
        <v>0</v>
      </c>
      <c r="O53" s="45"/>
      <c r="P53" s="120"/>
      <c r="Q53" s="107"/>
      <c r="R53" s="107"/>
      <c r="S53" s="107"/>
      <c r="T53" s="107"/>
      <c r="U53" s="121">
        <f t="shared" si="10"/>
        <v>0</v>
      </c>
      <c r="V53" s="121">
        <f t="shared" si="8"/>
        <v>22</v>
      </c>
      <c r="W53" s="122">
        <f t="shared" si="5"/>
        <v>0</v>
      </c>
      <c r="X53" s="123" t="str">
        <f t="shared" si="12"/>
        <v/>
      </c>
      <c r="Y53" s="48"/>
      <c r="Z53" s="131">
        <f>IFERROR(VLOOKUP(B53,OBJECTIFS!$C$76:$E$137,2,FALSE),0)</f>
        <v>0</v>
      </c>
      <c r="AA53" s="82"/>
      <c r="AB53" s="133">
        <f>IFERROR(VLOOKUP(B53,OBJECTIFS!$H$76:$J$137,2,FALSE),0)</f>
        <v>0</v>
      </c>
      <c r="AC53" s="134">
        <f t="shared" si="6"/>
        <v>0</v>
      </c>
      <c r="AD53" s="138"/>
      <c r="AE53" s="133">
        <f>IFERROR(VLOOKUP(B53,OBJECTIFS!$C$142:$E$203,2,FALSE),0)</f>
        <v>0</v>
      </c>
      <c r="AF53" s="140">
        <f>IFERROR(VLOOKUP(B53,OBJECTIFS!$H$142:$J$203,2,FALSE),0)</f>
        <v>0</v>
      </c>
      <c r="AG53" s="140">
        <f>IFERROR(VLOOKUP(B53,OBJECTIFS!$F$208:$H$269,3,FALSE),0)</f>
        <v>0</v>
      </c>
      <c r="AH53" s="48"/>
      <c r="AI53" s="142">
        <f t="shared" si="7"/>
        <v>0</v>
      </c>
      <c r="AJ53" s="45"/>
      <c r="AK53" s="144">
        <f t="shared" si="13"/>
        <v>0</v>
      </c>
      <c r="AL53" s="85" t="str">
        <f t="shared" si="11"/>
        <v/>
      </c>
      <c r="AM53" s="146" t="str">
        <f t="shared" si="14"/>
        <v/>
      </c>
    </row>
    <row r="54" spans="1:39" x14ac:dyDescent="0.2">
      <c r="A54" s="104"/>
      <c r="B54" s="105"/>
      <c r="C54" s="105"/>
      <c r="D54" s="106"/>
      <c r="E54" s="107"/>
      <c r="F54" s="108"/>
      <c r="H54" s="97" t="str">
        <f>IFERROR(IF(OR(D54="",F54="",A54=""),"",IF(AND(E54="non",J54&lt;165000),LOOKUP(J54,OBJECTIFS!$E$277:$E$398,OBJECTIFS!$F$277:$F$398),(((J54*3%)*10%)*10.25))),0)</f>
        <v/>
      </c>
      <c r="J54" s="91"/>
      <c r="K54" s="92"/>
      <c r="L54" s="194"/>
      <c r="M54" s="194"/>
      <c r="N54" s="93">
        <f t="shared" si="3"/>
        <v>0</v>
      </c>
      <c r="O54" s="45"/>
      <c r="P54" s="120"/>
      <c r="Q54" s="107"/>
      <c r="R54" s="107"/>
      <c r="S54" s="107"/>
      <c r="T54" s="107"/>
      <c r="U54" s="121">
        <f t="shared" si="10"/>
        <v>0</v>
      </c>
      <c r="V54" s="121">
        <f t="shared" si="8"/>
        <v>22</v>
      </c>
      <c r="W54" s="122">
        <f t="shared" si="5"/>
        <v>0</v>
      </c>
      <c r="X54" s="123" t="str">
        <f t="shared" si="12"/>
        <v/>
      </c>
      <c r="Y54" s="48"/>
      <c r="Z54" s="131">
        <f>IFERROR(VLOOKUP(B54,OBJECTIFS!$C$76:$E$137,2,FALSE),0)</f>
        <v>0</v>
      </c>
      <c r="AA54" s="82"/>
      <c r="AB54" s="133">
        <f>IFERROR(VLOOKUP(B54,OBJECTIFS!$H$76:$J$137,2,FALSE),0)</f>
        <v>0</v>
      </c>
      <c r="AC54" s="134">
        <f t="shared" si="6"/>
        <v>0</v>
      </c>
      <c r="AD54" s="138"/>
      <c r="AE54" s="133">
        <f>IFERROR(VLOOKUP(B54,OBJECTIFS!$C$142:$E$203,2,FALSE),0)</f>
        <v>0</v>
      </c>
      <c r="AF54" s="140">
        <f>IFERROR(VLOOKUP(B54,OBJECTIFS!$H$142:$J$203,2,FALSE),0)</f>
        <v>0</v>
      </c>
      <c r="AG54" s="140">
        <f>IFERROR(VLOOKUP(B54,OBJECTIFS!$F$208:$H$269,3,FALSE),0)</f>
        <v>0</v>
      </c>
      <c r="AH54" s="48"/>
      <c r="AI54" s="142">
        <f t="shared" si="7"/>
        <v>0</v>
      </c>
      <c r="AJ54" s="45"/>
      <c r="AK54" s="144">
        <f t="shared" si="13"/>
        <v>0</v>
      </c>
      <c r="AL54" s="85" t="str">
        <f t="shared" si="11"/>
        <v/>
      </c>
      <c r="AM54" s="146" t="str">
        <f t="shared" si="14"/>
        <v/>
      </c>
    </row>
    <row r="55" spans="1:39" x14ac:dyDescent="0.2">
      <c r="A55" s="104"/>
      <c r="B55" s="105"/>
      <c r="C55" s="105"/>
      <c r="D55" s="106"/>
      <c r="E55" s="107"/>
      <c r="F55" s="108"/>
      <c r="H55" s="97" t="str">
        <f>IFERROR(IF(OR(D55="",F55="",A55=""),"",IF(AND(E55="non",J55&lt;165000),LOOKUP(J55,OBJECTIFS!$E$277:$E$398,OBJECTIFS!$F$277:$F$398),(((J55*3%)*10%)*10.25))),0)</f>
        <v/>
      </c>
      <c r="J55" s="91"/>
      <c r="K55" s="92"/>
      <c r="L55" s="194"/>
      <c r="M55" s="194"/>
      <c r="N55" s="93">
        <f t="shared" si="3"/>
        <v>0</v>
      </c>
      <c r="O55" s="45"/>
      <c r="P55" s="120"/>
      <c r="Q55" s="107"/>
      <c r="R55" s="107"/>
      <c r="S55" s="107"/>
      <c r="T55" s="107"/>
      <c r="U55" s="121">
        <f t="shared" si="10"/>
        <v>0</v>
      </c>
      <c r="V55" s="121">
        <f t="shared" si="8"/>
        <v>22</v>
      </c>
      <c r="W55" s="122">
        <f t="shared" si="5"/>
        <v>0</v>
      </c>
      <c r="X55" s="123" t="str">
        <f t="shared" si="12"/>
        <v/>
      </c>
      <c r="Y55" s="48"/>
      <c r="Z55" s="131">
        <f>IFERROR(VLOOKUP(B55,OBJECTIFS!$C$76:$E$137,2,FALSE),0)</f>
        <v>0</v>
      </c>
      <c r="AA55" s="82"/>
      <c r="AB55" s="133">
        <f>IFERROR(VLOOKUP(B55,OBJECTIFS!$H$76:$J$137,2,FALSE),0)</f>
        <v>0</v>
      </c>
      <c r="AC55" s="134">
        <f t="shared" si="6"/>
        <v>0</v>
      </c>
      <c r="AD55" s="138"/>
      <c r="AE55" s="133">
        <f>IFERROR(VLOOKUP(B55,OBJECTIFS!$C$142:$E$203,2,FALSE),0)</f>
        <v>0</v>
      </c>
      <c r="AF55" s="140">
        <f>IFERROR(VLOOKUP(B55,OBJECTIFS!$H$142:$J$203,2,FALSE),0)</f>
        <v>0</v>
      </c>
      <c r="AG55" s="140">
        <f>IFERROR(VLOOKUP(B55,OBJECTIFS!$F$208:$H$269,3,FALSE),0)</f>
        <v>0</v>
      </c>
      <c r="AH55" s="48"/>
      <c r="AI55" s="142">
        <f t="shared" si="7"/>
        <v>0</v>
      </c>
      <c r="AJ55" s="45"/>
      <c r="AK55" s="144">
        <f t="shared" si="13"/>
        <v>0</v>
      </c>
      <c r="AL55" s="85" t="str">
        <f t="shared" si="11"/>
        <v/>
      </c>
      <c r="AM55" s="146" t="str">
        <f t="shared" si="14"/>
        <v/>
      </c>
    </row>
    <row r="56" spans="1:39" x14ac:dyDescent="0.2">
      <c r="A56" s="104"/>
      <c r="B56" s="105"/>
      <c r="C56" s="105"/>
      <c r="D56" s="106"/>
      <c r="E56" s="107"/>
      <c r="F56" s="108"/>
      <c r="H56" s="97" t="str">
        <f>IFERROR(IF(OR(D56="",F56="",A56=""),"",IF(AND(E56="non",J56&lt;165000),LOOKUP(J56,OBJECTIFS!$E$277:$E$398,OBJECTIFS!$F$277:$F$398),(((J56*3%)*10%)*10.25))),0)</f>
        <v/>
      </c>
      <c r="J56" s="91"/>
      <c r="K56" s="92"/>
      <c r="L56" s="194"/>
      <c r="M56" s="194"/>
      <c r="N56" s="93">
        <f t="shared" si="3"/>
        <v>0</v>
      </c>
      <c r="O56" s="45"/>
      <c r="P56" s="120"/>
      <c r="Q56" s="107"/>
      <c r="R56" s="107"/>
      <c r="S56" s="107"/>
      <c r="T56" s="107"/>
      <c r="U56" s="121">
        <f t="shared" si="10"/>
        <v>0</v>
      </c>
      <c r="V56" s="121">
        <f t="shared" si="8"/>
        <v>22</v>
      </c>
      <c r="W56" s="122">
        <f t="shared" si="5"/>
        <v>0</v>
      </c>
      <c r="X56" s="123" t="str">
        <f t="shared" si="12"/>
        <v/>
      </c>
      <c r="Y56" s="48"/>
      <c r="Z56" s="131">
        <f>IFERROR(VLOOKUP(B56,OBJECTIFS!$C$76:$E$137,2,FALSE),0)</f>
        <v>0</v>
      </c>
      <c r="AA56" s="82"/>
      <c r="AB56" s="133">
        <f>IFERROR(VLOOKUP(B56,OBJECTIFS!$H$76:$J$137,2,FALSE),0)</f>
        <v>0</v>
      </c>
      <c r="AC56" s="134">
        <f t="shared" si="6"/>
        <v>0</v>
      </c>
      <c r="AD56" s="138"/>
      <c r="AE56" s="133">
        <f>IFERROR(VLOOKUP(B56,OBJECTIFS!$C$142:$E$203,2,FALSE),0)</f>
        <v>0</v>
      </c>
      <c r="AF56" s="140">
        <f>IFERROR(VLOOKUP(B56,OBJECTIFS!$H$142:$J$203,2,FALSE),0)</f>
        <v>0</v>
      </c>
      <c r="AG56" s="140">
        <f>IFERROR(VLOOKUP(B56,OBJECTIFS!$F$208:$H$269,3,FALSE),0)</f>
        <v>0</v>
      </c>
      <c r="AH56" s="48"/>
      <c r="AI56" s="142">
        <f t="shared" si="7"/>
        <v>0</v>
      </c>
      <c r="AJ56" s="45"/>
      <c r="AK56" s="144">
        <f t="shared" si="13"/>
        <v>0</v>
      </c>
      <c r="AL56" s="85" t="str">
        <f t="shared" si="11"/>
        <v/>
      </c>
      <c r="AM56" s="146" t="str">
        <f t="shared" si="14"/>
        <v/>
      </c>
    </row>
    <row r="57" spans="1:39" x14ac:dyDescent="0.2">
      <c r="A57" s="104"/>
      <c r="B57" s="105"/>
      <c r="C57" s="105"/>
      <c r="D57" s="106"/>
      <c r="E57" s="107"/>
      <c r="F57" s="108"/>
      <c r="H57" s="97" t="str">
        <f>IFERROR(IF(OR(D57="",F57="",A57=""),"",IF(AND(E57="non",J57&lt;165000),LOOKUP(J57,OBJECTIFS!$E$277:$E$398,OBJECTIFS!$F$277:$F$398),(((J57*3%)*10%)*10.25))),0)</f>
        <v/>
      </c>
      <c r="J57" s="91"/>
      <c r="K57" s="92"/>
      <c r="L57" s="194"/>
      <c r="M57" s="194"/>
      <c r="N57" s="93">
        <f t="shared" si="3"/>
        <v>0</v>
      </c>
      <c r="O57" s="45"/>
      <c r="P57" s="120"/>
      <c r="Q57" s="107"/>
      <c r="R57" s="107"/>
      <c r="S57" s="107"/>
      <c r="T57" s="107"/>
      <c r="U57" s="121">
        <f t="shared" si="10"/>
        <v>0</v>
      </c>
      <c r="V57" s="121">
        <f t="shared" si="8"/>
        <v>22</v>
      </c>
      <c r="W57" s="122">
        <f t="shared" si="5"/>
        <v>0</v>
      </c>
      <c r="X57" s="123" t="str">
        <f t="shared" si="12"/>
        <v/>
      </c>
      <c r="Y57" s="48"/>
      <c r="Z57" s="131">
        <f>IFERROR(VLOOKUP(B57,OBJECTIFS!$C$76:$E$137,2,FALSE),0)</f>
        <v>0</v>
      </c>
      <c r="AA57" s="82"/>
      <c r="AB57" s="133">
        <f>IFERROR(VLOOKUP(B57,OBJECTIFS!$H$76:$J$137,2,FALSE),0)</f>
        <v>0</v>
      </c>
      <c r="AC57" s="134">
        <f t="shared" si="6"/>
        <v>0</v>
      </c>
      <c r="AD57" s="138"/>
      <c r="AE57" s="133">
        <f>IFERROR(VLOOKUP(B57,OBJECTIFS!$C$142:$E$203,2,FALSE),0)</f>
        <v>0</v>
      </c>
      <c r="AF57" s="140">
        <f>IFERROR(VLOOKUP(B57,OBJECTIFS!$H$142:$J$203,2,FALSE),0)</f>
        <v>0</v>
      </c>
      <c r="AG57" s="140">
        <f>IFERROR(VLOOKUP(B57,OBJECTIFS!$F$208:$H$269,3,FALSE),0)</f>
        <v>0</v>
      </c>
      <c r="AH57" s="48"/>
      <c r="AI57" s="142">
        <f t="shared" si="7"/>
        <v>0</v>
      </c>
      <c r="AJ57" s="45"/>
      <c r="AK57" s="144">
        <f t="shared" si="13"/>
        <v>0</v>
      </c>
      <c r="AL57" s="85" t="str">
        <f t="shared" si="11"/>
        <v/>
      </c>
      <c r="AM57" s="146" t="str">
        <f t="shared" si="14"/>
        <v/>
      </c>
    </row>
    <row r="58" spans="1:39" x14ac:dyDescent="0.2">
      <c r="A58" s="104"/>
      <c r="B58" s="105"/>
      <c r="C58" s="105"/>
      <c r="D58" s="106"/>
      <c r="E58" s="107"/>
      <c r="F58" s="108"/>
      <c r="H58" s="97" t="str">
        <f>IFERROR(IF(OR(D58="",F58="",A58=""),"",IF(AND(E58="non",J58&lt;165000),LOOKUP(J58,OBJECTIFS!$E$277:$E$398,OBJECTIFS!$F$277:$F$398),(((J58*3%)*10%)*10.25))),0)</f>
        <v/>
      </c>
      <c r="J58" s="91"/>
      <c r="K58" s="92"/>
      <c r="L58" s="194"/>
      <c r="M58" s="194"/>
      <c r="N58" s="93">
        <f t="shared" si="3"/>
        <v>0</v>
      </c>
      <c r="O58" s="45"/>
      <c r="P58" s="120"/>
      <c r="Q58" s="107"/>
      <c r="R58" s="107"/>
      <c r="S58" s="107"/>
      <c r="T58" s="107"/>
      <c r="U58" s="121">
        <f t="shared" si="10"/>
        <v>0</v>
      </c>
      <c r="V58" s="121">
        <f t="shared" si="8"/>
        <v>22</v>
      </c>
      <c r="W58" s="122">
        <f t="shared" si="5"/>
        <v>0</v>
      </c>
      <c r="X58" s="123" t="str">
        <f t="shared" si="12"/>
        <v/>
      </c>
      <c r="Y58" s="48"/>
      <c r="Z58" s="131">
        <f>IFERROR(VLOOKUP(B58,OBJECTIFS!$C$76:$E$137,2,FALSE),0)</f>
        <v>0</v>
      </c>
      <c r="AA58" s="82"/>
      <c r="AB58" s="133">
        <f>IFERROR(VLOOKUP(B58,OBJECTIFS!$H$76:$J$137,2,FALSE),0)</f>
        <v>0</v>
      </c>
      <c r="AC58" s="134">
        <f t="shared" si="6"/>
        <v>0</v>
      </c>
      <c r="AD58" s="138"/>
      <c r="AE58" s="133">
        <f>IFERROR(VLOOKUP(B58,OBJECTIFS!$C$142:$E$203,2,FALSE),0)</f>
        <v>0</v>
      </c>
      <c r="AF58" s="140">
        <f>IFERROR(VLOOKUP(B58,OBJECTIFS!$H$142:$J$203,2,FALSE),0)</f>
        <v>0</v>
      </c>
      <c r="AG58" s="140">
        <f>IFERROR(VLOOKUP(B58,OBJECTIFS!$F$208:$H$269,3,FALSE),0)</f>
        <v>0</v>
      </c>
      <c r="AH58" s="48"/>
      <c r="AI58" s="142">
        <f t="shared" si="7"/>
        <v>0</v>
      </c>
      <c r="AJ58" s="45"/>
      <c r="AK58" s="144">
        <f t="shared" si="13"/>
        <v>0</v>
      </c>
      <c r="AL58" s="85" t="str">
        <f t="shared" si="11"/>
        <v/>
      </c>
      <c r="AM58" s="146" t="str">
        <f t="shared" si="14"/>
        <v/>
      </c>
    </row>
    <row r="59" spans="1:39" x14ac:dyDescent="0.2">
      <c r="A59" s="104"/>
      <c r="B59" s="105"/>
      <c r="C59" s="105"/>
      <c r="D59" s="106"/>
      <c r="E59" s="107"/>
      <c r="F59" s="108"/>
      <c r="H59" s="97" t="str">
        <f>IFERROR(IF(OR(D59="",F59="",A59=""),"",IF(AND(E59="non",J59&lt;165000),LOOKUP(J59,OBJECTIFS!$E$277:$E$398,OBJECTIFS!$F$277:$F$398),(((J59*3%)*10%)*10.25))),0)</f>
        <v/>
      </c>
      <c r="J59" s="91"/>
      <c r="K59" s="92"/>
      <c r="L59" s="194"/>
      <c r="M59" s="194"/>
      <c r="N59" s="93">
        <f t="shared" si="3"/>
        <v>0</v>
      </c>
      <c r="O59" s="45"/>
      <c r="P59" s="120"/>
      <c r="Q59" s="107"/>
      <c r="R59" s="107"/>
      <c r="S59" s="107"/>
      <c r="T59" s="107"/>
      <c r="U59" s="121">
        <f t="shared" si="10"/>
        <v>0</v>
      </c>
      <c r="V59" s="121">
        <f t="shared" si="8"/>
        <v>22</v>
      </c>
      <c r="W59" s="122">
        <f t="shared" si="5"/>
        <v>0</v>
      </c>
      <c r="X59" s="123" t="str">
        <f t="shared" si="12"/>
        <v/>
      </c>
      <c r="Y59" s="48"/>
      <c r="Z59" s="131">
        <f>IFERROR(VLOOKUP(B59,OBJECTIFS!$C$76:$E$137,2,FALSE),0)</f>
        <v>0</v>
      </c>
      <c r="AA59" s="82"/>
      <c r="AB59" s="133">
        <f>IFERROR(VLOOKUP(B59,OBJECTIFS!$H$76:$J$137,2,FALSE),0)</f>
        <v>0</v>
      </c>
      <c r="AC59" s="134">
        <f t="shared" si="6"/>
        <v>0</v>
      </c>
      <c r="AD59" s="138"/>
      <c r="AE59" s="133">
        <f>IFERROR(VLOOKUP(B59,OBJECTIFS!$C$142:$E$203,2,FALSE),0)</f>
        <v>0</v>
      </c>
      <c r="AF59" s="140">
        <f>IFERROR(VLOOKUP(B59,OBJECTIFS!$H$142:$J$203,2,FALSE),0)</f>
        <v>0</v>
      </c>
      <c r="AG59" s="140">
        <f>IFERROR(VLOOKUP(B59,OBJECTIFS!$F$208:$H$269,3,FALSE),0)</f>
        <v>0</v>
      </c>
      <c r="AH59" s="48"/>
      <c r="AI59" s="142">
        <f t="shared" si="7"/>
        <v>0</v>
      </c>
      <c r="AJ59" s="45"/>
      <c r="AK59" s="144">
        <f t="shared" si="13"/>
        <v>0</v>
      </c>
      <c r="AL59" s="85" t="str">
        <f t="shared" si="11"/>
        <v/>
      </c>
      <c r="AM59" s="146" t="str">
        <f t="shared" si="14"/>
        <v/>
      </c>
    </row>
    <row r="60" spans="1:39" x14ac:dyDescent="0.2">
      <c r="A60" s="104"/>
      <c r="B60" s="105"/>
      <c r="C60" s="105"/>
      <c r="D60" s="106"/>
      <c r="E60" s="107"/>
      <c r="F60" s="108"/>
      <c r="H60" s="97" t="str">
        <f>IFERROR(IF(OR(D60="",F60="",A60=""),"",IF(AND(E60="non",J60&lt;165000),LOOKUP(J60,OBJECTIFS!$E$277:$E$398,OBJECTIFS!$F$277:$F$398),(((J60*3%)*10%)*10.25))),0)</f>
        <v/>
      </c>
      <c r="J60" s="91"/>
      <c r="K60" s="92"/>
      <c r="L60" s="194"/>
      <c r="M60" s="194"/>
      <c r="N60" s="93">
        <f t="shared" si="3"/>
        <v>0</v>
      </c>
      <c r="O60" s="45"/>
      <c r="P60" s="120"/>
      <c r="Q60" s="107"/>
      <c r="R60" s="107"/>
      <c r="S60" s="107"/>
      <c r="T60" s="107"/>
      <c r="U60" s="121">
        <f t="shared" si="10"/>
        <v>0</v>
      </c>
      <c r="V60" s="121">
        <f t="shared" si="8"/>
        <v>22</v>
      </c>
      <c r="W60" s="122">
        <f t="shared" si="5"/>
        <v>0</v>
      </c>
      <c r="X60" s="123" t="str">
        <f t="shared" si="12"/>
        <v/>
      </c>
      <c r="Y60" s="48"/>
      <c r="Z60" s="131">
        <f>IFERROR(VLOOKUP(B60,OBJECTIFS!$C$76:$E$137,2,FALSE),0)</f>
        <v>0</v>
      </c>
      <c r="AA60" s="82"/>
      <c r="AB60" s="133">
        <f>IFERROR(VLOOKUP(B60,OBJECTIFS!$H$76:$J$137,2,FALSE),0)</f>
        <v>0</v>
      </c>
      <c r="AC60" s="134">
        <f t="shared" si="6"/>
        <v>0</v>
      </c>
      <c r="AD60" s="138"/>
      <c r="AE60" s="133">
        <f>IFERROR(VLOOKUP(B60,OBJECTIFS!$C$142:$E$203,2,FALSE),0)</f>
        <v>0</v>
      </c>
      <c r="AF60" s="140">
        <f>IFERROR(VLOOKUP(B60,OBJECTIFS!$H$142:$J$203,2,FALSE),0)</f>
        <v>0</v>
      </c>
      <c r="AG60" s="140">
        <f>IFERROR(VLOOKUP(B60,OBJECTIFS!$F$208:$H$269,3,FALSE),0)</f>
        <v>0</v>
      </c>
      <c r="AH60" s="48"/>
      <c r="AI60" s="142">
        <f t="shared" si="7"/>
        <v>0</v>
      </c>
      <c r="AJ60" s="45"/>
      <c r="AK60" s="144">
        <f t="shared" si="13"/>
        <v>0</v>
      </c>
      <c r="AL60" s="85" t="str">
        <f t="shared" si="11"/>
        <v/>
      </c>
      <c r="AM60" s="146" t="str">
        <f t="shared" si="14"/>
        <v/>
      </c>
    </row>
    <row r="61" spans="1:39" x14ac:dyDescent="0.2">
      <c r="A61" s="104"/>
      <c r="B61" s="105"/>
      <c r="C61" s="105"/>
      <c r="D61" s="106"/>
      <c r="E61" s="107"/>
      <c r="F61" s="108"/>
      <c r="H61" s="97" t="str">
        <f>IFERROR(IF(OR(D61="",F61="",A61=""),"",IF(AND(E61="non",J61&lt;165000),LOOKUP(J61,OBJECTIFS!$E$277:$E$398,OBJECTIFS!$F$277:$F$398),(((J61*3%)*10%)*10.25))),0)</f>
        <v/>
      </c>
      <c r="J61" s="91"/>
      <c r="K61" s="92"/>
      <c r="L61" s="194"/>
      <c r="M61" s="194"/>
      <c r="N61" s="93">
        <f t="shared" si="3"/>
        <v>0</v>
      </c>
      <c r="O61" s="45"/>
      <c r="P61" s="120"/>
      <c r="Q61" s="107"/>
      <c r="R61" s="107"/>
      <c r="S61" s="107"/>
      <c r="T61" s="107"/>
      <c r="U61" s="121">
        <f t="shared" si="10"/>
        <v>0</v>
      </c>
      <c r="V61" s="121">
        <f t="shared" si="8"/>
        <v>22</v>
      </c>
      <c r="W61" s="122">
        <f t="shared" si="5"/>
        <v>0</v>
      </c>
      <c r="X61" s="123" t="str">
        <f t="shared" si="12"/>
        <v/>
      </c>
      <c r="Y61" s="48"/>
      <c r="Z61" s="131">
        <f>IFERROR(VLOOKUP(B61,OBJECTIFS!$C$76:$E$137,2,FALSE),0)</f>
        <v>0</v>
      </c>
      <c r="AA61" s="82"/>
      <c r="AB61" s="133">
        <f>IFERROR(VLOOKUP(B61,OBJECTIFS!$H$76:$J$137,2,FALSE),0)</f>
        <v>0</v>
      </c>
      <c r="AC61" s="134">
        <f t="shared" si="6"/>
        <v>0</v>
      </c>
      <c r="AD61" s="138"/>
      <c r="AE61" s="133">
        <f>IFERROR(VLOOKUP(B61,OBJECTIFS!$C$142:$E$203,2,FALSE),0)</f>
        <v>0</v>
      </c>
      <c r="AF61" s="140">
        <f>IFERROR(VLOOKUP(B61,OBJECTIFS!$H$142:$J$203,2,FALSE),0)</f>
        <v>0</v>
      </c>
      <c r="AG61" s="140">
        <f>IFERROR(VLOOKUP(B61,OBJECTIFS!$F$208:$H$269,3,FALSE),0)</f>
        <v>0</v>
      </c>
      <c r="AH61" s="48"/>
      <c r="AI61" s="142">
        <f t="shared" si="7"/>
        <v>0</v>
      </c>
      <c r="AJ61" s="45"/>
      <c r="AK61" s="144">
        <f t="shared" si="13"/>
        <v>0</v>
      </c>
      <c r="AL61" s="85" t="str">
        <f t="shared" si="11"/>
        <v/>
      </c>
      <c r="AM61" s="146" t="str">
        <f t="shared" si="14"/>
        <v/>
      </c>
    </row>
    <row r="62" spans="1:39" x14ac:dyDescent="0.2">
      <c r="A62" s="104"/>
      <c r="B62" s="105"/>
      <c r="C62" s="105"/>
      <c r="D62" s="106"/>
      <c r="E62" s="107"/>
      <c r="F62" s="108"/>
      <c r="H62" s="97" t="str">
        <f>IFERROR(IF(OR(D62="",F62="",A62=""),"",IF(AND(E62="non",J62&lt;165000),LOOKUP(J62,OBJECTIFS!$E$277:$E$398,OBJECTIFS!$F$277:$F$398),(((J62*3%)*10%)*10.25))),0)</f>
        <v/>
      </c>
      <c r="J62" s="91"/>
      <c r="K62" s="92"/>
      <c r="L62" s="194"/>
      <c r="M62" s="194"/>
      <c r="N62" s="93">
        <f t="shared" si="3"/>
        <v>0</v>
      </c>
      <c r="O62" s="45"/>
      <c r="P62" s="120"/>
      <c r="Q62" s="107"/>
      <c r="R62" s="107"/>
      <c r="S62" s="107"/>
      <c r="T62" s="107"/>
      <c r="U62" s="121">
        <f t="shared" si="10"/>
        <v>0</v>
      </c>
      <c r="V62" s="121">
        <f t="shared" si="8"/>
        <v>22</v>
      </c>
      <c r="W62" s="122">
        <f t="shared" si="5"/>
        <v>0</v>
      </c>
      <c r="X62" s="123" t="str">
        <f t="shared" si="12"/>
        <v/>
      </c>
      <c r="Y62" s="48"/>
      <c r="Z62" s="131">
        <f>IFERROR(VLOOKUP(B62,OBJECTIFS!$C$76:$E$137,2,FALSE),0)</f>
        <v>0</v>
      </c>
      <c r="AA62" s="82"/>
      <c r="AB62" s="133">
        <f>IFERROR(VLOOKUP(B62,OBJECTIFS!$H$76:$J$137,2,FALSE),0)</f>
        <v>0</v>
      </c>
      <c r="AC62" s="134">
        <f t="shared" si="6"/>
        <v>0</v>
      </c>
      <c r="AD62" s="138"/>
      <c r="AE62" s="133">
        <f>IFERROR(VLOOKUP(B62,OBJECTIFS!$C$142:$E$203,2,FALSE),0)</f>
        <v>0</v>
      </c>
      <c r="AF62" s="140">
        <f>IFERROR(VLOOKUP(B62,OBJECTIFS!$H$142:$J$203,2,FALSE),0)</f>
        <v>0</v>
      </c>
      <c r="AG62" s="140">
        <f>IFERROR(VLOOKUP(B62,OBJECTIFS!$F$208:$H$269,3,FALSE),0)</f>
        <v>0</v>
      </c>
      <c r="AH62" s="48"/>
      <c r="AI62" s="142">
        <f t="shared" si="7"/>
        <v>0</v>
      </c>
      <c r="AJ62" s="45"/>
      <c r="AK62" s="144">
        <f t="shared" si="13"/>
        <v>0</v>
      </c>
      <c r="AL62" s="85" t="str">
        <f t="shared" si="11"/>
        <v/>
      </c>
      <c r="AM62" s="146" t="str">
        <f t="shared" si="14"/>
        <v/>
      </c>
    </row>
    <row r="63" spans="1:39" x14ac:dyDescent="0.2">
      <c r="A63" s="104"/>
      <c r="B63" s="105"/>
      <c r="C63" s="105"/>
      <c r="D63" s="106"/>
      <c r="E63" s="107"/>
      <c r="F63" s="108"/>
      <c r="H63" s="97" t="str">
        <f>IFERROR(IF(OR(D63="",F63="",A63=""),"",IF(AND(E63="non",J63&lt;165000),LOOKUP(J63,OBJECTIFS!$E$277:$E$398,OBJECTIFS!$F$277:$F$398),(((J63*3%)*10%)*10.25))),0)</f>
        <v/>
      </c>
      <c r="J63" s="91"/>
      <c r="K63" s="92"/>
      <c r="L63" s="194"/>
      <c r="M63" s="194"/>
      <c r="N63" s="93">
        <f t="shared" si="3"/>
        <v>0</v>
      </c>
      <c r="O63" s="45"/>
      <c r="P63" s="120"/>
      <c r="Q63" s="107"/>
      <c r="R63" s="107"/>
      <c r="S63" s="107"/>
      <c r="T63" s="107"/>
      <c r="U63" s="121">
        <f t="shared" si="10"/>
        <v>0</v>
      </c>
      <c r="V63" s="121">
        <f t="shared" si="8"/>
        <v>22</v>
      </c>
      <c r="W63" s="122">
        <f t="shared" si="5"/>
        <v>0</v>
      </c>
      <c r="X63" s="123" t="str">
        <f t="shared" si="12"/>
        <v/>
      </c>
      <c r="Y63" s="48"/>
      <c r="Z63" s="131">
        <f>IFERROR(VLOOKUP(B63,OBJECTIFS!$C$76:$E$137,2,FALSE),0)</f>
        <v>0</v>
      </c>
      <c r="AA63" s="82"/>
      <c r="AB63" s="133">
        <f>IFERROR(VLOOKUP(B63,OBJECTIFS!$H$76:$J$137,2,FALSE),0)</f>
        <v>0</v>
      </c>
      <c r="AC63" s="134">
        <f t="shared" si="6"/>
        <v>0</v>
      </c>
      <c r="AD63" s="138"/>
      <c r="AE63" s="133">
        <f>IFERROR(VLOOKUP(B63,OBJECTIFS!$C$142:$E$203,2,FALSE),0)</f>
        <v>0</v>
      </c>
      <c r="AF63" s="140">
        <f>IFERROR(VLOOKUP(B63,OBJECTIFS!$H$142:$J$203,2,FALSE),0)</f>
        <v>0</v>
      </c>
      <c r="AG63" s="140">
        <f>IFERROR(VLOOKUP(B63,OBJECTIFS!$F$208:$H$269,3,FALSE),0)</f>
        <v>0</v>
      </c>
      <c r="AH63" s="48"/>
      <c r="AI63" s="142">
        <f t="shared" si="7"/>
        <v>0</v>
      </c>
      <c r="AJ63" s="45"/>
      <c r="AK63" s="144">
        <f t="shared" si="13"/>
        <v>0</v>
      </c>
      <c r="AL63" s="85" t="str">
        <f t="shared" si="11"/>
        <v/>
      </c>
      <c r="AM63" s="146" t="str">
        <f t="shared" si="14"/>
        <v/>
      </c>
    </row>
    <row r="64" spans="1:39" x14ac:dyDescent="0.2">
      <c r="A64" s="104"/>
      <c r="B64" s="105"/>
      <c r="C64" s="105"/>
      <c r="D64" s="106"/>
      <c r="E64" s="107"/>
      <c r="F64" s="108"/>
      <c r="H64" s="97" t="str">
        <f>IFERROR(IF(OR(D64="",F64="",A64=""),"",IF(AND(E64="non",J64&lt;165000),LOOKUP(J64,OBJECTIFS!$E$277:$E$398,OBJECTIFS!$F$277:$F$398),(((J64*3%)*10%)*10.25))),0)</f>
        <v/>
      </c>
      <c r="J64" s="91"/>
      <c r="K64" s="92"/>
      <c r="L64" s="194"/>
      <c r="M64" s="194"/>
      <c r="N64" s="93">
        <f t="shared" si="3"/>
        <v>0</v>
      </c>
      <c r="O64" s="45"/>
      <c r="P64" s="120"/>
      <c r="Q64" s="107"/>
      <c r="R64" s="107"/>
      <c r="S64" s="107"/>
      <c r="T64" s="107"/>
      <c r="U64" s="121">
        <f t="shared" si="4"/>
        <v>0</v>
      </c>
      <c r="V64" s="121">
        <f t="shared" si="8"/>
        <v>22</v>
      </c>
      <c r="W64" s="122">
        <f t="shared" si="5"/>
        <v>0</v>
      </c>
      <c r="X64" s="123" t="str">
        <f t="shared" si="12"/>
        <v/>
      </c>
      <c r="Y64" s="48"/>
      <c r="Z64" s="131">
        <f>IFERROR(VLOOKUP(B64,OBJECTIFS!$C$76:$E$137,2,FALSE),0)</f>
        <v>0</v>
      </c>
      <c r="AA64" s="82"/>
      <c r="AB64" s="133">
        <f>IFERROR(VLOOKUP(B64,OBJECTIFS!$H$76:$J$137,2,FALSE),0)</f>
        <v>0</v>
      </c>
      <c r="AC64" s="134">
        <f t="shared" si="6"/>
        <v>0</v>
      </c>
      <c r="AD64" s="138"/>
      <c r="AE64" s="133">
        <f>IFERROR(VLOOKUP(B64,OBJECTIFS!$C$142:$E$203,2,FALSE),0)</f>
        <v>0</v>
      </c>
      <c r="AF64" s="140">
        <f>IFERROR(VLOOKUP(B64,OBJECTIFS!$H$142:$J$203,2,FALSE),0)</f>
        <v>0</v>
      </c>
      <c r="AG64" s="140">
        <f>IFERROR(VLOOKUP(B64,OBJECTIFS!$F$208:$H$269,3,FALSE),0)</f>
        <v>0</v>
      </c>
      <c r="AH64" s="48"/>
      <c r="AI64" s="142">
        <f t="shared" si="7"/>
        <v>0</v>
      </c>
      <c r="AJ64" s="45"/>
      <c r="AK64" s="144">
        <f t="shared" si="13"/>
        <v>0</v>
      </c>
      <c r="AL64" s="85" t="str">
        <f>IF(AM64="","","è")</f>
        <v/>
      </c>
      <c r="AM64" s="147" t="str">
        <f t="shared" si="14"/>
        <v/>
      </c>
    </row>
    <row r="65" spans="1:39" x14ac:dyDescent="0.2">
      <c r="A65" s="104"/>
      <c r="B65" s="105"/>
      <c r="C65" s="105"/>
      <c r="D65" s="106"/>
      <c r="E65" s="107"/>
      <c r="F65" s="108"/>
      <c r="H65" s="97" t="str">
        <f>IFERROR(IF(OR(D65="",F65="",A65=""),"",IF(AND(E65="non",J65&lt;165000),LOOKUP(J65,OBJECTIFS!$E$277:$E$398,OBJECTIFS!$F$277:$F$398),(((J65*3%)*10%)*10.25))),0)</f>
        <v/>
      </c>
      <c r="J65" s="91"/>
      <c r="K65" s="92"/>
      <c r="L65" s="194"/>
      <c r="M65" s="194"/>
      <c r="N65" s="93">
        <f t="shared" si="3"/>
        <v>0</v>
      </c>
      <c r="O65" s="45"/>
      <c r="P65" s="120"/>
      <c r="Q65" s="107"/>
      <c r="R65" s="107"/>
      <c r="S65" s="107"/>
      <c r="T65" s="107"/>
      <c r="U65" s="121">
        <f t="shared" si="4"/>
        <v>0</v>
      </c>
      <c r="V65" s="121">
        <f>V64</f>
        <v>22</v>
      </c>
      <c r="W65" s="122">
        <f t="shared" si="5"/>
        <v>0</v>
      </c>
      <c r="X65" s="123" t="str">
        <f t="shared" si="12"/>
        <v/>
      </c>
      <c r="Y65" s="48"/>
      <c r="Z65" s="131">
        <f>IFERROR(VLOOKUP(B65,OBJECTIFS!$C$76:$E$137,2,FALSE),0)</f>
        <v>0</v>
      </c>
      <c r="AA65" s="82"/>
      <c r="AB65" s="133">
        <f>IFERROR(VLOOKUP(B65,OBJECTIFS!$H$76:$J$137,2,FALSE),0)</f>
        <v>0</v>
      </c>
      <c r="AC65" s="134">
        <f t="shared" si="6"/>
        <v>0</v>
      </c>
      <c r="AD65" s="138"/>
      <c r="AE65" s="133">
        <f>IFERROR(VLOOKUP(B65,OBJECTIFS!$C$142:$E$203,2,FALSE),0)</f>
        <v>0</v>
      </c>
      <c r="AF65" s="140">
        <f>IFERROR(VLOOKUP(B65,OBJECTIFS!$H$142:$J$203,2,FALSE),0)</f>
        <v>0</v>
      </c>
      <c r="AG65" s="140">
        <f>IFERROR(VLOOKUP(B65,OBJECTIFS!$F$208:$H$269,3,FALSE),0)</f>
        <v>0</v>
      </c>
      <c r="AH65" s="48"/>
      <c r="AI65" s="142">
        <f t="shared" si="7"/>
        <v>0</v>
      </c>
      <c r="AJ65" s="45"/>
      <c r="AK65" s="144">
        <f t="shared" si="13"/>
        <v>0</v>
      </c>
      <c r="AL65" s="85" t="str">
        <f t="shared" si="2"/>
        <v/>
      </c>
      <c r="AM65" s="146" t="str">
        <f t="shared" si="14"/>
        <v/>
      </c>
    </row>
    <row r="66" spans="1:39" x14ac:dyDescent="0.2">
      <c r="A66" s="104"/>
      <c r="B66" s="105"/>
      <c r="C66" s="105"/>
      <c r="D66" s="106"/>
      <c r="E66" s="107"/>
      <c r="F66" s="108"/>
      <c r="H66" s="97" t="str">
        <f>IFERROR(IF(OR(D66="",F66="",A66=""),"",IF(AND(E66="non",J66&lt;165000),LOOKUP(J66,OBJECTIFS!$E$277:$E$398,OBJECTIFS!$F$277:$F$398),(((J66*3%)*10%)*10.25))),0)</f>
        <v/>
      </c>
      <c r="J66" s="91"/>
      <c r="K66" s="92"/>
      <c r="L66" s="194"/>
      <c r="M66" s="194"/>
      <c r="N66" s="93">
        <f t="shared" si="3"/>
        <v>0</v>
      </c>
      <c r="O66" s="45"/>
      <c r="P66" s="120"/>
      <c r="Q66" s="107"/>
      <c r="R66" s="107"/>
      <c r="S66" s="107"/>
      <c r="T66" s="107"/>
      <c r="U66" s="121">
        <f t="shared" si="4"/>
        <v>0</v>
      </c>
      <c r="V66" s="121">
        <f t="shared" si="8"/>
        <v>22</v>
      </c>
      <c r="W66" s="122">
        <f t="shared" si="5"/>
        <v>0</v>
      </c>
      <c r="X66" s="123" t="str">
        <f t="shared" si="12"/>
        <v/>
      </c>
      <c r="Y66" s="48"/>
      <c r="Z66" s="131">
        <f>IFERROR(VLOOKUP(B66,OBJECTIFS!$C$76:$E$137,2,FALSE),0)</f>
        <v>0</v>
      </c>
      <c r="AA66" s="82"/>
      <c r="AB66" s="133">
        <f>IFERROR(VLOOKUP(B66,OBJECTIFS!$H$76:$J$137,2,FALSE),0)</f>
        <v>0</v>
      </c>
      <c r="AC66" s="134">
        <f t="shared" si="6"/>
        <v>0</v>
      </c>
      <c r="AD66" s="138"/>
      <c r="AE66" s="133">
        <f>IFERROR(VLOOKUP(B66,OBJECTIFS!$C$142:$E$203,2,FALSE),0)</f>
        <v>0</v>
      </c>
      <c r="AF66" s="140">
        <f>IFERROR(VLOOKUP(B66,OBJECTIFS!$H$142:$J$203,2,FALSE),0)</f>
        <v>0</v>
      </c>
      <c r="AG66" s="140">
        <f>IFERROR(VLOOKUP(B66,OBJECTIFS!$F$208:$H$269,3,FALSE),0)</f>
        <v>0</v>
      </c>
      <c r="AH66" s="48"/>
      <c r="AI66" s="142">
        <f t="shared" si="7"/>
        <v>0</v>
      </c>
      <c r="AJ66" s="45"/>
      <c r="AK66" s="144">
        <f t="shared" si="13"/>
        <v>0</v>
      </c>
      <c r="AL66" s="85" t="str">
        <f t="shared" si="2"/>
        <v/>
      </c>
      <c r="AM66" s="146" t="str">
        <f t="shared" si="14"/>
        <v/>
      </c>
    </row>
    <row r="67" spans="1:39" x14ac:dyDescent="0.2">
      <c r="A67" s="104"/>
      <c r="B67" s="105"/>
      <c r="C67" s="105"/>
      <c r="D67" s="106"/>
      <c r="E67" s="107"/>
      <c r="F67" s="108"/>
      <c r="H67" s="97" t="str">
        <f>IFERROR(IF(OR(D67="",F67="",A67=""),"",IF(AND(E67="non",J67&lt;165000),LOOKUP(J67,OBJECTIFS!$E$277:$E$398,OBJECTIFS!$F$277:$F$398),(((J67*3%)*10%)*10.25))),0)</f>
        <v/>
      </c>
      <c r="J67" s="91"/>
      <c r="K67" s="92"/>
      <c r="L67" s="194"/>
      <c r="M67" s="194"/>
      <c r="N67" s="93">
        <f t="shared" si="3"/>
        <v>0</v>
      </c>
      <c r="O67" s="45"/>
      <c r="P67" s="120"/>
      <c r="Q67" s="107"/>
      <c r="R67" s="107"/>
      <c r="S67" s="107"/>
      <c r="T67" s="107"/>
      <c r="U67" s="121">
        <f t="shared" si="4"/>
        <v>0</v>
      </c>
      <c r="V67" s="121">
        <f t="shared" si="8"/>
        <v>22</v>
      </c>
      <c r="W67" s="122">
        <f t="shared" si="5"/>
        <v>0</v>
      </c>
      <c r="X67" s="123" t="str">
        <f t="shared" si="12"/>
        <v/>
      </c>
      <c r="Y67" s="48"/>
      <c r="Z67" s="131">
        <f>IFERROR(VLOOKUP(B67,OBJECTIFS!$C$76:$E$137,2,FALSE),0)</f>
        <v>0</v>
      </c>
      <c r="AA67" s="82"/>
      <c r="AB67" s="133">
        <f>IFERROR(VLOOKUP(B67,OBJECTIFS!$H$76:$J$137,2,FALSE),0)</f>
        <v>0</v>
      </c>
      <c r="AC67" s="134">
        <f t="shared" si="6"/>
        <v>0</v>
      </c>
      <c r="AD67" s="138"/>
      <c r="AE67" s="133">
        <f>IFERROR(VLOOKUP(B67,OBJECTIFS!$C$142:$E$203,2,FALSE),0)</f>
        <v>0</v>
      </c>
      <c r="AF67" s="140">
        <f>IFERROR(VLOOKUP(B67,OBJECTIFS!$H$142:$J$203,2,FALSE),0)</f>
        <v>0</v>
      </c>
      <c r="AG67" s="140">
        <f>IFERROR(VLOOKUP(B67,OBJECTIFS!$F$208:$H$269,3,FALSE),0)</f>
        <v>0</v>
      </c>
      <c r="AH67" s="48"/>
      <c r="AI67" s="142">
        <f t="shared" si="7"/>
        <v>0</v>
      </c>
      <c r="AJ67" s="45"/>
      <c r="AK67" s="144">
        <f t="shared" si="13"/>
        <v>0</v>
      </c>
      <c r="AL67" s="85" t="str">
        <f t="shared" si="2"/>
        <v/>
      </c>
      <c r="AM67" s="146" t="str">
        <f t="shared" si="14"/>
        <v/>
      </c>
    </row>
    <row r="68" spans="1:39" x14ac:dyDescent="0.2">
      <c r="A68" s="104"/>
      <c r="B68" s="105"/>
      <c r="C68" s="105"/>
      <c r="D68" s="106"/>
      <c r="E68" s="107"/>
      <c r="F68" s="108"/>
      <c r="H68" s="97" t="str">
        <f>IFERROR(IF(OR(D68="",F68="",A68=""),"",IF(AND(E68="non",J68&lt;165000),LOOKUP(J68,OBJECTIFS!$E$277:$E$398,OBJECTIFS!$F$277:$F$398),(((J68*3%)*10%)*10.25))),0)</f>
        <v/>
      </c>
      <c r="J68" s="91"/>
      <c r="K68" s="92"/>
      <c r="L68" s="194"/>
      <c r="M68" s="194"/>
      <c r="N68" s="93">
        <f t="shared" si="3"/>
        <v>0</v>
      </c>
      <c r="O68" s="45"/>
      <c r="P68" s="120"/>
      <c r="Q68" s="107"/>
      <c r="R68" s="107"/>
      <c r="S68" s="107"/>
      <c r="T68" s="107"/>
      <c r="U68" s="121">
        <f t="shared" si="4"/>
        <v>0</v>
      </c>
      <c r="V68" s="121">
        <f t="shared" si="8"/>
        <v>22</v>
      </c>
      <c r="W68" s="122">
        <f t="shared" si="5"/>
        <v>0</v>
      </c>
      <c r="X68" s="123" t="str">
        <f t="shared" si="12"/>
        <v/>
      </c>
      <c r="Y68" s="48"/>
      <c r="Z68" s="131">
        <f>IFERROR(VLOOKUP(B68,OBJECTIFS!$C$76:$E$137,2,FALSE),0)</f>
        <v>0</v>
      </c>
      <c r="AA68" s="82"/>
      <c r="AB68" s="133">
        <f>IFERROR(VLOOKUP(B68,OBJECTIFS!$H$76:$J$137,2,FALSE),0)</f>
        <v>0</v>
      </c>
      <c r="AC68" s="134">
        <f t="shared" si="6"/>
        <v>0</v>
      </c>
      <c r="AD68" s="138"/>
      <c r="AE68" s="133">
        <f>IFERROR(VLOOKUP(B68,OBJECTIFS!$C$142:$E$203,2,FALSE),0)</f>
        <v>0</v>
      </c>
      <c r="AF68" s="140">
        <f>IFERROR(VLOOKUP(B68,OBJECTIFS!$H$142:$J$203,2,FALSE),0)</f>
        <v>0</v>
      </c>
      <c r="AG68" s="140">
        <f>IFERROR(VLOOKUP(B68,OBJECTIFS!$F$208:$H$269,3,FALSE),0)</f>
        <v>0</v>
      </c>
      <c r="AH68" s="48"/>
      <c r="AI68" s="142">
        <f t="shared" si="7"/>
        <v>0</v>
      </c>
      <c r="AJ68" s="45"/>
      <c r="AK68" s="144">
        <f t="shared" si="13"/>
        <v>0</v>
      </c>
      <c r="AL68" s="85" t="str">
        <f t="shared" si="2"/>
        <v/>
      </c>
      <c r="AM68" s="146" t="str">
        <f t="shared" si="14"/>
        <v/>
      </c>
    </row>
    <row r="69" spans="1:39" x14ac:dyDescent="0.2">
      <c r="A69" s="104"/>
      <c r="B69" s="105"/>
      <c r="C69" s="105"/>
      <c r="D69" s="106"/>
      <c r="E69" s="107"/>
      <c r="F69" s="108"/>
      <c r="H69" s="97" t="str">
        <f>IFERROR(IF(OR(D69="",F69="",A69=""),"",IF(AND(E69="non",J69&lt;165000),LOOKUP(J69,OBJECTIFS!$E$277:$E$398,OBJECTIFS!$F$277:$F$398),(((J69*3%)*10%)*10.25))),0)</f>
        <v/>
      </c>
      <c r="J69" s="91"/>
      <c r="K69" s="92"/>
      <c r="L69" s="194"/>
      <c r="M69" s="194"/>
      <c r="N69" s="93">
        <f t="shared" si="3"/>
        <v>0</v>
      </c>
      <c r="O69" s="45"/>
      <c r="P69" s="120"/>
      <c r="Q69" s="107"/>
      <c r="R69" s="107"/>
      <c r="S69" s="107"/>
      <c r="T69" s="107"/>
      <c r="U69" s="121">
        <f t="shared" si="4"/>
        <v>0</v>
      </c>
      <c r="V69" s="121">
        <f t="shared" si="8"/>
        <v>22</v>
      </c>
      <c r="W69" s="122">
        <f t="shared" si="5"/>
        <v>0</v>
      </c>
      <c r="X69" s="123" t="str">
        <f t="shared" si="12"/>
        <v/>
      </c>
      <c r="Y69" s="48"/>
      <c r="Z69" s="131">
        <f>IFERROR(VLOOKUP(B69,OBJECTIFS!$C$76:$E$137,2,FALSE),0)</f>
        <v>0</v>
      </c>
      <c r="AA69" s="82"/>
      <c r="AB69" s="133">
        <f>IFERROR(VLOOKUP(B69,OBJECTIFS!$H$76:$J$137,2,FALSE),0)</f>
        <v>0</v>
      </c>
      <c r="AC69" s="134">
        <f t="shared" si="6"/>
        <v>0</v>
      </c>
      <c r="AD69" s="138"/>
      <c r="AE69" s="133">
        <f>IFERROR(VLOOKUP(B69,OBJECTIFS!$C$142:$E$203,2,FALSE),0)</f>
        <v>0</v>
      </c>
      <c r="AF69" s="140">
        <f>IFERROR(VLOOKUP(B69,OBJECTIFS!$H$142:$J$203,2,FALSE),0)</f>
        <v>0</v>
      </c>
      <c r="AG69" s="140">
        <f>IFERROR(VLOOKUP(B69,OBJECTIFS!$F$208:$H$269,3,FALSE),0)</f>
        <v>0</v>
      </c>
      <c r="AH69" s="48"/>
      <c r="AI69" s="142">
        <f t="shared" si="7"/>
        <v>0</v>
      </c>
      <c r="AJ69" s="45"/>
      <c r="AK69" s="144">
        <f t="shared" si="13"/>
        <v>0</v>
      </c>
      <c r="AL69" s="85" t="str">
        <f t="shared" si="2"/>
        <v/>
      </c>
      <c r="AM69" s="146" t="str">
        <f t="shared" si="14"/>
        <v/>
      </c>
    </row>
    <row r="70" spans="1:39" x14ac:dyDescent="0.2">
      <c r="A70" s="104"/>
      <c r="B70" s="105"/>
      <c r="C70" s="105"/>
      <c r="D70" s="106"/>
      <c r="E70" s="107"/>
      <c r="F70" s="108"/>
      <c r="H70" s="97" t="str">
        <f>IFERROR(IF(OR(D70="",F70="",A70=""),"",IF(AND(E70="non",J70&lt;165000),LOOKUP(J70,OBJECTIFS!$E$277:$E$398,OBJECTIFS!$F$277:$F$398),(((J70*3%)*10%)*10.25))),0)</f>
        <v/>
      </c>
      <c r="J70" s="91"/>
      <c r="K70" s="92"/>
      <c r="L70" s="194"/>
      <c r="M70" s="194"/>
      <c r="N70" s="93">
        <f t="shared" si="3"/>
        <v>0</v>
      </c>
      <c r="O70" s="45"/>
      <c r="P70" s="120"/>
      <c r="Q70" s="107"/>
      <c r="R70" s="107"/>
      <c r="S70" s="107"/>
      <c r="T70" s="107"/>
      <c r="U70" s="121">
        <f t="shared" si="4"/>
        <v>0</v>
      </c>
      <c r="V70" s="121">
        <f t="shared" si="8"/>
        <v>22</v>
      </c>
      <c r="W70" s="122">
        <f t="shared" si="5"/>
        <v>0</v>
      </c>
      <c r="X70" s="123" t="str">
        <f t="shared" si="12"/>
        <v/>
      </c>
      <c r="Y70" s="48"/>
      <c r="Z70" s="131">
        <f>IFERROR(VLOOKUP(B70,OBJECTIFS!$C$76:$E$137,2,FALSE),0)</f>
        <v>0</v>
      </c>
      <c r="AA70" s="82"/>
      <c r="AB70" s="133">
        <f>IFERROR(VLOOKUP(B70,OBJECTIFS!$H$76:$J$137,2,FALSE),0)</f>
        <v>0</v>
      </c>
      <c r="AC70" s="134">
        <f t="shared" si="6"/>
        <v>0</v>
      </c>
      <c r="AD70" s="138"/>
      <c r="AE70" s="133">
        <f>IFERROR(VLOOKUP(B70,OBJECTIFS!$C$142:$E$203,2,FALSE),0)</f>
        <v>0</v>
      </c>
      <c r="AF70" s="140">
        <f>IFERROR(VLOOKUP(B70,OBJECTIFS!$H$142:$J$203,2,FALSE),0)</f>
        <v>0</v>
      </c>
      <c r="AG70" s="140">
        <f>IFERROR(VLOOKUP(B70,OBJECTIFS!$F$208:$H$269,3,FALSE),0)</f>
        <v>0</v>
      </c>
      <c r="AH70" s="48"/>
      <c r="AI70" s="142">
        <f t="shared" si="7"/>
        <v>0</v>
      </c>
      <c r="AJ70" s="45"/>
      <c r="AK70" s="144">
        <f t="shared" si="13"/>
        <v>0</v>
      </c>
      <c r="AL70" s="85" t="str">
        <f t="shared" si="2"/>
        <v/>
      </c>
      <c r="AM70" s="146" t="str">
        <f t="shared" si="14"/>
        <v/>
      </c>
    </row>
    <row r="71" spans="1:39" x14ac:dyDescent="0.2">
      <c r="A71" s="104"/>
      <c r="B71" s="105"/>
      <c r="C71" s="105"/>
      <c r="D71" s="106"/>
      <c r="E71" s="107"/>
      <c r="F71" s="108"/>
      <c r="H71" s="97" t="str">
        <f>IFERROR(IF(OR(D71="",F71="",A71=""),"",IF(AND(E71="non",J71&lt;165000),LOOKUP(J71,OBJECTIFS!$E$277:$E$398,OBJECTIFS!$F$277:$F$398),(((J71*3%)*10%)*10.25))),0)</f>
        <v/>
      </c>
      <c r="J71" s="91"/>
      <c r="K71" s="92"/>
      <c r="L71" s="194"/>
      <c r="M71" s="194"/>
      <c r="N71" s="93">
        <f t="shared" si="3"/>
        <v>0</v>
      </c>
      <c r="O71" s="45"/>
      <c r="P71" s="120"/>
      <c r="Q71" s="107"/>
      <c r="R71" s="107"/>
      <c r="S71" s="107"/>
      <c r="T71" s="107"/>
      <c r="U71" s="121">
        <f t="shared" si="4"/>
        <v>0</v>
      </c>
      <c r="V71" s="121">
        <f t="shared" si="8"/>
        <v>22</v>
      </c>
      <c r="W71" s="122">
        <f t="shared" si="5"/>
        <v>0</v>
      </c>
      <c r="X71" s="123" t="str">
        <f t="shared" si="12"/>
        <v/>
      </c>
      <c r="Y71" s="48"/>
      <c r="Z71" s="131">
        <f>IFERROR(VLOOKUP(B71,OBJECTIFS!$C$76:$E$137,2,FALSE),0)</f>
        <v>0</v>
      </c>
      <c r="AA71" s="82"/>
      <c r="AB71" s="133">
        <f>IFERROR(VLOOKUP(B71,OBJECTIFS!$H$76:$J$137,2,FALSE),0)</f>
        <v>0</v>
      </c>
      <c r="AC71" s="134">
        <f t="shared" si="6"/>
        <v>0</v>
      </c>
      <c r="AD71" s="138"/>
      <c r="AE71" s="133">
        <f>IFERROR(VLOOKUP(B71,OBJECTIFS!$C$142:$E$203,2,FALSE),0)</f>
        <v>0</v>
      </c>
      <c r="AF71" s="140">
        <f>IFERROR(VLOOKUP(B71,OBJECTIFS!$H$142:$J$203,2,FALSE),0)</f>
        <v>0</v>
      </c>
      <c r="AG71" s="140">
        <f>IFERROR(VLOOKUP(B71,OBJECTIFS!$F$208:$H$269,3,FALSE),0)</f>
        <v>0</v>
      </c>
      <c r="AH71" s="48"/>
      <c r="AI71" s="142">
        <f t="shared" si="7"/>
        <v>0</v>
      </c>
      <c r="AJ71" s="45"/>
      <c r="AK71" s="144">
        <f t="shared" si="13"/>
        <v>0</v>
      </c>
      <c r="AL71" s="85" t="str">
        <f t="shared" si="2"/>
        <v/>
      </c>
      <c r="AM71" s="146" t="str">
        <f t="shared" si="14"/>
        <v/>
      </c>
    </row>
    <row r="72" spans="1:39" x14ac:dyDescent="0.2">
      <c r="A72" s="104"/>
      <c r="B72" s="105"/>
      <c r="C72" s="105"/>
      <c r="D72" s="106"/>
      <c r="E72" s="107"/>
      <c r="F72" s="108"/>
      <c r="H72" s="97" t="str">
        <f>IFERROR(IF(OR(D72="",F72="",A72=""),"",IF(AND(E72="non",J72&lt;165000),LOOKUP(J72,OBJECTIFS!$E$277:$E$398,OBJECTIFS!$F$277:$F$398),(((J72*3%)*10%)*10.25))),0)</f>
        <v/>
      </c>
      <c r="J72" s="91"/>
      <c r="K72" s="92"/>
      <c r="L72" s="194"/>
      <c r="M72" s="194"/>
      <c r="N72" s="93">
        <f t="shared" si="3"/>
        <v>0</v>
      </c>
      <c r="O72" s="45"/>
      <c r="P72" s="120"/>
      <c r="Q72" s="107"/>
      <c r="R72" s="107"/>
      <c r="S72" s="107"/>
      <c r="T72" s="107"/>
      <c r="U72" s="121">
        <f t="shared" si="4"/>
        <v>0</v>
      </c>
      <c r="V72" s="121">
        <f t="shared" si="8"/>
        <v>22</v>
      </c>
      <c r="W72" s="122">
        <f t="shared" si="5"/>
        <v>0</v>
      </c>
      <c r="X72" s="123" t="str">
        <f t="shared" si="12"/>
        <v/>
      </c>
      <c r="Y72" s="48"/>
      <c r="Z72" s="131">
        <f>IFERROR(VLOOKUP(B72,OBJECTIFS!$C$76:$E$137,2,FALSE),0)</f>
        <v>0</v>
      </c>
      <c r="AA72" s="82"/>
      <c r="AB72" s="133">
        <f>IFERROR(VLOOKUP(B72,OBJECTIFS!$H$76:$J$137,2,FALSE),0)</f>
        <v>0</v>
      </c>
      <c r="AC72" s="134">
        <f t="shared" si="6"/>
        <v>0</v>
      </c>
      <c r="AD72" s="138"/>
      <c r="AE72" s="133">
        <f>IFERROR(VLOOKUP(B72,OBJECTIFS!$C$142:$E$203,2,FALSE),0)</f>
        <v>0</v>
      </c>
      <c r="AF72" s="140">
        <f>IFERROR(VLOOKUP(B72,OBJECTIFS!$H$142:$J$203,2,FALSE),0)</f>
        <v>0</v>
      </c>
      <c r="AG72" s="140">
        <f>IFERROR(VLOOKUP(B72,OBJECTIFS!$F$208:$H$269,3,FALSE),0)</f>
        <v>0</v>
      </c>
      <c r="AH72" s="48"/>
      <c r="AI72" s="142">
        <f t="shared" si="7"/>
        <v>0</v>
      </c>
      <c r="AJ72" s="45"/>
      <c r="AK72" s="144">
        <f t="shared" si="13"/>
        <v>0</v>
      </c>
      <c r="AL72" s="85" t="str">
        <f t="shared" si="2"/>
        <v/>
      </c>
      <c r="AM72" s="146" t="str">
        <f t="shared" si="14"/>
        <v/>
      </c>
    </row>
    <row r="73" spans="1:39" x14ac:dyDescent="0.2">
      <c r="A73" s="104"/>
      <c r="B73" s="105"/>
      <c r="C73" s="105"/>
      <c r="D73" s="106"/>
      <c r="E73" s="107"/>
      <c r="F73" s="108"/>
      <c r="H73" s="97" t="str">
        <f>IFERROR(IF(OR(D73="",F73="",A73=""),"",IF(AND(E73="non",J73&lt;165000),LOOKUP(J73,OBJECTIFS!$E$277:$E$398,OBJECTIFS!$F$277:$F$398),(((J73*3%)*10%)*10.25))),0)</f>
        <v/>
      </c>
      <c r="J73" s="91"/>
      <c r="K73" s="92"/>
      <c r="L73" s="194"/>
      <c r="M73" s="194"/>
      <c r="N73" s="93">
        <f t="shared" si="3"/>
        <v>0</v>
      </c>
      <c r="O73" s="45"/>
      <c r="P73" s="120"/>
      <c r="Q73" s="107"/>
      <c r="R73" s="107"/>
      <c r="S73" s="107"/>
      <c r="T73" s="107"/>
      <c r="U73" s="121">
        <f t="shared" si="4"/>
        <v>0</v>
      </c>
      <c r="V73" s="121">
        <f t="shared" si="8"/>
        <v>22</v>
      </c>
      <c r="W73" s="122">
        <f t="shared" si="5"/>
        <v>0</v>
      </c>
      <c r="X73" s="123" t="str">
        <f t="shared" ref="X73:X79" si="15">IFERROR((H73*N73/100)*(1+W73),"")</f>
        <v/>
      </c>
      <c r="Y73" s="48"/>
      <c r="Z73" s="131">
        <f>IFERROR(VLOOKUP(B73,OBJECTIFS!$C$76:$E$137,2,FALSE),0)</f>
        <v>0</v>
      </c>
      <c r="AA73" s="82"/>
      <c r="AB73" s="133">
        <f>IFERROR(VLOOKUP(B73,OBJECTIFS!$H$76:$J$137,2,FALSE),0)</f>
        <v>0</v>
      </c>
      <c r="AC73" s="134">
        <f t="shared" si="6"/>
        <v>0</v>
      </c>
      <c r="AD73" s="138"/>
      <c r="AE73" s="133">
        <f>IFERROR(VLOOKUP(B73,OBJECTIFS!$C$142:$E$203,2,FALSE),0)</f>
        <v>0</v>
      </c>
      <c r="AF73" s="140">
        <f>IFERROR(VLOOKUP(B73,OBJECTIFS!$H$142:$J$203,2,FALSE),0)</f>
        <v>0</v>
      </c>
      <c r="AG73" s="140">
        <f>IFERROR(VLOOKUP(B73,OBJECTIFS!$F$208:$H$269,3,FALSE),0)</f>
        <v>0</v>
      </c>
      <c r="AH73" s="48"/>
      <c r="AI73" s="142">
        <f t="shared" si="7"/>
        <v>0</v>
      </c>
      <c r="AJ73" s="45"/>
      <c r="AK73" s="144">
        <f t="shared" ref="AK73:AK79" si="16">IFERROR(IF(OR(Q73&gt;=2,R73&gt;=8,AND(Q73=1,R73&gt;=4)),0,IF(OR(AND(Q73=1,R73&lt;4),AND(Q73=0,R73&gt;=4,R73&lt;8)),0.5,1))*N73*(V73-U73)/V73,"")</f>
        <v>0</v>
      </c>
      <c r="AL73" s="85" t="str">
        <f t="shared" si="2"/>
        <v/>
      </c>
      <c r="AM73" s="146" t="str">
        <f t="shared" si="14"/>
        <v/>
      </c>
    </row>
    <row r="74" spans="1:39" x14ac:dyDescent="0.2">
      <c r="A74" s="104"/>
      <c r="B74" s="105"/>
      <c r="C74" s="105"/>
      <c r="D74" s="106"/>
      <c r="E74" s="107"/>
      <c r="F74" s="108"/>
      <c r="H74" s="97" t="str">
        <f>IFERROR(IF(OR(D74="",F74="",A74=""),"",IF(AND(E74="non",J74&lt;165000),LOOKUP(J74,OBJECTIFS!$E$277:$E$398,OBJECTIFS!$F$277:$F$398),(((J74*3%)*10%)*10.25))),0)</f>
        <v/>
      </c>
      <c r="J74" s="91"/>
      <c r="K74" s="92"/>
      <c r="L74" s="194"/>
      <c r="M74" s="194"/>
      <c r="N74" s="93">
        <f t="shared" ref="N74:N79" si="17">IF(A74="",0,IF(K74="",0,IF(L74&gt;=1,0,IF(K74&lt;75%,100-(100*15%),IF(K74&lt;80%,100-(100*10%),IF(K74&lt;85%,100-(100*5%),100))))))</f>
        <v>0</v>
      </c>
      <c r="O74" s="45"/>
      <c r="P74" s="120"/>
      <c r="Q74" s="107"/>
      <c r="R74" s="107"/>
      <c r="S74" s="107"/>
      <c r="T74" s="107"/>
      <c r="U74" s="121">
        <f t="shared" si="4"/>
        <v>0</v>
      </c>
      <c r="V74" s="121">
        <f t="shared" si="8"/>
        <v>22</v>
      </c>
      <c r="W74" s="122">
        <f t="shared" ref="W74:W79" si="18">IFERROR(IF(IF(OR(Q74&gt;=2,R74&gt;=8,AND(Q74=1,R74&gt;=4)),0,IF(OR(AND(Q74=1,R74&lt;4),AND(Q74=0,R74&gt;=4,R74&lt;8)),50%,100%))*(V74-(U74))/V74=0,-100%,IF(OR(Q74&gt;=2,R74&gt;=8,AND(Q74=1,R74&gt;=4)),0,IF(OR(AND(Q74=1,R74&lt;4),AND(Q74=0,R74&gt;=4,R74&lt;8)),50%,100%))*(V74-(U74))/V74-1),"")</f>
        <v>0</v>
      </c>
      <c r="X74" s="123" t="str">
        <f t="shared" si="15"/>
        <v/>
      </c>
      <c r="Y74" s="48"/>
      <c r="Z74" s="131">
        <f>IFERROR(VLOOKUP(B74,OBJECTIFS!$C$76:$E$137,2,FALSE),0)</f>
        <v>0</v>
      </c>
      <c r="AA74" s="82"/>
      <c r="AB74" s="133">
        <f>IFERROR(VLOOKUP(B74,OBJECTIFS!$H$76:$J$137,2,FALSE),0)</f>
        <v>0</v>
      </c>
      <c r="AC74" s="134">
        <f t="shared" ref="AC74:AC79" si="19">IF($B$5="interne",AB74/191*P74,AB74/176*P74)</f>
        <v>0</v>
      </c>
      <c r="AD74" s="138"/>
      <c r="AE74" s="133">
        <f>IFERROR(VLOOKUP(B74,OBJECTIFS!$C$142:$E$203,2,FALSE),0)</f>
        <v>0</v>
      </c>
      <c r="AF74" s="140">
        <f>IFERROR(VLOOKUP(B74,OBJECTIFS!$H$142:$J$203,2,FALSE),0)</f>
        <v>0</v>
      </c>
      <c r="AG74" s="140">
        <f>IFERROR(VLOOKUP(B74,OBJECTIFS!$F$208:$H$269,3,FALSE),0)</f>
        <v>0</v>
      </c>
      <c r="AH74" s="48"/>
      <c r="AI74" s="142">
        <f t="shared" ref="AI74:AI79" si="20">IFERROR(SUM(AE74:AG74,AC74,Z74,X74),"")</f>
        <v>0</v>
      </c>
      <c r="AJ74" s="45"/>
      <c r="AK74" s="144">
        <f t="shared" si="16"/>
        <v>0</v>
      </c>
      <c r="AL74" s="85" t="str">
        <f t="shared" si="2"/>
        <v/>
      </c>
      <c r="AM74" s="146" t="str">
        <f t="shared" si="14"/>
        <v/>
      </c>
    </row>
    <row r="75" spans="1:39" x14ac:dyDescent="0.2">
      <c r="A75" s="104"/>
      <c r="B75" s="105"/>
      <c r="C75" s="105"/>
      <c r="D75" s="106"/>
      <c r="E75" s="107"/>
      <c r="F75" s="108"/>
      <c r="H75" s="97" t="str">
        <f>IFERROR(IF(OR(D75="",F75="",A75=""),"",IF(AND(E75="non",J75&lt;165000),LOOKUP(J75,OBJECTIFS!$E$277:$E$398,OBJECTIFS!$F$277:$F$398),(((J75*3%)*10%)*10.25))),0)</f>
        <v/>
      </c>
      <c r="J75" s="91"/>
      <c r="K75" s="92"/>
      <c r="L75" s="194"/>
      <c r="M75" s="194"/>
      <c r="N75" s="93">
        <f t="shared" si="17"/>
        <v>0</v>
      </c>
      <c r="O75" s="45"/>
      <c r="P75" s="120"/>
      <c r="Q75" s="107"/>
      <c r="R75" s="107"/>
      <c r="S75" s="107"/>
      <c r="T75" s="107"/>
      <c r="U75" s="121">
        <f t="shared" si="4"/>
        <v>0</v>
      </c>
      <c r="V75" s="121">
        <f t="shared" si="8"/>
        <v>22</v>
      </c>
      <c r="W75" s="122">
        <f t="shared" si="18"/>
        <v>0</v>
      </c>
      <c r="X75" s="123" t="str">
        <f t="shared" si="15"/>
        <v/>
      </c>
      <c r="Y75" s="48"/>
      <c r="Z75" s="131">
        <f>IFERROR(VLOOKUP(B75,OBJECTIFS!$C$76:$E$137,2,FALSE),0)</f>
        <v>0</v>
      </c>
      <c r="AA75" s="82"/>
      <c r="AB75" s="133">
        <f>IFERROR(VLOOKUP(B75,OBJECTIFS!$H$76:$J$137,2,FALSE),0)</f>
        <v>0</v>
      </c>
      <c r="AC75" s="134">
        <f t="shared" si="19"/>
        <v>0</v>
      </c>
      <c r="AD75" s="138"/>
      <c r="AE75" s="133">
        <f>IFERROR(VLOOKUP(B75,OBJECTIFS!$C$142:$E$203,2,FALSE),0)</f>
        <v>0</v>
      </c>
      <c r="AF75" s="140">
        <f>IFERROR(VLOOKUP(B75,OBJECTIFS!$H$142:$J$203,2,FALSE),0)</f>
        <v>0</v>
      </c>
      <c r="AG75" s="140">
        <f>IFERROR(VLOOKUP(B75,OBJECTIFS!$F$208:$H$269,3,FALSE),0)</f>
        <v>0</v>
      </c>
      <c r="AH75" s="48"/>
      <c r="AI75" s="142">
        <f t="shared" si="20"/>
        <v>0</v>
      </c>
      <c r="AJ75" s="45"/>
      <c r="AK75" s="144">
        <f t="shared" si="16"/>
        <v>0</v>
      </c>
      <c r="AL75" s="85" t="str">
        <f t="shared" si="2"/>
        <v/>
      </c>
      <c r="AM75" s="146" t="str">
        <f t="shared" si="14"/>
        <v/>
      </c>
    </row>
    <row r="76" spans="1:39" x14ac:dyDescent="0.2">
      <c r="A76" s="104"/>
      <c r="B76" s="105"/>
      <c r="C76" s="105"/>
      <c r="D76" s="106"/>
      <c r="E76" s="107"/>
      <c r="F76" s="108"/>
      <c r="H76" s="97" t="str">
        <f>IFERROR(IF(OR(D76="",F76="",A76=""),"",IF(AND(E76="non",J76&lt;165000),LOOKUP(J76,OBJECTIFS!$E$277:$E$398,OBJECTIFS!$F$277:$F$398),(((J76*3%)*10%)*10.25))),0)</f>
        <v/>
      </c>
      <c r="J76" s="91"/>
      <c r="K76" s="92"/>
      <c r="L76" s="194"/>
      <c r="M76" s="194"/>
      <c r="N76" s="93">
        <f t="shared" si="17"/>
        <v>0</v>
      </c>
      <c r="O76" s="45"/>
      <c r="P76" s="120"/>
      <c r="Q76" s="107"/>
      <c r="R76" s="107"/>
      <c r="S76" s="107"/>
      <c r="T76" s="107"/>
      <c r="U76" s="121">
        <f t="shared" si="4"/>
        <v>0</v>
      </c>
      <c r="V76" s="121">
        <f t="shared" si="8"/>
        <v>22</v>
      </c>
      <c r="W76" s="122">
        <f t="shared" si="18"/>
        <v>0</v>
      </c>
      <c r="X76" s="123" t="str">
        <f t="shared" si="15"/>
        <v/>
      </c>
      <c r="Y76" s="48"/>
      <c r="Z76" s="131">
        <f>IFERROR(VLOOKUP(B76,OBJECTIFS!$C$76:$E$137,2,FALSE),0)</f>
        <v>0</v>
      </c>
      <c r="AA76" s="82"/>
      <c r="AB76" s="133">
        <f>IFERROR(VLOOKUP(B76,OBJECTIFS!$H$76:$J$137,2,FALSE),0)</f>
        <v>0</v>
      </c>
      <c r="AC76" s="134">
        <f t="shared" si="19"/>
        <v>0</v>
      </c>
      <c r="AD76" s="138"/>
      <c r="AE76" s="133">
        <f>IFERROR(VLOOKUP(B76,OBJECTIFS!$C$142:$E$203,2,FALSE),0)</f>
        <v>0</v>
      </c>
      <c r="AF76" s="140">
        <f>IFERROR(VLOOKUP(B76,OBJECTIFS!$H$142:$J$203,2,FALSE),0)</f>
        <v>0</v>
      </c>
      <c r="AG76" s="140">
        <f>IFERROR(VLOOKUP(B76,OBJECTIFS!$F$208:$H$269,3,FALSE),0)</f>
        <v>0</v>
      </c>
      <c r="AH76" s="48"/>
      <c r="AI76" s="142">
        <f t="shared" si="20"/>
        <v>0</v>
      </c>
      <c r="AJ76" s="45"/>
      <c r="AK76" s="144">
        <f t="shared" si="16"/>
        <v>0</v>
      </c>
      <c r="AL76" s="85" t="str">
        <f t="shared" si="2"/>
        <v/>
      </c>
      <c r="AM76" s="146" t="str">
        <f t="shared" si="14"/>
        <v/>
      </c>
    </row>
    <row r="77" spans="1:39" x14ac:dyDescent="0.2">
      <c r="A77" s="104"/>
      <c r="B77" s="105"/>
      <c r="C77" s="105"/>
      <c r="D77" s="106"/>
      <c r="E77" s="107"/>
      <c r="F77" s="108"/>
      <c r="H77" s="97" t="str">
        <f>IFERROR(IF(OR(D77="",F77="",A77=""),"",IF(AND(E77="non",J77&lt;165000),LOOKUP(J77,OBJECTIFS!$E$277:$E$398,OBJECTIFS!$F$277:$F$398),(((J77*3%)*10%)*10.25))),0)</f>
        <v/>
      </c>
      <c r="J77" s="91"/>
      <c r="K77" s="92"/>
      <c r="L77" s="194"/>
      <c r="M77" s="194"/>
      <c r="N77" s="93">
        <f t="shared" si="17"/>
        <v>0</v>
      </c>
      <c r="O77" s="45"/>
      <c r="P77" s="120"/>
      <c r="Q77" s="107"/>
      <c r="R77" s="107"/>
      <c r="S77" s="107"/>
      <c r="T77" s="107"/>
      <c r="U77" s="121">
        <f t="shared" si="4"/>
        <v>0</v>
      </c>
      <c r="V77" s="121">
        <f t="shared" si="8"/>
        <v>22</v>
      </c>
      <c r="W77" s="122">
        <f t="shared" si="18"/>
        <v>0</v>
      </c>
      <c r="X77" s="123" t="str">
        <f t="shared" si="15"/>
        <v/>
      </c>
      <c r="Y77" s="48"/>
      <c r="Z77" s="131">
        <f>IFERROR(VLOOKUP(B77,OBJECTIFS!$C$76:$E$137,2,FALSE),0)</f>
        <v>0</v>
      </c>
      <c r="AA77" s="82"/>
      <c r="AB77" s="133">
        <f>IFERROR(VLOOKUP(B77,OBJECTIFS!$H$76:$J$137,2,FALSE),0)</f>
        <v>0</v>
      </c>
      <c r="AC77" s="134">
        <f t="shared" si="19"/>
        <v>0</v>
      </c>
      <c r="AD77" s="138"/>
      <c r="AE77" s="133">
        <f>IFERROR(VLOOKUP(B77,OBJECTIFS!$C$142:$E$203,2,FALSE),0)</f>
        <v>0</v>
      </c>
      <c r="AF77" s="140">
        <f>IFERROR(VLOOKUP(B77,OBJECTIFS!$H$142:$J$203,2,FALSE),0)</f>
        <v>0</v>
      </c>
      <c r="AG77" s="140">
        <f>IFERROR(VLOOKUP(B77,OBJECTIFS!$F$208:$H$269,3,FALSE),0)</f>
        <v>0</v>
      </c>
      <c r="AH77" s="48"/>
      <c r="AI77" s="142">
        <f t="shared" si="20"/>
        <v>0</v>
      </c>
      <c r="AJ77" s="45"/>
      <c r="AK77" s="144">
        <f t="shared" si="16"/>
        <v>0</v>
      </c>
      <c r="AL77" s="85" t="str">
        <f t="shared" si="2"/>
        <v/>
      </c>
      <c r="AM77" s="146" t="str">
        <f t="shared" si="14"/>
        <v/>
      </c>
    </row>
    <row r="78" spans="1:39" x14ac:dyDescent="0.2">
      <c r="A78" s="104"/>
      <c r="B78" s="105"/>
      <c r="C78" s="105"/>
      <c r="D78" s="106"/>
      <c r="E78" s="107"/>
      <c r="F78" s="108"/>
      <c r="H78" s="97" t="str">
        <f>IFERROR(IF(OR(D78="",F78="",A78=""),"",IF(AND(E78="non",J78&lt;165000),LOOKUP(J78,OBJECTIFS!$E$277:$E$398,OBJECTIFS!$F$277:$F$398),(((J78*3%)*10%)*10.25))),0)</f>
        <v/>
      </c>
      <c r="J78" s="91"/>
      <c r="K78" s="92"/>
      <c r="L78" s="194"/>
      <c r="M78" s="194"/>
      <c r="N78" s="93">
        <f t="shared" si="17"/>
        <v>0</v>
      </c>
      <c r="O78" s="45"/>
      <c r="P78" s="120"/>
      <c r="Q78" s="107"/>
      <c r="R78" s="107"/>
      <c r="S78" s="107"/>
      <c r="T78" s="107"/>
      <c r="U78" s="121">
        <f t="shared" si="4"/>
        <v>0</v>
      </c>
      <c r="V78" s="121">
        <f t="shared" si="8"/>
        <v>22</v>
      </c>
      <c r="W78" s="122">
        <f t="shared" si="18"/>
        <v>0</v>
      </c>
      <c r="X78" s="123" t="str">
        <f t="shared" si="15"/>
        <v/>
      </c>
      <c r="Y78" s="48"/>
      <c r="Z78" s="131">
        <f>IFERROR(VLOOKUP(B78,OBJECTIFS!$C$76:$E$137,2,FALSE),0)</f>
        <v>0</v>
      </c>
      <c r="AA78" s="82"/>
      <c r="AB78" s="133">
        <f>IFERROR(VLOOKUP(B78,OBJECTIFS!$H$76:$J$137,2,FALSE),0)</f>
        <v>0</v>
      </c>
      <c r="AC78" s="134">
        <f t="shared" si="19"/>
        <v>0</v>
      </c>
      <c r="AD78" s="138"/>
      <c r="AE78" s="133">
        <f>IFERROR(VLOOKUP(B78,OBJECTIFS!$C$142:$E$203,2,FALSE),0)</f>
        <v>0</v>
      </c>
      <c r="AF78" s="140">
        <f>IFERROR(VLOOKUP(B78,OBJECTIFS!$H$142:$J$203,2,FALSE),0)</f>
        <v>0</v>
      </c>
      <c r="AG78" s="140">
        <f>IFERROR(VLOOKUP(B78,OBJECTIFS!$F$208:$H$269,3,FALSE),0)</f>
        <v>0</v>
      </c>
      <c r="AH78" s="48"/>
      <c r="AI78" s="142">
        <f t="shared" si="20"/>
        <v>0</v>
      </c>
      <c r="AJ78" s="45"/>
      <c r="AK78" s="144">
        <f t="shared" si="16"/>
        <v>0</v>
      </c>
      <c r="AL78" s="85" t="str">
        <f t="shared" si="2"/>
        <v/>
      </c>
      <c r="AM78" s="146" t="str">
        <f t="shared" si="14"/>
        <v/>
      </c>
    </row>
    <row r="79" spans="1:39" x14ac:dyDescent="0.2">
      <c r="A79" s="109"/>
      <c r="B79" s="110"/>
      <c r="C79" s="110"/>
      <c r="D79" s="111"/>
      <c r="E79" s="112"/>
      <c r="F79" s="113"/>
      <c r="H79" s="98" t="str">
        <f>IFERROR(IF(OR(D79="",F79="",A79=""),"",IF(AND(E79="non",J79&lt;165000),LOOKUP(J79,OBJECTIFS!$E$277:$E$398,OBJECTIFS!$F$277:$F$398),(((J79*3%)*10%)*10.25))),0)</f>
        <v/>
      </c>
      <c r="J79" s="94"/>
      <c r="K79" s="95"/>
      <c r="L79" s="201"/>
      <c r="M79" s="201"/>
      <c r="N79" s="96">
        <f t="shared" si="17"/>
        <v>0</v>
      </c>
      <c r="O79" s="45"/>
      <c r="P79" s="124"/>
      <c r="Q79" s="112"/>
      <c r="R79" s="112"/>
      <c r="S79" s="112"/>
      <c r="T79" s="112"/>
      <c r="U79" s="125">
        <f t="shared" si="4"/>
        <v>0</v>
      </c>
      <c r="V79" s="125">
        <f t="shared" si="8"/>
        <v>22</v>
      </c>
      <c r="W79" s="126">
        <f t="shared" si="18"/>
        <v>0</v>
      </c>
      <c r="X79" s="127" t="str">
        <f t="shared" si="15"/>
        <v/>
      </c>
      <c r="Y79" s="48"/>
      <c r="Z79" s="132">
        <f>IFERROR(VLOOKUP(B79,OBJECTIFS!$C$76:$E$137,2,FALSE),0)</f>
        <v>0</v>
      </c>
      <c r="AA79" s="83"/>
      <c r="AB79" s="135">
        <f>IFERROR(VLOOKUP(B79,OBJECTIFS!$H$76:$J$137,2,FALSE),0)</f>
        <v>0</v>
      </c>
      <c r="AC79" s="136">
        <f t="shared" si="19"/>
        <v>0</v>
      </c>
      <c r="AD79" s="139"/>
      <c r="AE79" s="135">
        <f>IFERROR(VLOOKUP(B79,OBJECTIFS!$C$142:$E$203,2,FALSE),0)</f>
        <v>0</v>
      </c>
      <c r="AF79" s="141">
        <f>IFERROR(VLOOKUP(B79,OBJECTIFS!$H$142:$J$203,2,FALSE),0)</f>
        <v>0</v>
      </c>
      <c r="AG79" s="141">
        <f>IFERROR(VLOOKUP(B79,OBJECTIFS!$F$208:$H$269,3,FALSE),0)</f>
        <v>0</v>
      </c>
      <c r="AH79" s="48"/>
      <c r="AI79" s="143">
        <f t="shared" si="20"/>
        <v>0</v>
      </c>
      <c r="AJ79" s="45"/>
      <c r="AK79" s="145">
        <f t="shared" si="16"/>
        <v>0</v>
      </c>
      <c r="AL79" s="85" t="str">
        <f t="shared" ref="AL79" si="21">IF(AM79="","","è")</f>
        <v/>
      </c>
      <c r="AM79" s="148" t="str">
        <f t="shared" si="14"/>
        <v/>
      </c>
    </row>
    <row r="80" spans="1:39" x14ac:dyDescent="0.2">
      <c r="Z80" s="43" t="str">
        <f>IF(SUM(Z9:Z79)=SUM(OBJECTIFS!D76:E137),"OK","ALERTE")</f>
        <v>OK</v>
      </c>
      <c r="AB80" s="43" t="str">
        <f>IF(SUM(AB9:AB79)=SUM(OBJECTIFS!I76:J137),"OK","ALERTE")</f>
        <v>OK</v>
      </c>
      <c r="AE80" s="43" t="str">
        <f>IF(SUM(AE9:AE79)=SUM(OBJECTIFS!D142:E203),"OK","ALERTE")</f>
        <v>OK</v>
      </c>
      <c r="AF80" s="43" t="str">
        <f>IF(SUM(AF9:AF79)=SUM(OBJECTIFS!I142:J203),"OK","ALERTE")</f>
        <v>OK</v>
      </c>
      <c r="AG80" s="43" t="str">
        <f>IF(SUM(AG9:AG79)=SUM(OBJECTIFS!H208:H269),"OK","ALERTE")</f>
        <v>OK</v>
      </c>
    </row>
    <row r="81" spans="26:35" x14ac:dyDescent="0.2">
      <c r="Z81" s="197" t="s">
        <v>69</v>
      </c>
      <c r="AA81" s="205"/>
      <c r="AB81" s="205"/>
      <c r="AC81" s="205"/>
      <c r="AD81" s="205"/>
      <c r="AE81" s="205"/>
      <c r="AF81" s="198"/>
      <c r="AG81" s="197" t="s">
        <v>70</v>
      </c>
      <c r="AH81" s="198"/>
      <c r="AI81" s="49">
        <f>IFERROR(AVERAGE($AI$9:$AI$79),"")</f>
        <v>0</v>
      </c>
    </row>
    <row r="82" spans="26:35" x14ac:dyDescent="0.2">
      <c r="Z82" s="199"/>
      <c r="AA82" s="206"/>
      <c r="AB82" s="206"/>
      <c r="AC82" s="206"/>
      <c r="AD82" s="206"/>
      <c r="AE82" s="206"/>
      <c r="AF82" s="200"/>
      <c r="AG82" s="199" t="s">
        <v>59</v>
      </c>
      <c r="AH82" s="200"/>
      <c r="AI82" s="49" t="str">
        <f>IFERROR(SUMIF($F$9:$F$79,AG82,$AI$9:$AI$79)/COUNTIF($F$9:$F$79,AG82),"")</f>
        <v/>
      </c>
    </row>
    <row r="83" spans="26:35" x14ac:dyDescent="0.2">
      <c r="Z83" s="199"/>
      <c r="AA83" s="206"/>
      <c r="AB83" s="206"/>
      <c r="AC83" s="206"/>
      <c r="AD83" s="206"/>
      <c r="AE83" s="206"/>
      <c r="AF83" s="200"/>
      <c r="AG83" s="199" t="s">
        <v>27</v>
      </c>
      <c r="AH83" s="200"/>
      <c r="AI83" s="49" t="str">
        <f>IFERROR(SUMIF($F$9:$F$79,AG83,$AI$9:$AI$79)/COUNTIF($F$9:$F$79,AG83),"")</f>
        <v/>
      </c>
    </row>
    <row r="84" spans="26:35" x14ac:dyDescent="0.2">
      <c r="Z84" s="195"/>
      <c r="AA84" s="207"/>
      <c r="AB84" s="207"/>
      <c r="AC84" s="207"/>
      <c r="AD84" s="207"/>
      <c r="AE84" s="207"/>
      <c r="AF84" s="196"/>
      <c r="AG84" s="195" t="s">
        <v>60</v>
      </c>
      <c r="AH84" s="196"/>
      <c r="AI84" s="49" t="str">
        <f>IFERROR(SUMIF($F$9:$F$79,AG84,$AI$9:$AI$79)/COUNTIF($F$9:$F$79,AG84),"")</f>
        <v/>
      </c>
    </row>
    <row r="85" spans="26:35" ht="16.5" customHeight="1" x14ac:dyDescent="0.2">
      <c r="Z85" s="202" t="s">
        <v>71</v>
      </c>
      <c r="AA85" s="203"/>
      <c r="AB85" s="203"/>
      <c r="AC85" s="203"/>
      <c r="AD85" s="203"/>
      <c r="AE85" s="203"/>
      <c r="AF85" s="203"/>
      <c r="AG85" s="203"/>
      <c r="AH85" s="204"/>
      <c r="AI85" s="50">
        <f>SUM(AI9:AI79)</f>
        <v>0</v>
      </c>
    </row>
    <row r="86" spans="26:35" ht="4.5" customHeight="1" x14ac:dyDescent="0.2">
      <c r="AI86" s="43" t="str">
        <f>IFERROR(SUMIF($E$9:$E$78,#REF!,$AI$9:$AI$79)/COUNTIF($E$9:$E$78,#REF!),"")</f>
        <v/>
      </c>
    </row>
  </sheetData>
  <sheetProtection formatCells="0" formatColumns="0" formatRows="0" autoFilter="0" pivotTables="0"/>
  <autoFilter ref="A8:AM13">
    <filterColumn colId="11" showButton="0"/>
  </autoFilter>
  <mergeCells count="122">
    <mergeCell ref="Z1:AG1"/>
    <mergeCell ref="A6:A8"/>
    <mergeCell ref="P1:W1"/>
    <mergeCell ref="P2:T2"/>
    <mergeCell ref="U2:W2"/>
    <mergeCell ref="B6:B8"/>
    <mergeCell ref="C6:C8"/>
    <mergeCell ref="D6:D8"/>
    <mergeCell ref="E6:E8"/>
    <mergeCell ref="F6:F8"/>
    <mergeCell ref="P3:T3"/>
    <mergeCell ref="U3:W3"/>
    <mergeCell ref="H6:H8"/>
    <mergeCell ref="S7:S8"/>
    <mergeCell ref="AB2:AG2"/>
    <mergeCell ref="P4:T4"/>
    <mergeCell ref="U4:W4"/>
    <mergeCell ref="AB3:AG3"/>
    <mergeCell ref="AB4:AG4"/>
    <mergeCell ref="K7:K8"/>
    <mergeCell ref="AB7:AB8"/>
    <mergeCell ref="AC7:AC8"/>
    <mergeCell ref="AE7:AE8"/>
    <mergeCell ref="J7:J8"/>
    <mergeCell ref="L23:M23"/>
    <mergeCell ref="AM6:AM8"/>
    <mergeCell ref="L18:M18"/>
    <mergeCell ref="L19:M19"/>
    <mergeCell ref="L20:M20"/>
    <mergeCell ref="L21:M21"/>
    <mergeCell ref="L22:M22"/>
    <mergeCell ref="AI6:AI8"/>
    <mergeCell ref="AK6:AK8"/>
    <mergeCell ref="Q7:Q8"/>
    <mergeCell ref="P7:P8"/>
    <mergeCell ref="R7:R8"/>
    <mergeCell ref="Z6:AG6"/>
    <mergeCell ref="Z7:Z8"/>
    <mergeCell ref="L12:M12"/>
    <mergeCell ref="L13:M13"/>
    <mergeCell ref="L14:M14"/>
    <mergeCell ref="AF7:AF8"/>
    <mergeCell ref="AG7:AG8"/>
    <mergeCell ref="L47:M47"/>
    <mergeCell ref="L48:M48"/>
    <mergeCell ref="L49:M49"/>
    <mergeCell ref="L50:M50"/>
    <mergeCell ref="X6:X8"/>
    <mergeCell ref="L6:M6"/>
    <mergeCell ref="N6:N8"/>
    <mergeCell ref="P6:V6"/>
    <mergeCell ref="W6:W8"/>
    <mergeCell ref="L38:M38"/>
    <mergeCell ref="L39:M39"/>
    <mergeCell ref="L40:M40"/>
    <mergeCell ref="L41:M41"/>
    <mergeCell ref="L42:M42"/>
    <mergeCell ref="L43:M43"/>
    <mergeCell ref="L29:M29"/>
    <mergeCell ref="L30:M30"/>
    <mergeCell ref="L31:M31"/>
    <mergeCell ref="L71:M71"/>
    <mergeCell ref="L72:M72"/>
    <mergeCell ref="L61:M61"/>
    <mergeCell ref="L44:M44"/>
    <mergeCell ref="L45:M45"/>
    <mergeCell ref="L46:M46"/>
    <mergeCell ref="L64:M64"/>
    <mergeCell ref="L65:M65"/>
    <mergeCell ref="L66:M66"/>
    <mergeCell ref="L67:M67"/>
    <mergeCell ref="L68:M68"/>
    <mergeCell ref="L69:M69"/>
    <mergeCell ref="L63:M63"/>
    <mergeCell ref="L33:M33"/>
    <mergeCell ref="L34:M34"/>
    <mergeCell ref="L35:M35"/>
    <mergeCell ref="L36:M36"/>
    <mergeCell ref="L37:M37"/>
    <mergeCell ref="Z85:AH85"/>
    <mergeCell ref="Z81:AF84"/>
    <mergeCell ref="B2:D2"/>
    <mergeCell ref="B3:D3"/>
    <mergeCell ref="L76:M76"/>
    <mergeCell ref="L77:M77"/>
    <mergeCell ref="L78:M78"/>
    <mergeCell ref="L75:M75"/>
    <mergeCell ref="L15:M15"/>
    <mergeCell ref="L16:M16"/>
    <mergeCell ref="L17:M17"/>
    <mergeCell ref="T7:T8"/>
    <mergeCell ref="U7:U8"/>
    <mergeCell ref="V7:V8"/>
    <mergeCell ref="L9:M9"/>
    <mergeCell ref="L10:M10"/>
    <mergeCell ref="L11:M11"/>
    <mergeCell ref="L7:M8"/>
    <mergeCell ref="L70:M70"/>
    <mergeCell ref="L24:M24"/>
    <mergeCell ref="L25:M25"/>
    <mergeCell ref="L26:M26"/>
    <mergeCell ref="L27:M27"/>
    <mergeCell ref="L28:M28"/>
    <mergeCell ref="AG84:AH84"/>
    <mergeCell ref="AG81:AH81"/>
    <mergeCell ref="AG82:AH82"/>
    <mergeCell ref="AG83:AH83"/>
    <mergeCell ref="L62:M62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79:M79"/>
    <mergeCell ref="L73:M73"/>
    <mergeCell ref="L74:M74"/>
    <mergeCell ref="L32:M32"/>
  </mergeCells>
  <conditionalFormatting sqref="L81:AA81 A80:Y80 L82:Y84 A4:O4 A6:Y6 A8:Y8 AA8 AD8 AH4:XFD80 A85:XFD1048576 U4:AG4 A1:XFD3 A5:AG5 A7:AG7 A9:AG79 AI81:XFD81 AJ82:XFD84 A81:K84">
    <cfRule type="containsBlanks" dxfId="35" priority="39">
      <formula>LEN(TRIM(A1))=0</formula>
    </cfRule>
  </conditionalFormatting>
  <conditionalFormatting sqref="AK9:AK79">
    <cfRule type="dataBar" priority="36">
      <dataBar>
        <cfvo type="min"/>
        <cfvo type="max"/>
        <color rgb="FFD6007B"/>
      </dataBar>
    </cfRule>
  </conditionalFormatting>
  <conditionalFormatting sqref="AI9:AI79">
    <cfRule type="dataBar" priority="35">
      <dataBar>
        <cfvo type="min"/>
        <cfvo type="max"/>
        <color rgb="FF638EC6"/>
      </dataBar>
    </cfRule>
  </conditionalFormatting>
  <conditionalFormatting sqref="AM9:AM79">
    <cfRule type="notContainsBlanks" dxfId="34" priority="34" stopIfTrue="1">
      <formula>LEN(TRIM(AM9))&gt;0</formula>
    </cfRule>
  </conditionalFormatting>
  <conditionalFormatting sqref="W9:W79">
    <cfRule type="cellIs" dxfId="33" priority="33" operator="lessThan">
      <formula>0</formula>
    </cfRule>
  </conditionalFormatting>
  <conditionalFormatting sqref="AH86">
    <cfRule type="containsBlanks" dxfId="32" priority="31">
      <formula>LEN(TRIM(AH86))=0</formula>
    </cfRule>
  </conditionalFormatting>
  <conditionalFormatting sqref="A2">
    <cfRule type="containsBlanks" dxfId="31" priority="30">
      <formula>LEN(TRIM(A2))=0</formula>
    </cfRule>
  </conditionalFormatting>
  <conditionalFormatting sqref="A2">
    <cfRule type="containsText" dxfId="30" priority="29" operator="containsText" text="EG">
      <formula>NOT(ISERROR(SEARCH("EG",A2)))</formula>
    </cfRule>
  </conditionalFormatting>
  <conditionalFormatting sqref="A3">
    <cfRule type="containsBlanks" dxfId="29" priority="28">
      <formula>LEN(TRIM(A3))=0</formula>
    </cfRule>
  </conditionalFormatting>
  <conditionalFormatting sqref="A3">
    <cfRule type="containsText" dxfId="28" priority="27" operator="containsText" text="EG">
      <formula>NOT(ISERROR(SEARCH("EG",A3)))</formula>
    </cfRule>
  </conditionalFormatting>
  <conditionalFormatting sqref="B2">
    <cfRule type="containsBlanks" dxfId="27" priority="25" stopIfTrue="1">
      <formula>LEN(TRIM(B2))=0</formula>
    </cfRule>
  </conditionalFormatting>
  <conditionalFormatting sqref="B2">
    <cfRule type="containsBlanks" dxfId="26" priority="26">
      <formula>LEN(TRIM(B2))=0</formula>
    </cfRule>
  </conditionalFormatting>
  <conditionalFormatting sqref="B3">
    <cfRule type="containsBlanks" dxfId="25" priority="23" stopIfTrue="1">
      <formula>LEN(TRIM(B3))=0</formula>
    </cfRule>
  </conditionalFormatting>
  <conditionalFormatting sqref="B3">
    <cfRule type="containsBlanks" dxfId="24" priority="24">
      <formula>LEN(TRIM(B3))=0</formula>
    </cfRule>
  </conditionalFormatting>
  <conditionalFormatting sqref="Z80:AG80">
    <cfRule type="containsBlanks" dxfId="23" priority="6">
      <formula>LEN(TRIM(Z80))=0</formula>
    </cfRule>
  </conditionalFormatting>
  <conditionalFormatting sqref="Z80:AG80">
    <cfRule type="cellIs" dxfId="22" priority="4" operator="equal">
      <formula>"ALERTE"</formula>
    </cfRule>
    <cfRule type="cellIs" dxfId="21" priority="5" operator="equal">
      <formula>"OK"</formula>
    </cfRule>
  </conditionalFormatting>
  <conditionalFormatting sqref="P4:T4">
    <cfRule type="containsBlanks" dxfId="20" priority="3">
      <formula>LEN(TRIM(P4))=0</formula>
    </cfRule>
  </conditionalFormatting>
  <conditionalFormatting sqref="Z6">
    <cfRule type="containsBlanks" dxfId="19" priority="2">
      <formula>LEN(TRIM(Z6))=0</formula>
    </cfRule>
  </conditionalFormatting>
  <conditionalFormatting sqref="AI82:AI84">
    <cfRule type="containsBlanks" dxfId="18" priority="1">
      <formula>LEN(TRIM(AI82))=0</formula>
    </cfRule>
  </conditionalFormatting>
  <dataValidations count="2">
    <dataValidation type="list" allowBlank="1" showInputMessage="1" showErrorMessage="1" sqref="E9:E79">
      <formula1>"Oui,Non"</formula1>
    </dataValidation>
    <dataValidation type="list" allowBlank="1" showInputMessage="1" showErrorMessage="1" sqref="B5">
      <formula1>"Interne,Client"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OBJECTIFS!$C$45:$C$49</xm:f>
          </x14:formula1>
          <xm:sqref>D9:D79</xm:sqref>
        </x14:dataValidation>
        <x14:dataValidation type="list" allowBlank="1" showInputMessage="1" showErrorMessage="1">
          <x14:formula1>
            <xm:f>OBJECTIFS!$C$9:$C$11</xm:f>
          </x14:formula1>
          <xm:sqref>F9:F79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1"/>
  <sheetViews>
    <sheetView showGridLines="0" tabSelected="1" topLeftCell="A223" zoomScaleNormal="100" workbookViewId="0">
      <selection activeCell="N276" sqref="N276"/>
    </sheetView>
  </sheetViews>
  <sheetFormatPr baseColWidth="10" defaultColWidth="11.42578125" defaultRowHeight="15" outlineLevelRow="1" x14ac:dyDescent="0.3"/>
  <cols>
    <col min="1" max="1" width="0.7109375" style="51" customWidth="1"/>
    <col min="2" max="2" width="22.28515625" style="51" bestFit="1" customWidth="1"/>
    <col min="3" max="3" width="12.28515625" style="51" bestFit="1" customWidth="1"/>
    <col min="4" max="4" width="13.28515625" style="51" bestFit="1" customWidth="1"/>
    <col min="5" max="5" width="19.5703125" style="53" customWidth="1"/>
    <col min="6" max="10" width="19.5703125" style="51" customWidth="1"/>
    <col min="11" max="11" width="1.7109375" style="51" customWidth="1"/>
    <col min="12" max="13" width="11.42578125" style="51" customWidth="1"/>
    <col min="14" max="15" width="11.42578125" style="51"/>
    <col min="16" max="16" width="11.42578125" style="51" customWidth="1"/>
    <col min="17" max="16384" width="11.42578125" style="51"/>
  </cols>
  <sheetData>
    <row r="1" spans="1:17" x14ac:dyDescent="0.3">
      <c r="B1" s="52" t="s">
        <v>18</v>
      </c>
      <c r="C1" s="281"/>
      <c r="D1" s="281"/>
      <c r="F1" s="53"/>
      <c r="G1" s="53"/>
      <c r="H1" s="53"/>
    </row>
    <row r="2" spans="1:17" x14ac:dyDescent="0.3">
      <c r="B2" s="54" t="s">
        <v>19</v>
      </c>
      <c r="C2" s="35"/>
      <c r="D2" s="35"/>
      <c r="F2" s="53"/>
      <c r="G2" s="53"/>
      <c r="H2" s="53"/>
      <c r="I2" s="56"/>
    </row>
    <row r="3" spans="1:17" ht="4.5" customHeight="1" x14ac:dyDescent="0.3">
      <c r="C3" s="55"/>
      <c r="D3" s="55"/>
    </row>
    <row r="4" spans="1:17" x14ac:dyDescent="0.3">
      <c r="B4" s="55"/>
      <c r="C4" s="53"/>
      <c r="D4" s="57" t="s">
        <v>48</v>
      </c>
      <c r="E4" s="16">
        <v>100</v>
      </c>
      <c r="F4" s="16"/>
      <c r="G4" s="16"/>
      <c r="H4" s="16"/>
      <c r="I4" s="16"/>
      <c r="J4" s="58" t="s">
        <v>72</v>
      </c>
    </row>
    <row r="5" spans="1:17" ht="15.75" customHeight="1" x14ac:dyDescent="0.3">
      <c r="E5" s="150" t="str">
        <f>+E8</f>
        <v>CA</v>
      </c>
      <c r="F5" s="150">
        <f t="shared" ref="F5:J5" si="0">+F8</f>
        <v>0</v>
      </c>
      <c r="G5" s="150">
        <f t="shared" si="0"/>
        <v>0</v>
      </c>
      <c r="H5" s="150" t="str">
        <f t="shared" si="0"/>
        <v>Note qualité</v>
      </c>
      <c r="I5" s="150">
        <f t="shared" si="0"/>
        <v>0</v>
      </c>
      <c r="J5" s="150">
        <f t="shared" si="0"/>
        <v>0</v>
      </c>
    </row>
    <row r="6" spans="1:17" ht="15" customHeight="1" x14ac:dyDescent="0.3">
      <c r="A6" s="51" t="str">
        <f>B6</f>
        <v>PVCP NL APSO</v>
      </c>
      <c r="B6" s="273" t="str">
        <f>IF($C$45=0,"",$C$45)</f>
        <v>PVCP NL APSO</v>
      </c>
      <c r="C6" s="274" t="s">
        <v>25</v>
      </c>
      <c r="D6" s="275" t="s">
        <v>56</v>
      </c>
      <c r="E6" s="276" t="s">
        <v>57</v>
      </c>
      <c r="F6" s="276"/>
      <c r="G6" s="276"/>
      <c r="H6" s="276"/>
      <c r="I6" s="276"/>
      <c r="J6" s="276"/>
    </row>
    <row r="7" spans="1:17" x14ac:dyDescent="0.3">
      <c r="A7" s="51" t="str">
        <f>B6</f>
        <v>PVCP NL APSO</v>
      </c>
      <c r="B7" s="273"/>
      <c r="C7" s="274"/>
      <c r="D7" s="275"/>
      <c r="E7" s="280" t="s">
        <v>38</v>
      </c>
      <c r="F7" s="280"/>
      <c r="G7" s="280"/>
      <c r="H7" s="280" t="s">
        <v>39</v>
      </c>
      <c r="I7" s="280"/>
      <c r="J7" s="149" t="s">
        <v>58</v>
      </c>
    </row>
    <row r="8" spans="1:17" ht="15" customHeight="1" x14ac:dyDescent="0.3">
      <c r="A8" s="51" t="str">
        <f>B6</f>
        <v>PVCP NL APSO</v>
      </c>
      <c r="B8" s="273"/>
      <c r="C8" s="274"/>
      <c r="D8" s="275"/>
      <c r="E8" s="59" t="str">
        <f>IFERROR(VLOOKUP($B6,Matrice,3,FALSE),"")</f>
        <v>CA</v>
      </c>
      <c r="F8" s="59">
        <f>IFERROR(VLOOKUP($B6,Matrice,4,FALSE),"")</f>
        <v>0</v>
      </c>
      <c r="G8" s="59">
        <f>IFERROR(VLOOKUP($B6,Matrice,5,FALSE),"")</f>
        <v>0</v>
      </c>
      <c r="H8" s="59" t="str">
        <f>IFERROR(VLOOKUP($B6,Matrice,6,FALSE),"")</f>
        <v>Note qualité</v>
      </c>
      <c r="I8" s="59">
        <f>IFERROR(VLOOKUP($B6,Matrice,7,FALSE),"")</f>
        <v>0</v>
      </c>
      <c r="J8" s="59">
        <f>IFERROR(VLOOKUP($B6,Matrice,8,FALSE),"")</f>
        <v>0</v>
      </c>
    </row>
    <row r="9" spans="1:17" x14ac:dyDescent="0.3">
      <c r="A9" s="51" t="str">
        <f>B6</f>
        <v>PVCP NL APSO</v>
      </c>
      <c r="B9" s="273"/>
      <c r="C9" s="151" t="s">
        <v>59</v>
      </c>
      <c r="D9" s="152"/>
      <c r="E9" s="80"/>
      <c r="F9" s="25"/>
      <c r="G9" s="20"/>
      <c r="H9" s="18"/>
      <c r="I9" s="21"/>
      <c r="J9" s="60"/>
      <c r="K9" s="61"/>
      <c r="L9" s="62"/>
      <c r="M9" s="62"/>
      <c r="N9" s="62"/>
      <c r="O9" s="62"/>
      <c r="P9" s="62"/>
      <c r="Q9" s="62"/>
    </row>
    <row r="10" spans="1:17" x14ac:dyDescent="0.3">
      <c r="A10" s="51" t="str">
        <f>B6</f>
        <v>PVCP NL APSO</v>
      </c>
      <c r="B10" s="273"/>
      <c r="C10" s="151" t="s">
        <v>27</v>
      </c>
      <c r="D10" s="152"/>
      <c r="E10" s="80"/>
      <c r="F10" s="25"/>
      <c r="G10" s="20"/>
      <c r="H10" s="18"/>
      <c r="I10" s="21"/>
      <c r="J10" s="60"/>
      <c r="K10" s="61"/>
      <c r="L10" s="62"/>
      <c r="M10" s="62"/>
      <c r="N10" s="62"/>
      <c r="O10" s="62"/>
      <c r="P10" s="62"/>
      <c r="Q10" s="62"/>
    </row>
    <row r="11" spans="1:17" x14ac:dyDescent="0.3">
      <c r="A11" s="51" t="str">
        <f>B6</f>
        <v>PVCP NL APSO</v>
      </c>
      <c r="B11" s="273"/>
      <c r="C11" s="151" t="s">
        <v>60</v>
      </c>
      <c r="D11" s="152"/>
      <c r="E11" s="80"/>
      <c r="F11" s="25"/>
      <c r="G11" s="20"/>
      <c r="H11" s="18"/>
      <c r="I11" s="21"/>
      <c r="J11" s="60"/>
      <c r="K11" s="61"/>
      <c r="L11" s="62"/>
      <c r="M11" s="62"/>
      <c r="N11" s="62"/>
      <c r="O11" s="62"/>
      <c r="P11" s="62"/>
      <c r="Q11" s="62"/>
    </row>
    <row r="12" spans="1:17" ht="4.5" customHeight="1" x14ac:dyDescent="0.3"/>
    <row r="13" spans="1:17" ht="15" customHeight="1" outlineLevel="1" x14ac:dyDescent="0.3">
      <c r="A13" s="51" t="str">
        <f>B13</f>
        <v/>
      </c>
      <c r="B13" s="273" t="str">
        <f>IF($C$46=0,"",$C$46)</f>
        <v/>
      </c>
      <c r="C13" s="274" t="str">
        <f>C6</f>
        <v>Statut</v>
      </c>
      <c r="D13" s="275" t="str">
        <f>D6</f>
        <v>Prime (Montant Brut)</v>
      </c>
      <c r="E13" s="276" t="s">
        <v>57</v>
      </c>
      <c r="F13" s="276"/>
      <c r="G13" s="276"/>
      <c r="H13" s="276"/>
      <c r="I13" s="276"/>
      <c r="J13" s="276"/>
    </row>
    <row r="14" spans="1:17" outlineLevel="1" x14ac:dyDescent="0.3">
      <c r="A14" s="51" t="str">
        <f>B13</f>
        <v/>
      </c>
      <c r="B14" s="273"/>
      <c r="C14" s="274"/>
      <c r="D14" s="275"/>
      <c r="E14" s="280" t="s">
        <v>38</v>
      </c>
      <c r="F14" s="280"/>
      <c r="G14" s="280"/>
      <c r="H14" s="280" t="s">
        <v>39</v>
      </c>
      <c r="I14" s="280"/>
      <c r="J14" s="149" t="s">
        <v>58</v>
      </c>
    </row>
    <row r="15" spans="1:17" ht="15" customHeight="1" outlineLevel="1" x14ac:dyDescent="0.3">
      <c r="A15" s="51" t="str">
        <f>B13</f>
        <v/>
      </c>
      <c r="B15" s="273"/>
      <c r="C15" s="274"/>
      <c r="D15" s="275"/>
      <c r="E15" s="59" t="str">
        <f>IFERROR(VLOOKUP($B13,Matrice,3,FALSE),"")</f>
        <v/>
      </c>
      <c r="F15" s="59" t="str">
        <f>IFERROR(VLOOKUP($B13,Matrice,4,FALSE),"")</f>
        <v/>
      </c>
      <c r="G15" s="59" t="str">
        <f>IFERROR(VLOOKUP($B13,Matrice,5,FALSE),"")</f>
        <v/>
      </c>
      <c r="H15" s="59" t="str">
        <f>IFERROR(VLOOKUP($B13,Matrice,6,FALSE),"")</f>
        <v/>
      </c>
      <c r="I15" s="59" t="str">
        <f>IFERROR(VLOOKUP($B13,Matrice,7,FALSE),"")</f>
        <v/>
      </c>
      <c r="J15" s="59" t="str">
        <f>IFERROR(VLOOKUP($B13,Matrice,8,FALSE),"")</f>
        <v/>
      </c>
      <c r="L15" s="62"/>
      <c r="M15" s="62"/>
      <c r="N15" s="62"/>
      <c r="O15" s="62"/>
      <c r="P15" s="62"/>
      <c r="Q15" s="62"/>
    </row>
    <row r="16" spans="1:17" outlineLevel="1" x14ac:dyDescent="0.3">
      <c r="A16" s="51" t="str">
        <f>B13</f>
        <v/>
      </c>
      <c r="B16" s="273"/>
      <c r="C16" s="151" t="str">
        <f>C9</f>
        <v>Débutant</v>
      </c>
      <c r="D16" s="152">
        <v>1200</v>
      </c>
      <c r="E16" s="18"/>
      <c r="F16" s="22"/>
      <c r="G16" s="20"/>
      <c r="H16" s="18"/>
      <c r="I16" s="21"/>
      <c r="J16" s="60">
        <v>0</v>
      </c>
      <c r="L16" s="62"/>
      <c r="M16" s="62"/>
      <c r="N16" s="62"/>
      <c r="O16" s="62"/>
      <c r="P16" s="62"/>
      <c r="Q16" s="62"/>
    </row>
    <row r="17" spans="1:17" outlineLevel="1" x14ac:dyDescent="0.3">
      <c r="A17" s="51" t="str">
        <f>B13</f>
        <v/>
      </c>
      <c r="B17" s="273"/>
      <c r="C17" s="151" t="str">
        <f>C10</f>
        <v>Confirmé</v>
      </c>
      <c r="D17" s="152">
        <v>1200</v>
      </c>
      <c r="E17" s="18"/>
      <c r="F17" s="22"/>
      <c r="G17" s="20"/>
      <c r="H17" s="18"/>
      <c r="I17" s="21"/>
      <c r="J17" s="60">
        <v>0</v>
      </c>
      <c r="L17" s="62"/>
      <c r="M17" s="62"/>
      <c r="N17" s="62"/>
      <c r="O17" s="62"/>
      <c r="P17" s="62"/>
      <c r="Q17" s="62"/>
    </row>
    <row r="18" spans="1:17" outlineLevel="1" x14ac:dyDescent="0.3">
      <c r="A18" s="51" t="str">
        <f>B13</f>
        <v/>
      </c>
      <c r="B18" s="273"/>
      <c r="C18" s="151" t="str">
        <f>C11</f>
        <v>Sénior</v>
      </c>
      <c r="D18" s="152">
        <v>1200</v>
      </c>
      <c r="E18" s="18"/>
      <c r="F18" s="22"/>
      <c r="G18" s="20"/>
      <c r="H18" s="18"/>
      <c r="I18" s="21"/>
      <c r="J18" s="60">
        <v>0</v>
      </c>
      <c r="L18" s="62"/>
      <c r="M18" s="62"/>
      <c r="N18" s="62"/>
      <c r="O18" s="62"/>
      <c r="P18" s="62"/>
      <c r="Q18" s="62"/>
    </row>
    <row r="19" spans="1:17" ht="4.5" customHeight="1" x14ac:dyDescent="0.3"/>
    <row r="20" spans="1:17" ht="15" customHeight="1" outlineLevel="1" x14ac:dyDescent="0.3">
      <c r="A20" s="51" t="str">
        <f>B20</f>
        <v/>
      </c>
      <c r="B20" s="273" t="str">
        <f>IF($C$47=0,"",$C$47)</f>
        <v/>
      </c>
      <c r="C20" s="274" t="str">
        <f>C6</f>
        <v>Statut</v>
      </c>
      <c r="D20" s="275" t="str">
        <f>D6</f>
        <v>Prime (Montant Brut)</v>
      </c>
      <c r="E20" s="276" t="s">
        <v>57</v>
      </c>
      <c r="F20" s="276"/>
      <c r="G20" s="276"/>
      <c r="H20" s="276"/>
      <c r="I20" s="276"/>
      <c r="J20" s="276"/>
    </row>
    <row r="21" spans="1:17" outlineLevel="1" x14ac:dyDescent="0.3">
      <c r="A21" s="51" t="str">
        <f>B20</f>
        <v/>
      </c>
      <c r="B21" s="273"/>
      <c r="C21" s="274"/>
      <c r="D21" s="275"/>
      <c r="E21" s="280" t="s">
        <v>38</v>
      </c>
      <c r="F21" s="280"/>
      <c r="G21" s="280"/>
      <c r="H21" s="280" t="s">
        <v>39</v>
      </c>
      <c r="I21" s="280"/>
      <c r="J21" s="149" t="s">
        <v>58</v>
      </c>
    </row>
    <row r="22" spans="1:17" ht="15" customHeight="1" outlineLevel="1" x14ac:dyDescent="0.3">
      <c r="A22" s="51" t="str">
        <f>B20</f>
        <v/>
      </c>
      <c r="B22" s="273"/>
      <c r="C22" s="274"/>
      <c r="D22" s="275"/>
      <c r="E22" s="59" t="str">
        <f>IFERROR(VLOOKUP($B20,Matrice,3,FALSE),"")</f>
        <v/>
      </c>
      <c r="F22" s="59" t="str">
        <f>IFERROR(VLOOKUP($B20,Matrice,4,FALSE),"")</f>
        <v/>
      </c>
      <c r="G22" s="59" t="str">
        <f>IFERROR(VLOOKUP($B20,Matrice,5,FALSE),"")</f>
        <v/>
      </c>
      <c r="H22" s="59" t="str">
        <f>IFERROR(VLOOKUP($B20,Matrice,6,FALSE),"")</f>
        <v/>
      </c>
      <c r="I22" s="59" t="str">
        <f>IFERROR(VLOOKUP($B20,Matrice,7,FALSE),"")</f>
        <v/>
      </c>
      <c r="J22" s="59" t="str">
        <f>IFERROR(VLOOKUP($B20,Matrice,8,FALSE),"")</f>
        <v/>
      </c>
      <c r="L22" s="62"/>
      <c r="M22" s="62"/>
      <c r="N22" s="62"/>
      <c r="O22" s="62"/>
      <c r="P22" s="62"/>
      <c r="Q22" s="62"/>
    </row>
    <row r="23" spans="1:17" outlineLevel="1" x14ac:dyDescent="0.3">
      <c r="A23" s="51" t="str">
        <f>B20</f>
        <v/>
      </c>
      <c r="B23" s="273"/>
      <c r="C23" s="151" t="str">
        <f>C9</f>
        <v>Débutant</v>
      </c>
      <c r="D23" s="152">
        <v>1200</v>
      </c>
      <c r="E23" s="23"/>
      <c r="F23" s="19"/>
      <c r="G23" s="23"/>
      <c r="H23" s="18"/>
      <c r="I23" s="21"/>
      <c r="J23" s="60">
        <v>0</v>
      </c>
      <c r="L23" s="62"/>
      <c r="M23" s="62"/>
      <c r="N23" s="62"/>
      <c r="O23" s="62"/>
      <c r="P23" s="62"/>
      <c r="Q23" s="62"/>
    </row>
    <row r="24" spans="1:17" outlineLevel="1" x14ac:dyDescent="0.3">
      <c r="A24" s="51" t="str">
        <f>B20</f>
        <v/>
      </c>
      <c r="B24" s="273"/>
      <c r="C24" s="151" t="str">
        <f>C10</f>
        <v>Confirmé</v>
      </c>
      <c r="D24" s="152">
        <v>960</v>
      </c>
      <c r="E24" s="23"/>
      <c r="F24" s="19"/>
      <c r="G24" s="23"/>
      <c r="H24" s="18"/>
      <c r="I24" s="21"/>
      <c r="J24" s="60">
        <v>0</v>
      </c>
      <c r="L24" s="62"/>
      <c r="M24" s="62"/>
      <c r="N24" s="62"/>
      <c r="O24" s="62"/>
      <c r="P24" s="62"/>
      <c r="Q24" s="62"/>
    </row>
    <row r="25" spans="1:17" outlineLevel="1" x14ac:dyDescent="0.3">
      <c r="A25" s="51" t="str">
        <f>B20</f>
        <v/>
      </c>
      <c r="B25" s="273"/>
      <c r="C25" s="151" t="str">
        <f>C11</f>
        <v>Sénior</v>
      </c>
      <c r="D25" s="152">
        <v>960</v>
      </c>
      <c r="E25" s="23"/>
      <c r="F25" s="19"/>
      <c r="G25" s="23"/>
      <c r="H25" s="18"/>
      <c r="I25" s="21"/>
      <c r="J25" s="60">
        <v>0</v>
      </c>
      <c r="L25" s="62"/>
      <c r="M25" s="62"/>
      <c r="N25" s="62"/>
      <c r="O25" s="62"/>
      <c r="P25" s="62"/>
      <c r="Q25" s="62"/>
    </row>
    <row r="26" spans="1:17" ht="4.5" customHeight="1" x14ac:dyDescent="0.3"/>
    <row r="27" spans="1:17" ht="15" hidden="1" customHeight="1" outlineLevel="1" x14ac:dyDescent="0.3">
      <c r="A27" s="51" t="str">
        <f>B27</f>
        <v/>
      </c>
      <c r="B27" s="273" t="str">
        <f>IF($C$48=0,"",$C$48)</f>
        <v/>
      </c>
      <c r="C27" s="274" t="str">
        <f>C6</f>
        <v>Statut</v>
      </c>
      <c r="D27" s="275" t="str">
        <f>D6</f>
        <v>Prime (Montant Brut)</v>
      </c>
      <c r="E27" s="276" t="s">
        <v>57</v>
      </c>
      <c r="F27" s="276"/>
      <c r="G27" s="276"/>
      <c r="H27" s="276"/>
      <c r="I27" s="276"/>
      <c r="J27" s="276"/>
    </row>
    <row r="28" spans="1:17" hidden="1" outlineLevel="1" x14ac:dyDescent="0.3">
      <c r="A28" s="51" t="str">
        <f>B27</f>
        <v/>
      </c>
      <c r="B28" s="273"/>
      <c r="C28" s="274"/>
      <c r="D28" s="275"/>
      <c r="E28" s="277" t="s">
        <v>38</v>
      </c>
      <c r="F28" s="277"/>
      <c r="G28" s="277"/>
      <c r="H28" s="277" t="s">
        <v>39</v>
      </c>
      <c r="I28" s="277"/>
      <c r="J28" s="150" t="s">
        <v>58</v>
      </c>
    </row>
    <row r="29" spans="1:17" ht="15" hidden="1" customHeight="1" outlineLevel="1" x14ac:dyDescent="0.3">
      <c r="A29" s="51" t="str">
        <f>B27</f>
        <v/>
      </c>
      <c r="B29" s="273"/>
      <c r="C29" s="274"/>
      <c r="D29" s="275"/>
      <c r="E29" s="59" t="str">
        <f>IFERROR(VLOOKUP($B27,Matrice,3,FALSE),"")</f>
        <v/>
      </c>
      <c r="F29" s="59" t="str">
        <f>IFERROR(VLOOKUP($B27,Matrice,4,FALSE),"")</f>
        <v/>
      </c>
      <c r="G29" s="59" t="str">
        <f>IFERROR(VLOOKUP($B27,Matrice,5,FALSE),"")</f>
        <v/>
      </c>
      <c r="H29" s="59" t="str">
        <f>IFERROR(VLOOKUP($B27,Matrice,6,FALSE),"")</f>
        <v/>
      </c>
      <c r="I29" s="59" t="str">
        <f>IFERROR(VLOOKUP($B27,Matrice,7,FALSE),"")</f>
        <v/>
      </c>
      <c r="J29" s="59" t="str">
        <f>IFERROR(VLOOKUP($B27,Matrice,8,FALSE),"")</f>
        <v/>
      </c>
      <c r="L29" s="62"/>
      <c r="M29" s="62"/>
      <c r="N29" s="62"/>
      <c r="O29" s="62"/>
      <c r="P29" s="62"/>
      <c r="Q29" s="62"/>
    </row>
    <row r="30" spans="1:17" hidden="1" outlineLevel="1" x14ac:dyDescent="0.3">
      <c r="A30" s="51" t="str">
        <f>B27</f>
        <v/>
      </c>
      <c r="B30" s="273"/>
      <c r="C30" s="151" t="str">
        <f>C9</f>
        <v>Débutant</v>
      </c>
      <c r="D30" s="152">
        <v>960</v>
      </c>
      <c r="E30" s="23"/>
      <c r="F30" s="24"/>
      <c r="G30" s="23"/>
      <c r="H30" s="18"/>
      <c r="I30" s="21"/>
      <c r="J30" s="60">
        <v>0</v>
      </c>
      <c r="L30" s="62"/>
      <c r="M30" s="62"/>
      <c r="N30" s="62"/>
      <c r="O30" s="62"/>
      <c r="P30" s="62"/>
      <c r="Q30" s="62"/>
    </row>
    <row r="31" spans="1:17" hidden="1" outlineLevel="1" x14ac:dyDescent="0.3">
      <c r="A31" s="51" t="str">
        <f>B27</f>
        <v/>
      </c>
      <c r="B31" s="273"/>
      <c r="C31" s="151" t="str">
        <f>C10</f>
        <v>Confirmé</v>
      </c>
      <c r="D31" s="152">
        <v>960</v>
      </c>
      <c r="E31" s="23"/>
      <c r="F31" s="24"/>
      <c r="G31" s="23"/>
      <c r="H31" s="18"/>
      <c r="I31" s="21"/>
      <c r="J31" s="60">
        <v>0</v>
      </c>
      <c r="L31" s="62"/>
      <c r="M31" s="62"/>
      <c r="N31" s="62"/>
      <c r="O31" s="62"/>
      <c r="P31" s="62"/>
      <c r="Q31" s="62"/>
    </row>
    <row r="32" spans="1:17" hidden="1" outlineLevel="1" x14ac:dyDescent="0.3">
      <c r="A32" s="51" t="str">
        <f>B27</f>
        <v/>
      </c>
      <c r="B32" s="273"/>
      <c r="C32" s="151" t="str">
        <f>C11</f>
        <v>Sénior</v>
      </c>
      <c r="D32" s="152">
        <v>960</v>
      </c>
      <c r="E32" s="23"/>
      <c r="F32" s="24"/>
      <c r="G32" s="23"/>
      <c r="H32" s="18"/>
      <c r="I32" s="21"/>
      <c r="J32" s="60">
        <v>0</v>
      </c>
      <c r="L32" s="62"/>
      <c r="M32" s="62"/>
      <c r="N32" s="62"/>
      <c r="O32" s="62"/>
      <c r="P32" s="62"/>
      <c r="Q32" s="62"/>
    </row>
    <row r="33" spans="1:17" ht="4.5" hidden="1" customHeight="1" x14ac:dyDescent="0.3"/>
    <row r="34" spans="1:17" ht="15" hidden="1" customHeight="1" outlineLevel="1" x14ac:dyDescent="0.3">
      <c r="A34" s="51" t="str">
        <f>B34</f>
        <v/>
      </c>
      <c r="B34" s="273" t="str">
        <f>IF($C$48=0,"",$C$49)</f>
        <v/>
      </c>
      <c r="C34" s="274" t="str">
        <f>C13</f>
        <v>Statut</v>
      </c>
      <c r="D34" s="275" t="str">
        <f>D13</f>
        <v>Prime (Montant Brut)</v>
      </c>
      <c r="E34" s="276" t="s">
        <v>57</v>
      </c>
      <c r="F34" s="276"/>
      <c r="G34" s="276"/>
      <c r="H34" s="276"/>
      <c r="I34" s="276"/>
      <c r="J34" s="276"/>
    </row>
    <row r="35" spans="1:17" hidden="1" outlineLevel="1" x14ac:dyDescent="0.3">
      <c r="A35" s="51" t="str">
        <f>B34</f>
        <v/>
      </c>
      <c r="B35" s="273"/>
      <c r="C35" s="274"/>
      <c r="D35" s="275"/>
      <c r="E35" s="277" t="s">
        <v>38</v>
      </c>
      <c r="F35" s="277"/>
      <c r="G35" s="277"/>
      <c r="H35" s="277" t="s">
        <v>39</v>
      </c>
      <c r="I35" s="277"/>
      <c r="J35" s="150" t="s">
        <v>58</v>
      </c>
    </row>
    <row r="36" spans="1:17" ht="15" hidden="1" customHeight="1" outlineLevel="1" x14ac:dyDescent="0.3">
      <c r="A36" s="51" t="str">
        <f>B34</f>
        <v/>
      </c>
      <c r="B36" s="273"/>
      <c r="C36" s="274"/>
      <c r="D36" s="275"/>
      <c r="E36" s="59" t="str">
        <f>IFERROR(VLOOKUP($B34,Matrice,3,FALSE),"")</f>
        <v/>
      </c>
      <c r="F36" s="59" t="str">
        <f>IFERROR(VLOOKUP($B34,Matrice,4,FALSE),"")</f>
        <v/>
      </c>
      <c r="G36" s="59" t="str">
        <f>IFERROR(VLOOKUP($B34,Matrice,5,FALSE),"")</f>
        <v/>
      </c>
      <c r="H36" s="59" t="str">
        <f>IFERROR(VLOOKUP($B34,Matrice,6,FALSE),"")</f>
        <v/>
      </c>
      <c r="I36" s="59" t="str">
        <f>IFERROR(VLOOKUP($B34,Matrice,7,FALSE),"")</f>
        <v/>
      </c>
      <c r="J36" s="59" t="str">
        <f>IFERROR(VLOOKUP($B34,Matrice,8,FALSE),"")</f>
        <v/>
      </c>
      <c r="L36" s="62"/>
      <c r="M36" s="62"/>
      <c r="N36" s="62"/>
      <c r="O36" s="62"/>
      <c r="P36" s="62"/>
      <c r="Q36" s="62"/>
    </row>
    <row r="37" spans="1:17" hidden="1" outlineLevel="1" x14ac:dyDescent="0.3">
      <c r="A37" s="51" t="str">
        <f>B34</f>
        <v/>
      </c>
      <c r="B37" s="273"/>
      <c r="C37" s="151" t="str">
        <f>C16</f>
        <v>Débutant</v>
      </c>
      <c r="D37" s="152">
        <v>960</v>
      </c>
      <c r="E37" s="23"/>
      <c r="F37" s="24"/>
      <c r="G37" s="23"/>
      <c r="H37" s="18"/>
      <c r="I37" s="21"/>
      <c r="J37" s="60">
        <v>0</v>
      </c>
      <c r="L37" s="62"/>
      <c r="M37" s="62"/>
      <c r="N37" s="62"/>
      <c r="O37" s="62"/>
      <c r="P37" s="62"/>
      <c r="Q37" s="62"/>
    </row>
    <row r="38" spans="1:17" hidden="1" outlineLevel="1" x14ac:dyDescent="0.3">
      <c r="A38" s="51" t="str">
        <f>B34</f>
        <v/>
      </c>
      <c r="B38" s="273"/>
      <c r="C38" s="151" t="str">
        <f>C17</f>
        <v>Confirmé</v>
      </c>
      <c r="D38" s="152">
        <v>960</v>
      </c>
      <c r="E38" s="23"/>
      <c r="F38" s="24"/>
      <c r="G38" s="23"/>
      <c r="H38" s="18"/>
      <c r="I38" s="21"/>
      <c r="J38" s="60">
        <v>0</v>
      </c>
      <c r="L38" s="62"/>
      <c r="M38" s="62"/>
      <c r="N38" s="62"/>
      <c r="O38" s="62"/>
      <c r="P38" s="62"/>
      <c r="Q38" s="62"/>
    </row>
    <row r="39" spans="1:17" hidden="1" outlineLevel="1" x14ac:dyDescent="0.3">
      <c r="A39" s="51" t="str">
        <f>B34</f>
        <v/>
      </c>
      <c r="B39" s="273"/>
      <c r="C39" s="151" t="str">
        <f>C18</f>
        <v>Sénior</v>
      </c>
      <c r="D39" s="152">
        <v>1440</v>
      </c>
      <c r="E39" s="23"/>
      <c r="F39" s="24"/>
      <c r="G39" s="23"/>
      <c r="H39" s="18"/>
      <c r="I39" s="21"/>
      <c r="J39" s="60">
        <v>0</v>
      </c>
      <c r="L39" s="62"/>
      <c r="M39" s="62"/>
      <c r="N39" s="62"/>
      <c r="O39" s="62"/>
      <c r="P39" s="62"/>
      <c r="Q39" s="62"/>
    </row>
    <row r="40" spans="1:17" ht="4.5" hidden="1" customHeight="1" x14ac:dyDescent="0.3"/>
    <row r="41" spans="1:17" hidden="1" x14ac:dyDescent="0.3"/>
    <row r="43" spans="1:17" x14ac:dyDescent="0.3">
      <c r="C43" s="272" t="s">
        <v>61</v>
      </c>
      <c r="D43" s="272"/>
      <c r="E43" s="272"/>
      <c r="F43" s="272"/>
      <c r="G43" s="272"/>
      <c r="H43" s="272"/>
      <c r="I43" s="272"/>
      <c r="J43" s="272"/>
    </row>
    <row r="44" spans="1:17" ht="4.5" customHeight="1" x14ac:dyDescent="0.3"/>
    <row r="45" spans="1:17" x14ac:dyDescent="0.3">
      <c r="C45" s="278" t="s">
        <v>133</v>
      </c>
      <c r="D45" s="279"/>
      <c r="E45" s="17" t="s">
        <v>129</v>
      </c>
      <c r="F45" s="17"/>
      <c r="G45" s="17"/>
      <c r="H45" s="17" t="s">
        <v>128</v>
      </c>
      <c r="I45" s="17"/>
      <c r="J45" s="17"/>
    </row>
    <row r="46" spans="1:17" x14ac:dyDescent="0.3">
      <c r="C46" s="278"/>
      <c r="D46" s="279"/>
      <c r="E46" s="17"/>
      <c r="F46" s="17"/>
      <c r="G46" s="17"/>
      <c r="H46" s="17"/>
      <c r="I46" s="17"/>
      <c r="J46" s="17"/>
    </row>
    <row r="47" spans="1:17" x14ac:dyDescent="0.3">
      <c r="C47" s="278"/>
      <c r="D47" s="279"/>
      <c r="E47" s="17"/>
      <c r="F47" s="17"/>
      <c r="G47" s="17"/>
      <c r="H47" s="17"/>
      <c r="I47" s="17"/>
      <c r="J47" s="17"/>
    </row>
    <row r="48" spans="1:17" x14ac:dyDescent="0.3">
      <c r="C48" s="278"/>
      <c r="D48" s="279"/>
      <c r="E48" s="17"/>
      <c r="F48" s="17"/>
      <c r="G48" s="17"/>
      <c r="H48" s="17"/>
      <c r="I48" s="17"/>
      <c r="J48" s="17"/>
    </row>
    <row r="49" spans="3:10" x14ac:dyDescent="0.3">
      <c r="C49" s="278"/>
      <c r="D49" s="279"/>
      <c r="E49" s="17"/>
      <c r="F49" s="17"/>
      <c r="G49" s="17"/>
      <c r="H49" s="17"/>
      <c r="I49" s="17"/>
      <c r="J49" s="17"/>
    </row>
    <row r="50" spans="3:10" ht="4.5" customHeight="1" x14ac:dyDescent="0.3"/>
    <row r="51" spans="3:10" x14ac:dyDescent="0.3">
      <c r="E51" s="64"/>
      <c r="F51" s="55"/>
    </row>
    <row r="52" spans="3:10" x14ac:dyDescent="0.3">
      <c r="E52" s="271" t="s">
        <v>62</v>
      </c>
      <c r="F52" s="271"/>
      <c r="G52" s="271"/>
      <c r="H52" s="271"/>
      <c r="I52" s="271"/>
      <c r="J52" s="271"/>
    </row>
    <row r="53" spans="3:10" ht="4.5" customHeight="1" x14ac:dyDescent="0.3">
      <c r="E53" s="51"/>
    </row>
    <row r="54" spans="3:10" x14ac:dyDescent="0.3">
      <c r="E54" s="154" t="s">
        <v>63</v>
      </c>
      <c r="G54" s="154" t="s">
        <v>64</v>
      </c>
      <c r="I54" s="154" t="s">
        <v>65</v>
      </c>
    </row>
    <row r="55" spans="3:10" ht="4.5" customHeight="1" x14ac:dyDescent="0.3">
      <c r="E55" s="51"/>
    </row>
    <row r="56" spans="3:10" x14ac:dyDescent="0.3">
      <c r="E56" s="153">
        <v>0.85</v>
      </c>
      <c r="G56" s="65">
        <v>0.9</v>
      </c>
      <c r="I56" s="153">
        <v>1</v>
      </c>
    </row>
    <row r="57" spans="3:10" ht="4.5" customHeight="1" x14ac:dyDescent="0.3">
      <c r="E57" s="51"/>
    </row>
    <row r="58" spans="3:10" x14ac:dyDescent="0.3">
      <c r="F58" s="154" t="s">
        <v>66</v>
      </c>
      <c r="H58" s="154" t="s">
        <v>67</v>
      </c>
      <c r="J58" s="154" t="s">
        <v>68</v>
      </c>
    </row>
    <row r="59" spans="3:10" ht="4.5" customHeight="1" x14ac:dyDescent="0.3"/>
    <row r="60" spans="3:10" x14ac:dyDescent="0.3">
      <c r="F60" s="66">
        <v>0.85</v>
      </c>
      <c r="H60" s="66">
        <v>0.9</v>
      </c>
      <c r="J60" s="66">
        <v>1</v>
      </c>
    </row>
    <row r="62" spans="3:10" ht="4.5" customHeight="1" x14ac:dyDescent="0.3">
      <c r="E62" s="55"/>
      <c r="F62" s="55"/>
      <c r="G62" s="55"/>
    </row>
    <row r="63" spans="3:10" s="67" customFormat="1" ht="29.25" customHeight="1" x14ac:dyDescent="0.2">
      <c r="E63" s="285" t="s">
        <v>73</v>
      </c>
      <c r="F63" s="285"/>
      <c r="G63" s="285"/>
      <c r="H63" s="285"/>
    </row>
    <row r="64" spans="3:10" ht="4.5" customHeight="1" x14ac:dyDescent="0.3"/>
    <row r="65" spans="2:10" ht="21" customHeight="1" x14ac:dyDescent="0.3">
      <c r="E65" s="284" t="s">
        <v>79</v>
      </c>
      <c r="F65" s="284"/>
      <c r="G65" s="284" t="s">
        <v>78</v>
      </c>
      <c r="H65" s="284"/>
    </row>
    <row r="66" spans="2:10" x14ac:dyDescent="0.3">
      <c r="E66" s="288" t="s">
        <v>74</v>
      </c>
      <c r="F66" s="289"/>
      <c r="G66" s="286" t="s">
        <v>81</v>
      </c>
      <c r="H66" s="287"/>
    </row>
    <row r="67" spans="2:10" x14ac:dyDescent="0.3">
      <c r="E67" s="290" t="s">
        <v>75</v>
      </c>
      <c r="F67" s="291"/>
      <c r="G67" s="269" t="s">
        <v>82</v>
      </c>
      <c r="H67" s="270"/>
    </row>
    <row r="68" spans="2:10" x14ac:dyDescent="0.3">
      <c r="E68" s="292" t="s">
        <v>76</v>
      </c>
      <c r="F68" s="293"/>
      <c r="G68" s="269"/>
      <c r="H68" s="270"/>
    </row>
    <row r="69" spans="2:10" x14ac:dyDescent="0.3">
      <c r="E69" s="294" t="s">
        <v>77</v>
      </c>
      <c r="F69" s="295"/>
      <c r="G69" s="269"/>
      <c r="H69" s="270"/>
    </row>
    <row r="71" spans="2:10" x14ac:dyDescent="0.3">
      <c r="E71" s="271" t="s">
        <v>118</v>
      </c>
      <c r="F71" s="271"/>
      <c r="G71" s="271"/>
      <c r="H71" s="271"/>
      <c r="I71" s="271"/>
      <c r="J71" s="271"/>
    </row>
    <row r="72" spans="2:10" ht="6.75" customHeight="1" x14ac:dyDescent="0.3"/>
    <row r="73" spans="2:10" x14ac:dyDescent="0.3">
      <c r="B73" s="298" t="str">
        <f>IF(G66="",E66,G66)</f>
        <v>MISSION</v>
      </c>
      <c r="C73" s="298"/>
      <c r="D73" s="298"/>
      <c r="E73" s="298"/>
      <c r="G73" s="282" t="str">
        <f>IF(G67="",E67,G67)</f>
        <v>PRIME DE LANGUE</v>
      </c>
      <c r="H73" s="282"/>
      <c r="I73" s="282"/>
      <c r="J73" s="282"/>
    </row>
    <row r="74" spans="2:10" ht="6.75" customHeight="1" x14ac:dyDescent="0.3">
      <c r="B74" s="53"/>
      <c r="E74" s="51"/>
      <c r="G74" s="53"/>
    </row>
    <row r="75" spans="2:10" x14ac:dyDescent="0.3">
      <c r="B75" s="154" t="s">
        <v>20</v>
      </c>
      <c r="C75" s="154" t="s">
        <v>21</v>
      </c>
      <c r="D75" s="154" t="s">
        <v>111</v>
      </c>
      <c r="E75" s="154"/>
      <c r="G75" s="154" t="s">
        <v>20</v>
      </c>
      <c r="H75" s="154" t="s">
        <v>21</v>
      </c>
      <c r="I75" s="283" t="s">
        <v>111</v>
      </c>
      <c r="J75" s="283"/>
    </row>
    <row r="76" spans="2:10" x14ac:dyDescent="0.3">
      <c r="B76" s="17"/>
      <c r="C76" s="17"/>
      <c r="D76" s="269"/>
      <c r="E76" s="270"/>
      <c r="G76" s="17"/>
      <c r="H76" s="17"/>
      <c r="I76" s="269"/>
      <c r="J76" s="270"/>
    </row>
    <row r="77" spans="2:10" x14ac:dyDescent="0.3">
      <c r="B77" s="17"/>
      <c r="C77" s="17"/>
      <c r="D77" s="269"/>
      <c r="E77" s="270"/>
      <c r="G77" s="17"/>
      <c r="H77" s="17"/>
      <c r="I77" s="269"/>
      <c r="J77" s="270"/>
    </row>
    <row r="78" spans="2:10" x14ac:dyDescent="0.3">
      <c r="B78" s="17"/>
      <c r="C78" s="17"/>
      <c r="D78" s="269"/>
      <c r="E78" s="270"/>
      <c r="G78" s="17"/>
      <c r="H78" s="17"/>
      <c r="I78" s="269"/>
      <c r="J78" s="270"/>
    </row>
    <row r="79" spans="2:10" x14ac:dyDescent="0.3">
      <c r="B79" s="17"/>
      <c r="C79" s="17"/>
      <c r="D79" s="269"/>
      <c r="E79" s="270"/>
      <c r="G79" s="17"/>
      <c r="H79" s="17"/>
      <c r="I79" s="269"/>
      <c r="J79" s="270"/>
    </row>
    <row r="80" spans="2:10" x14ac:dyDescent="0.3">
      <c r="B80" s="17"/>
      <c r="C80" s="17"/>
      <c r="D80" s="269"/>
      <c r="E80" s="270"/>
      <c r="G80" s="17"/>
      <c r="H80" s="17"/>
      <c r="I80" s="269"/>
      <c r="J80" s="270"/>
    </row>
    <row r="81" spans="2:10" x14ac:dyDescent="0.3">
      <c r="B81" s="17"/>
      <c r="C81" s="17"/>
      <c r="D81" s="269"/>
      <c r="E81" s="270"/>
      <c r="G81" s="17"/>
      <c r="H81" s="17"/>
      <c r="I81" s="269"/>
      <c r="J81" s="270"/>
    </row>
    <row r="82" spans="2:10" x14ac:dyDescent="0.3">
      <c r="B82" s="17"/>
      <c r="C82" s="17"/>
      <c r="D82" s="269"/>
      <c r="E82" s="270"/>
      <c r="G82" s="17"/>
      <c r="H82" s="17"/>
      <c r="I82" s="269"/>
      <c r="J82" s="270"/>
    </row>
    <row r="83" spans="2:10" x14ac:dyDescent="0.3">
      <c r="B83" s="17"/>
      <c r="C83" s="17"/>
      <c r="D83" s="269"/>
      <c r="E83" s="270"/>
      <c r="G83" s="17"/>
      <c r="H83" s="17"/>
      <c r="I83" s="269"/>
      <c r="J83" s="270"/>
    </row>
    <row r="84" spans="2:10" x14ac:dyDescent="0.3">
      <c r="B84" s="17"/>
      <c r="C84" s="17"/>
      <c r="D84" s="269"/>
      <c r="E84" s="270"/>
      <c r="G84" s="17"/>
      <c r="H84" s="17"/>
      <c r="I84" s="269"/>
      <c r="J84" s="270"/>
    </row>
    <row r="85" spans="2:10" x14ac:dyDescent="0.3">
      <c r="B85" s="17"/>
      <c r="C85" s="17"/>
      <c r="D85" s="269"/>
      <c r="E85" s="270"/>
      <c r="G85" s="17"/>
      <c r="H85" s="17"/>
      <c r="I85" s="269"/>
      <c r="J85" s="270"/>
    </row>
    <row r="86" spans="2:10" x14ac:dyDescent="0.3">
      <c r="B86" s="17"/>
      <c r="C86" s="17"/>
      <c r="D86" s="269"/>
      <c r="E86" s="270"/>
      <c r="G86" s="17"/>
      <c r="H86" s="17"/>
      <c r="I86" s="269"/>
      <c r="J86" s="270"/>
    </row>
    <row r="87" spans="2:10" x14ac:dyDescent="0.3">
      <c r="B87" s="17"/>
      <c r="C87" s="17"/>
      <c r="D87" s="269"/>
      <c r="E87" s="270"/>
      <c r="G87" s="17"/>
      <c r="H87" s="17"/>
      <c r="I87" s="269"/>
      <c r="J87" s="270"/>
    </row>
    <row r="88" spans="2:10" x14ac:dyDescent="0.3">
      <c r="B88" s="17"/>
      <c r="C88" s="17"/>
      <c r="D88" s="269"/>
      <c r="E88" s="270"/>
      <c r="G88" s="17"/>
      <c r="H88" s="17"/>
      <c r="I88" s="269"/>
      <c r="J88" s="270"/>
    </row>
    <row r="89" spans="2:10" x14ac:dyDescent="0.3">
      <c r="B89" s="17"/>
      <c r="C89" s="17"/>
      <c r="D89" s="269"/>
      <c r="E89" s="270"/>
      <c r="G89" s="17"/>
      <c r="H89" s="17"/>
      <c r="I89" s="269"/>
      <c r="J89" s="270"/>
    </row>
    <row r="90" spans="2:10" x14ac:dyDescent="0.3">
      <c r="B90" s="17"/>
      <c r="C90" s="17"/>
      <c r="D90" s="269"/>
      <c r="E90" s="270"/>
      <c r="G90" s="17"/>
      <c r="H90" s="17"/>
      <c r="I90" s="269"/>
      <c r="J90" s="270"/>
    </row>
    <row r="91" spans="2:10" x14ac:dyDescent="0.3">
      <c r="B91" s="17"/>
      <c r="C91" s="17"/>
      <c r="D91" s="269"/>
      <c r="E91" s="270"/>
      <c r="G91" s="17"/>
      <c r="H91" s="17"/>
      <c r="I91" s="269"/>
      <c r="J91" s="270"/>
    </row>
    <row r="92" spans="2:10" x14ac:dyDescent="0.3">
      <c r="B92" s="17"/>
      <c r="C92" s="17"/>
      <c r="D92" s="269"/>
      <c r="E92" s="270"/>
      <c r="G92" s="17"/>
      <c r="H92" s="17"/>
      <c r="I92" s="269"/>
      <c r="J92" s="270"/>
    </row>
    <row r="93" spans="2:10" x14ac:dyDescent="0.3">
      <c r="B93" s="17"/>
      <c r="C93" s="17"/>
      <c r="D93" s="269"/>
      <c r="E93" s="270"/>
      <c r="G93" s="17"/>
      <c r="H93" s="17"/>
      <c r="I93" s="269"/>
      <c r="J93" s="270"/>
    </row>
    <row r="94" spans="2:10" x14ac:dyDescent="0.3">
      <c r="B94" s="17"/>
      <c r="C94" s="17"/>
      <c r="D94" s="269"/>
      <c r="E94" s="270"/>
      <c r="G94" s="17"/>
      <c r="H94" s="17"/>
      <c r="I94" s="269"/>
      <c r="J94" s="270"/>
    </row>
    <row r="95" spans="2:10" x14ac:dyDescent="0.3">
      <c r="B95" s="17"/>
      <c r="C95" s="17"/>
      <c r="D95" s="269"/>
      <c r="E95" s="270"/>
      <c r="G95" s="17"/>
      <c r="H95" s="17"/>
      <c r="I95" s="269"/>
      <c r="J95" s="270"/>
    </row>
    <row r="96" spans="2:10" x14ac:dyDescent="0.3">
      <c r="B96" s="17"/>
      <c r="C96" s="17"/>
      <c r="D96" s="269"/>
      <c r="E96" s="270"/>
      <c r="G96" s="17"/>
      <c r="H96" s="17"/>
      <c r="I96" s="269"/>
      <c r="J96" s="270"/>
    </row>
    <row r="97" spans="2:10" x14ac:dyDescent="0.3">
      <c r="B97" s="17"/>
      <c r="C97" s="17"/>
      <c r="D97" s="269"/>
      <c r="E97" s="270"/>
      <c r="G97" s="17"/>
      <c r="H97" s="17"/>
      <c r="I97" s="269"/>
      <c r="J97" s="270"/>
    </row>
    <row r="98" spans="2:10" x14ac:dyDescent="0.3">
      <c r="B98" s="17"/>
      <c r="C98" s="17"/>
      <c r="D98" s="269"/>
      <c r="E98" s="270"/>
      <c r="G98" s="17"/>
      <c r="H98" s="17"/>
      <c r="I98" s="269"/>
      <c r="J98" s="270"/>
    </row>
    <row r="99" spans="2:10" hidden="1" x14ac:dyDescent="0.3">
      <c r="B99" s="17"/>
      <c r="C99" s="17"/>
      <c r="D99" s="269"/>
      <c r="E99" s="270"/>
      <c r="G99" s="17"/>
      <c r="H99" s="17"/>
      <c r="I99" s="269"/>
      <c r="J99" s="270"/>
    </row>
    <row r="100" spans="2:10" hidden="1" x14ac:dyDescent="0.3">
      <c r="B100" s="17"/>
      <c r="C100" s="17"/>
      <c r="D100" s="269"/>
      <c r="E100" s="270"/>
      <c r="G100" s="17"/>
      <c r="H100" s="17"/>
      <c r="I100" s="269"/>
      <c r="J100" s="270"/>
    </row>
    <row r="101" spans="2:10" hidden="1" x14ac:dyDescent="0.3">
      <c r="B101" s="17"/>
      <c r="C101" s="17"/>
      <c r="D101" s="269"/>
      <c r="E101" s="270"/>
      <c r="G101" s="17"/>
      <c r="H101" s="17"/>
      <c r="I101" s="269"/>
      <c r="J101" s="270"/>
    </row>
    <row r="102" spans="2:10" hidden="1" x14ac:dyDescent="0.3">
      <c r="B102" s="17"/>
      <c r="C102" s="17"/>
      <c r="D102" s="269"/>
      <c r="E102" s="270"/>
      <c r="G102" s="17"/>
      <c r="H102" s="17"/>
      <c r="I102" s="269"/>
      <c r="J102" s="270"/>
    </row>
    <row r="103" spans="2:10" hidden="1" x14ac:dyDescent="0.3">
      <c r="B103" s="17"/>
      <c r="C103" s="17"/>
      <c r="D103" s="269"/>
      <c r="E103" s="270"/>
      <c r="G103" s="17"/>
      <c r="H103" s="17"/>
      <c r="I103" s="269"/>
      <c r="J103" s="270"/>
    </row>
    <row r="104" spans="2:10" hidden="1" x14ac:dyDescent="0.3">
      <c r="B104" s="17"/>
      <c r="C104" s="17"/>
      <c r="D104" s="269"/>
      <c r="E104" s="270"/>
      <c r="G104" s="17"/>
      <c r="H104" s="17"/>
      <c r="I104" s="269"/>
      <c r="J104" s="270"/>
    </row>
    <row r="105" spans="2:10" hidden="1" x14ac:dyDescent="0.3">
      <c r="B105" s="17"/>
      <c r="C105" s="17"/>
      <c r="D105" s="269"/>
      <c r="E105" s="270"/>
      <c r="G105" s="17"/>
      <c r="H105" s="17"/>
      <c r="I105" s="269"/>
      <c r="J105" s="270"/>
    </row>
    <row r="106" spans="2:10" hidden="1" x14ac:dyDescent="0.3">
      <c r="B106" s="17"/>
      <c r="C106" s="17"/>
      <c r="D106" s="269"/>
      <c r="E106" s="270"/>
      <c r="G106" s="17"/>
      <c r="H106" s="17"/>
      <c r="I106" s="269"/>
      <c r="J106" s="270"/>
    </row>
    <row r="107" spans="2:10" hidden="1" x14ac:dyDescent="0.3">
      <c r="B107" s="17"/>
      <c r="C107" s="17"/>
      <c r="D107" s="269"/>
      <c r="E107" s="270"/>
      <c r="G107" s="17"/>
      <c r="H107" s="17"/>
      <c r="I107" s="269"/>
      <c r="J107" s="270"/>
    </row>
    <row r="108" spans="2:10" hidden="1" x14ac:dyDescent="0.3">
      <c r="B108" s="17"/>
      <c r="C108" s="17"/>
      <c r="D108" s="269"/>
      <c r="E108" s="270"/>
      <c r="G108" s="17"/>
      <c r="H108" s="17"/>
      <c r="I108" s="269"/>
      <c r="J108" s="270"/>
    </row>
    <row r="109" spans="2:10" hidden="1" x14ac:dyDescent="0.3">
      <c r="B109" s="17"/>
      <c r="C109" s="17"/>
      <c r="D109" s="269"/>
      <c r="E109" s="270"/>
      <c r="G109" s="17"/>
      <c r="H109" s="17"/>
      <c r="I109" s="269"/>
      <c r="J109" s="270"/>
    </row>
    <row r="110" spans="2:10" hidden="1" x14ac:dyDescent="0.3">
      <c r="B110" s="17"/>
      <c r="C110" s="17"/>
      <c r="D110" s="269"/>
      <c r="E110" s="270"/>
      <c r="G110" s="17"/>
      <c r="H110" s="17"/>
      <c r="I110" s="269"/>
      <c r="J110" s="270"/>
    </row>
    <row r="111" spans="2:10" hidden="1" x14ac:dyDescent="0.3">
      <c r="B111" s="17"/>
      <c r="C111" s="17"/>
      <c r="D111" s="269"/>
      <c r="E111" s="270"/>
      <c r="G111" s="17"/>
      <c r="H111" s="17"/>
      <c r="I111" s="269"/>
      <c r="J111" s="270"/>
    </row>
    <row r="112" spans="2:10" hidden="1" x14ac:dyDescent="0.3">
      <c r="B112" s="17"/>
      <c r="C112" s="17"/>
      <c r="D112" s="269"/>
      <c r="E112" s="270"/>
      <c r="G112" s="17"/>
      <c r="H112" s="17"/>
      <c r="I112" s="269"/>
      <c r="J112" s="270"/>
    </row>
    <row r="113" spans="2:10" hidden="1" x14ac:dyDescent="0.3">
      <c r="B113" s="17"/>
      <c r="C113" s="17"/>
      <c r="D113" s="269"/>
      <c r="E113" s="270"/>
      <c r="G113" s="17"/>
      <c r="H113" s="17"/>
      <c r="I113" s="269"/>
      <c r="J113" s="270"/>
    </row>
    <row r="114" spans="2:10" hidden="1" x14ac:dyDescent="0.3">
      <c r="B114" s="17"/>
      <c r="C114" s="17"/>
      <c r="D114" s="269"/>
      <c r="E114" s="270"/>
      <c r="G114" s="17"/>
      <c r="H114" s="17"/>
      <c r="I114" s="269"/>
      <c r="J114" s="270"/>
    </row>
    <row r="115" spans="2:10" hidden="1" x14ac:dyDescent="0.3">
      <c r="B115" s="17"/>
      <c r="C115" s="17"/>
      <c r="D115" s="269"/>
      <c r="E115" s="270"/>
      <c r="G115" s="17"/>
      <c r="H115" s="17"/>
      <c r="I115" s="269"/>
      <c r="J115" s="270"/>
    </row>
    <row r="116" spans="2:10" hidden="1" x14ac:dyDescent="0.3">
      <c r="B116" s="17"/>
      <c r="C116" s="17"/>
      <c r="D116" s="269"/>
      <c r="E116" s="270"/>
      <c r="G116" s="17"/>
      <c r="H116" s="17"/>
      <c r="I116" s="269"/>
      <c r="J116" s="270"/>
    </row>
    <row r="117" spans="2:10" hidden="1" x14ac:dyDescent="0.3">
      <c r="B117" s="17"/>
      <c r="C117" s="17"/>
      <c r="D117" s="269"/>
      <c r="E117" s="270"/>
      <c r="G117" s="17"/>
      <c r="H117" s="17"/>
      <c r="I117" s="269"/>
      <c r="J117" s="270"/>
    </row>
    <row r="118" spans="2:10" hidden="1" x14ac:dyDescent="0.3">
      <c r="B118" s="17"/>
      <c r="C118" s="17"/>
      <c r="D118" s="269"/>
      <c r="E118" s="270"/>
      <c r="G118" s="17"/>
      <c r="H118" s="17"/>
      <c r="I118" s="269"/>
      <c r="J118" s="270"/>
    </row>
    <row r="119" spans="2:10" hidden="1" x14ac:dyDescent="0.3">
      <c r="B119" s="17"/>
      <c r="C119" s="17"/>
      <c r="D119" s="269"/>
      <c r="E119" s="270"/>
      <c r="G119" s="17"/>
      <c r="H119" s="17"/>
      <c r="I119" s="269"/>
      <c r="J119" s="270"/>
    </row>
    <row r="120" spans="2:10" hidden="1" x14ac:dyDescent="0.3">
      <c r="B120" s="17"/>
      <c r="C120" s="17"/>
      <c r="D120" s="269"/>
      <c r="E120" s="270"/>
      <c r="G120" s="17"/>
      <c r="H120" s="17"/>
      <c r="I120" s="269"/>
      <c r="J120" s="270"/>
    </row>
    <row r="121" spans="2:10" hidden="1" x14ac:dyDescent="0.3">
      <c r="B121" s="17"/>
      <c r="C121" s="17"/>
      <c r="D121" s="269"/>
      <c r="E121" s="270"/>
      <c r="G121" s="17"/>
      <c r="H121" s="17"/>
      <c r="I121" s="269"/>
      <c r="J121" s="270"/>
    </row>
    <row r="122" spans="2:10" hidden="1" x14ac:dyDescent="0.3">
      <c r="B122" s="17"/>
      <c r="C122" s="17"/>
      <c r="D122" s="269"/>
      <c r="E122" s="270"/>
      <c r="G122" s="17"/>
      <c r="H122" s="17"/>
      <c r="I122" s="269"/>
      <c r="J122" s="270"/>
    </row>
    <row r="123" spans="2:10" hidden="1" x14ac:dyDescent="0.3">
      <c r="B123" s="17"/>
      <c r="C123" s="17"/>
      <c r="D123" s="269"/>
      <c r="E123" s="270"/>
      <c r="G123" s="17"/>
      <c r="H123" s="17"/>
      <c r="I123" s="269"/>
      <c r="J123" s="270"/>
    </row>
    <row r="124" spans="2:10" hidden="1" x14ac:dyDescent="0.3">
      <c r="B124" s="17"/>
      <c r="C124" s="17"/>
      <c r="D124" s="269"/>
      <c r="E124" s="270"/>
      <c r="G124" s="17"/>
      <c r="H124" s="17"/>
      <c r="I124" s="269"/>
      <c r="J124" s="270"/>
    </row>
    <row r="125" spans="2:10" hidden="1" x14ac:dyDescent="0.3">
      <c r="B125" s="17"/>
      <c r="C125" s="17"/>
      <c r="D125" s="269"/>
      <c r="E125" s="270"/>
      <c r="G125" s="17"/>
      <c r="H125" s="17"/>
      <c r="I125" s="269"/>
      <c r="J125" s="270"/>
    </row>
    <row r="126" spans="2:10" hidden="1" x14ac:dyDescent="0.3">
      <c r="B126" s="17"/>
      <c r="C126" s="17"/>
      <c r="D126" s="269"/>
      <c r="E126" s="270"/>
      <c r="G126" s="17"/>
      <c r="H126" s="17"/>
      <c r="I126" s="269"/>
      <c r="J126" s="270"/>
    </row>
    <row r="127" spans="2:10" hidden="1" x14ac:dyDescent="0.3">
      <c r="B127" s="17"/>
      <c r="C127" s="17"/>
      <c r="D127" s="269"/>
      <c r="E127" s="270"/>
      <c r="G127" s="17"/>
      <c r="H127" s="17"/>
      <c r="I127" s="269"/>
      <c r="J127" s="270"/>
    </row>
    <row r="128" spans="2:10" hidden="1" x14ac:dyDescent="0.3">
      <c r="B128" s="17"/>
      <c r="C128" s="17"/>
      <c r="D128" s="269"/>
      <c r="E128" s="270"/>
      <c r="G128" s="17"/>
      <c r="H128" s="17"/>
      <c r="I128" s="269"/>
      <c r="J128" s="270"/>
    </row>
    <row r="129" spans="2:10" hidden="1" x14ac:dyDescent="0.3">
      <c r="B129" s="17"/>
      <c r="C129" s="17"/>
      <c r="D129" s="269"/>
      <c r="E129" s="270"/>
      <c r="G129" s="17"/>
      <c r="H129" s="17"/>
      <c r="I129" s="269"/>
      <c r="J129" s="270"/>
    </row>
    <row r="130" spans="2:10" hidden="1" x14ac:dyDescent="0.3">
      <c r="B130" s="17"/>
      <c r="C130" s="17"/>
      <c r="D130" s="269"/>
      <c r="E130" s="270"/>
      <c r="G130" s="17"/>
      <c r="H130" s="17"/>
      <c r="I130" s="269"/>
      <c r="J130" s="270"/>
    </row>
    <row r="131" spans="2:10" hidden="1" x14ac:dyDescent="0.3">
      <c r="B131" s="17"/>
      <c r="C131" s="17"/>
      <c r="D131" s="269"/>
      <c r="E131" s="270"/>
      <c r="G131" s="17"/>
      <c r="H131" s="17"/>
      <c r="I131" s="269"/>
      <c r="J131" s="270"/>
    </row>
    <row r="132" spans="2:10" hidden="1" x14ac:dyDescent="0.3">
      <c r="B132" s="17"/>
      <c r="C132" s="17"/>
      <c r="D132" s="269"/>
      <c r="E132" s="270"/>
      <c r="G132" s="17"/>
      <c r="H132" s="17"/>
      <c r="I132" s="269"/>
      <c r="J132" s="270"/>
    </row>
    <row r="133" spans="2:10" hidden="1" x14ac:dyDescent="0.3">
      <c r="B133" s="17"/>
      <c r="C133" s="17"/>
      <c r="D133" s="269"/>
      <c r="E133" s="270"/>
      <c r="G133" s="17"/>
      <c r="H133" s="17"/>
      <c r="I133" s="269"/>
      <c r="J133" s="270"/>
    </row>
    <row r="134" spans="2:10" hidden="1" x14ac:dyDescent="0.3">
      <c r="B134" s="17"/>
      <c r="C134" s="17"/>
      <c r="D134" s="269"/>
      <c r="E134" s="270"/>
      <c r="G134" s="17"/>
      <c r="H134" s="17"/>
      <c r="I134" s="269"/>
      <c r="J134" s="270"/>
    </row>
    <row r="135" spans="2:10" hidden="1" x14ac:dyDescent="0.3">
      <c r="B135" s="17"/>
      <c r="C135" s="17"/>
      <c r="D135" s="269"/>
      <c r="E135" s="270"/>
      <c r="G135" s="17"/>
      <c r="H135" s="17"/>
      <c r="I135" s="269"/>
      <c r="J135" s="270"/>
    </row>
    <row r="136" spans="2:10" hidden="1" x14ac:dyDescent="0.3">
      <c r="B136" s="17"/>
      <c r="C136" s="17"/>
      <c r="D136" s="269"/>
      <c r="E136" s="270"/>
      <c r="G136" s="17"/>
      <c r="H136" s="17"/>
      <c r="I136" s="269"/>
      <c r="J136" s="270"/>
    </row>
    <row r="137" spans="2:10" hidden="1" x14ac:dyDescent="0.3">
      <c r="B137" s="17"/>
      <c r="C137" s="17"/>
      <c r="D137" s="269"/>
      <c r="E137" s="270"/>
      <c r="G137" s="17"/>
      <c r="H137" s="17"/>
      <c r="I137" s="269"/>
      <c r="J137" s="270"/>
    </row>
    <row r="139" spans="2:10" x14ac:dyDescent="0.3">
      <c r="B139" s="299" t="str">
        <f>IF(G68="",E68,G68)</f>
        <v>PRIME 3</v>
      </c>
      <c r="C139" s="299"/>
      <c r="D139" s="299"/>
      <c r="E139" s="299"/>
      <c r="G139" s="296" t="str">
        <f>IF(G69="",E69,G69)</f>
        <v>PRIME 4</v>
      </c>
      <c r="H139" s="296"/>
      <c r="I139" s="296"/>
      <c r="J139" s="296"/>
    </row>
    <row r="140" spans="2:10" ht="6.75" customHeight="1" x14ac:dyDescent="0.3">
      <c r="B140" s="53"/>
      <c r="E140" s="51"/>
      <c r="G140" s="53"/>
    </row>
    <row r="141" spans="2:10" x14ac:dyDescent="0.3">
      <c r="B141" s="154" t="s">
        <v>20</v>
      </c>
      <c r="C141" s="154" t="s">
        <v>21</v>
      </c>
      <c r="D141" s="154" t="s">
        <v>111</v>
      </c>
      <c r="E141" s="154"/>
      <c r="G141" s="154" t="s">
        <v>20</v>
      </c>
      <c r="H141" s="154" t="s">
        <v>21</v>
      </c>
      <c r="I141" s="283" t="s">
        <v>111</v>
      </c>
      <c r="J141" s="283"/>
    </row>
    <row r="142" spans="2:10" x14ac:dyDescent="0.3">
      <c r="B142" s="17"/>
      <c r="C142" s="17"/>
      <c r="D142" s="269"/>
      <c r="E142" s="270"/>
      <c r="G142" s="17"/>
      <c r="H142" s="17"/>
      <c r="I142" s="269"/>
      <c r="J142" s="270"/>
    </row>
    <row r="143" spans="2:10" x14ac:dyDescent="0.3">
      <c r="B143" s="17"/>
      <c r="C143" s="17"/>
      <c r="D143" s="269"/>
      <c r="E143" s="270"/>
      <c r="G143" s="17"/>
      <c r="H143" s="17"/>
      <c r="I143" s="269"/>
      <c r="J143" s="270"/>
    </row>
    <row r="144" spans="2:10" x14ac:dyDescent="0.3">
      <c r="B144" s="17"/>
      <c r="C144" s="17"/>
      <c r="D144" s="269"/>
      <c r="E144" s="270"/>
      <c r="G144" s="17"/>
      <c r="H144" s="17"/>
      <c r="I144" s="269"/>
      <c r="J144" s="270"/>
    </row>
    <row r="145" spans="2:10" x14ac:dyDescent="0.3">
      <c r="B145" s="17"/>
      <c r="C145" s="17"/>
      <c r="D145" s="269"/>
      <c r="E145" s="270"/>
      <c r="G145" s="17"/>
      <c r="H145" s="17"/>
      <c r="I145" s="269"/>
      <c r="J145" s="270"/>
    </row>
    <row r="146" spans="2:10" x14ac:dyDescent="0.3">
      <c r="B146" s="17"/>
      <c r="C146" s="17"/>
      <c r="D146" s="269"/>
      <c r="E146" s="270"/>
      <c r="G146" s="17"/>
      <c r="H146" s="17"/>
      <c r="I146" s="269"/>
      <c r="J146" s="270"/>
    </row>
    <row r="147" spans="2:10" x14ac:dyDescent="0.3">
      <c r="B147" s="17"/>
      <c r="C147" s="17"/>
      <c r="D147" s="269"/>
      <c r="E147" s="270"/>
      <c r="G147" s="17"/>
      <c r="H147" s="17"/>
      <c r="I147" s="269"/>
      <c r="J147" s="270"/>
    </row>
    <row r="148" spans="2:10" x14ac:dyDescent="0.3">
      <c r="B148" s="17"/>
      <c r="C148" s="17"/>
      <c r="D148" s="269"/>
      <c r="E148" s="270"/>
      <c r="G148" s="17"/>
      <c r="H148" s="17"/>
      <c r="I148" s="269"/>
      <c r="J148" s="270"/>
    </row>
    <row r="149" spans="2:10" x14ac:dyDescent="0.3">
      <c r="B149" s="17"/>
      <c r="C149" s="17"/>
      <c r="D149" s="269"/>
      <c r="E149" s="270"/>
      <c r="G149" s="17"/>
      <c r="H149" s="17"/>
      <c r="I149" s="269"/>
      <c r="J149" s="270"/>
    </row>
    <row r="150" spans="2:10" x14ac:dyDescent="0.3">
      <c r="B150" s="17"/>
      <c r="C150" s="17"/>
      <c r="D150" s="269"/>
      <c r="E150" s="270"/>
      <c r="G150" s="17"/>
      <c r="H150" s="17"/>
      <c r="I150" s="269"/>
      <c r="J150" s="270"/>
    </row>
    <row r="151" spans="2:10" x14ac:dyDescent="0.3">
      <c r="B151" s="17"/>
      <c r="C151" s="17"/>
      <c r="D151" s="269"/>
      <c r="E151" s="270"/>
      <c r="G151" s="17"/>
      <c r="H151" s="17"/>
      <c r="I151" s="269"/>
      <c r="J151" s="270"/>
    </row>
    <row r="152" spans="2:10" x14ac:dyDescent="0.3">
      <c r="B152" s="17"/>
      <c r="C152" s="17"/>
      <c r="D152" s="269"/>
      <c r="E152" s="270"/>
      <c r="G152" s="17"/>
      <c r="H152" s="17"/>
      <c r="I152" s="269"/>
      <c r="J152" s="270"/>
    </row>
    <row r="153" spans="2:10" x14ac:dyDescent="0.3">
      <c r="B153" s="17"/>
      <c r="C153" s="17"/>
      <c r="D153" s="269"/>
      <c r="E153" s="270"/>
      <c r="G153" s="17"/>
      <c r="H153" s="17"/>
      <c r="I153" s="269"/>
      <c r="J153" s="270"/>
    </row>
    <row r="154" spans="2:10" x14ac:dyDescent="0.3">
      <c r="B154" s="17"/>
      <c r="C154" s="17"/>
      <c r="D154" s="269"/>
      <c r="E154" s="270"/>
      <c r="G154" s="17"/>
      <c r="H154" s="17"/>
      <c r="I154" s="269"/>
      <c r="J154" s="270"/>
    </row>
    <row r="155" spans="2:10" x14ac:dyDescent="0.3">
      <c r="B155" s="17"/>
      <c r="C155" s="17"/>
      <c r="D155" s="269"/>
      <c r="E155" s="270"/>
      <c r="G155" s="17"/>
      <c r="H155" s="17"/>
      <c r="I155" s="269"/>
      <c r="J155" s="270"/>
    </row>
    <row r="156" spans="2:10" x14ac:dyDescent="0.3">
      <c r="B156" s="17"/>
      <c r="C156" s="17"/>
      <c r="D156" s="269"/>
      <c r="E156" s="270"/>
      <c r="G156" s="17"/>
      <c r="H156" s="17"/>
      <c r="I156" s="269"/>
      <c r="J156" s="270"/>
    </row>
    <row r="157" spans="2:10" x14ac:dyDescent="0.3">
      <c r="B157" s="17"/>
      <c r="C157" s="17"/>
      <c r="D157" s="269"/>
      <c r="E157" s="270"/>
      <c r="G157" s="17"/>
      <c r="H157" s="17"/>
      <c r="I157" s="269"/>
      <c r="J157" s="270"/>
    </row>
    <row r="158" spans="2:10" x14ac:dyDescent="0.3">
      <c r="B158" s="17"/>
      <c r="C158" s="17"/>
      <c r="D158" s="269"/>
      <c r="E158" s="270"/>
      <c r="G158" s="17"/>
      <c r="H158" s="17"/>
      <c r="I158" s="269"/>
      <c r="J158" s="270"/>
    </row>
    <row r="159" spans="2:10" x14ac:dyDescent="0.3">
      <c r="B159" s="17"/>
      <c r="C159" s="17"/>
      <c r="D159" s="269"/>
      <c r="E159" s="270"/>
      <c r="G159" s="17"/>
      <c r="H159" s="17"/>
      <c r="I159" s="269"/>
      <c r="J159" s="270"/>
    </row>
    <row r="160" spans="2:10" x14ac:dyDescent="0.3">
      <c r="B160" s="17"/>
      <c r="C160" s="17"/>
      <c r="D160" s="269"/>
      <c r="E160" s="270"/>
      <c r="G160" s="17"/>
      <c r="H160" s="17"/>
      <c r="I160" s="269"/>
      <c r="J160" s="270"/>
    </row>
    <row r="161" spans="2:10" x14ac:dyDescent="0.3">
      <c r="B161" s="17"/>
      <c r="C161" s="17"/>
      <c r="D161" s="269"/>
      <c r="E161" s="270"/>
      <c r="G161" s="17"/>
      <c r="H161" s="17"/>
      <c r="I161" s="269"/>
      <c r="J161" s="270"/>
    </row>
    <row r="162" spans="2:10" x14ac:dyDescent="0.3">
      <c r="B162" s="17"/>
      <c r="C162" s="17"/>
      <c r="D162" s="269"/>
      <c r="E162" s="270"/>
      <c r="G162" s="17"/>
      <c r="H162" s="17"/>
      <c r="I162" s="269"/>
      <c r="J162" s="270"/>
    </row>
    <row r="163" spans="2:10" x14ac:dyDescent="0.3">
      <c r="B163" s="17"/>
      <c r="C163" s="17"/>
      <c r="D163" s="269"/>
      <c r="E163" s="270"/>
      <c r="G163" s="17"/>
      <c r="H163" s="17"/>
      <c r="I163" s="269"/>
      <c r="J163" s="270"/>
    </row>
    <row r="164" spans="2:10" x14ac:dyDescent="0.3">
      <c r="B164" s="17"/>
      <c r="C164" s="17"/>
      <c r="D164" s="269"/>
      <c r="E164" s="270"/>
      <c r="G164" s="17"/>
      <c r="H164" s="17"/>
      <c r="I164" s="269"/>
      <c r="J164" s="270"/>
    </row>
    <row r="165" spans="2:10" x14ac:dyDescent="0.3">
      <c r="B165" s="17"/>
      <c r="C165" s="17"/>
      <c r="D165" s="269"/>
      <c r="E165" s="270"/>
      <c r="G165" s="17"/>
      <c r="H165" s="17"/>
      <c r="I165" s="269"/>
      <c r="J165" s="270"/>
    </row>
    <row r="166" spans="2:10" x14ac:dyDescent="0.3">
      <c r="B166" s="17"/>
      <c r="C166" s="17"/>
      <c r="D166" s="269"/>
      <c r="E166" s="270"/>
      <c r="G166" s="17"/>
      <c r="H166" s="17"/>
      <c r="I166" s="269"/>
      <c r="J166" s="270"/>
    </row>
    <row r="167" spans="2:10" hidden="1" x14ac:dyDescent="0.3">
      <c r="B167" s="17"/>
      <c r="C167" s="17"/>
      <c r="D167" s="269"/>
      <c r="E167" s="270"/>
      <c r="G167" s="17"/>
      <c r="H167" s="17"/>
      <c r="I167" s="269"/>
      <c r="J167" s="270"/>
    </row>
    <row r="168" spans="2:10" hidden="1" x14ac:dyDescent="0.3">
      <c r="B168" s="17"/>
      <c r="C168" s="17"/>
      <c r="D168" s="269"/>
      <c r="E168" s="270"/>
      <c r="G168" s="17"/>
      <c r="H168" s="17"/>
      <c r="I168" s="269"/>
      <c r="J168" s="270"/>
    </row>
    <row r="169" spans="2:10" hidden="1" x14ac:dyDescent="0.3">
      <c r="B169" s="17"/>
      <c r="C169" s="17"/>
      <c r="D169" s="269"/>
      <c r="E169" s="270"/>
      <c r="G169" s="17"/>
      <c r="H169" s="17"/>
      <c r="I169" s="269"/>
      <c r="J169" s="270"/>
    </row>
    <row r="170" spans="2:10" hidden="1" x14ac:dyDescent="0.3">
      <c r="B170" s="17"/>
      <c r="C170" s="17"/>
      <c r="D170" s="269"/>
      <c r="E170" s="270"/>
      <c r="G170" s="17"/>
      <c r="H170" s="17"/>
      <c r="I170" s="269"/>
      <c r="J170" s="270"/>
    </row>
    <row r="171" spans="2:10" hidden="1" x14ac:dyDescent="0.3">
      <c r="B171" s="17"/>
      <c r="C171" s="17"/>
      <c r="D171" s="269"/>
      <c r="E171" s="270"/>
      <c r="G171" s="17"/>
      <c r="H171" s="17"/>
      <c r="I171" s="269"/>
      <c r="J171" s="270"/>
    </row>
    <row r="172" spans="2:10" hidden="1" x14ac:dyDescent="0.3">
      <c r="B172" s="17"/>
      <c r="C172" s="17"/>
      <c r="D172" s="269"/>
      <c r="E172" s="270"/>
      <c r="G172" s="17"/>
      <c r="H172" s="17"/>
      <c r="I172" s="269"/>
      <c r="J172" s="270"/>
    </row>
    <row r="173" spans="2:10" hidden="1" x14ac:dyDescent="0.3">
      <c r="B173" s="17"/>
      <c r="C173" s="17"/>
      <c r="D173" s="269"/>
      <c r="E173" s="270"/>
      <c r="G173" s="17"/>
      <c r="H173" s="17"/>
      <c r="I173" s="269"/>
      <c r="J173" s="270"/>
    </row>
    <row r="174" spans="2:10" hidden="1" x14ac:dyDescent="0.3">
      <c r="B174" s="17"/>
      <c r="C174" s="17"/>
      <c r="D174" s="269"/>
      <c r="E174" s="270"/>
      <c r="G174" s="17"/>
      <c r="H174" s="17"/>
      <c r="I174" s="269"/>
      <c r="J174" s="270"/>
    </row>
    <row r="175" spans="2:10" hidden="1" x14ac:dyDescent="0.3">
      <c r="B175" s="17"/>
      <c r="C175" s="17"/>
      <c r="D175" s="269"/>
      <c r="E175" s="270"/>
      <c r="G175" s="17"/>
      <c r="H175" s="17"/>
      <c r="I175" s="269"/>
      <c r="J175" s="270"/>
    </row>
    <row r="176" spans="2:10" hidden="1" x14ac:dyDescent="0.3">
      <c r="B176" s="17"/>
      <c r="C176" s="17"/>
      <c r="D176" s="269"/>
      <c r="E176" s="270"/>
      <c r="G176" s="17"/>
      <c r="H176" s="17"/>
      <c r="I176" s="269"/>
      <c r="J176" s="270"/>
    </row>
    <row r="177" spans="2:10" hidden="1" x14ac:dyDescent="0.3">
      <c r="B177" s="17"/>
      <c r="C177" s="17"/>
      <c r="D177" s="269"/>
      <c r="E177" s="270"/>
      <c r="G177" s="17"/>
      <c r="H177" s="17"/>
      <c r="I177" s="269"/>
      <c r="J177" s="270"/>
    </row>
    <row r="178" spans="2:10" hidden="1" x14ac:dyDescent="0.3">
      <c r="B178" s="17"/>
      <c r="C178" s="17"/>
      <c r="D178" s="269"/>
      <c r="E178" s="270"/>
      <c r="G178" s="17"/>
      <c r="H178" s="17"/>
      <c r="I178" s="269"/>
      <c r="J178" s="270"/>
    </row>
    <row r="179" spans="2:10" hidden="1" x14ac:dyDescent="0.3">
      <c r="B179" s="17"/>
      <c r="C179" s="17"/>
      <c r="D179" s="269"/>
      <c r="E179" s="270"/>
      <c r="G179" s="17"/>
      <c r="H179" s="17"/>
      <c r="I179" s="269"/>
      <c r="J179" s="270"/>
    </row>
    <row r="180" spans="2:10" hidden="1" x14ac:dyDescent="0.3">
      <c r="B180" s="17"/>
      <c r="C180" s="17"/>
      <c r="D180" s="269"/>
      <c r="E180" s="270"/>
      <c r="G180" s="17"/>
      <c r="H180" s="17"/>
      <c r="I180" s="269"/>
      <c r="J180" s="270"/>
    </row>
    <row r="181" spans="2:10" hidden="1" x14ac:dyDescent="0.3">
      <c r="B181" s="17"/>
      <c r="C181" s="17"/>
      <c r="D181" s="269"/>
      <c r="E181" s="270"/>
      <c r="G181" s="17"/>
      <c r="H181" s="17"/>
      <c r="I181" s="269"/>
      <c r="J181" s="270"/>
    </row>
    <row r="182" spans="2:10" hidden="1" x14ac:dyDescent="0.3">
      <c r="B182" s="17"/>
      <c r="C182" s="17"/>
      <c r="D182" s="269"/>
      <c r="E182" s="270"/>
      <c r="G182" s="17"/>
      <c r="H182" s="17"/>
      <c r="I182" s="269"/>
      <c r="J182" s="270"/>
    </row>
    <row r="183" spans="2:10" hidden="1" x14ac:dyDescent="0.3">
      <c r="B183" s="17"/>
      <c r="C183" s="17"/>
      <c r="D183" s="269"/>
      <c r="E183" s="270"/>
      <c r="G183" s="17"/>
      <c r="H183" s="17"/>
      <c r="I183" s="269"/>
      <c r="J183" s="270"/>
    </row>
    <row r="184" spans="2:10" hidden="1" x14ac:dyDescent="0.3">
      <c r="B184" s="17"/>
      <c r="C184" s="17"/>
      <c r="D184" s="269"/>
      <c r="E184" s="270"/>
      <c r="G184" s="17"/>
      <c r="H184" s="17"/>
      <c r="I184" s="269"/>
      <c r="J184" s="270"/>
    </row>
    <row r="185" spans="2:10" hidden="1" x14ac:dyDescent="0.3">
      <c r="B185" s="17"/>
      <c r="C185" s="17"/>
      <c r="D185" s="269"/>
      <c r="E185" s="270"/>
      <c r="G185" s="17"/>
      <c r="H185" s="17"/>
      <c r="I185" s="269"/>
      <c r="J185" s="270"/>
    </row>
    <row r="186" spans="2:10" hidden="1" x14ac:dyDescent="0.3">
      <c r="B186" s="17"/>
      <c r="C186" s="17"/>
      <c r="D186" s="269"/>
      <c r="E186" s="270"/>
      <c r="G186" s="17"/>
      <c r="H186" s="17"/>
      <c r="I186" s="269"/>
      <c r="J186" s="270"/>
    </row>
    <row r="187" spans="2:10" hidden="1" x14ac:dyDescent="0.3">
      <c r="B187" s="17"/>
      <c r="C187" s="17"/>
      <c r="D187" s="269"/>
      <c r="E187" s="270"/>
      <c r="G187" s="17"/>
      <c r="H187" s="17"/>
      <c r="I187" s="269"/>
      <c r="J187" s="270"/>
    </row>
    <row r="188" spans="2:10" hidden="1" x14ac:dyDescent="0.3">
      <c r="B188" s="17"/>
      <c r="C188" s="17"/>
      <c r="D188" s="269"/>
      <c r="E188" s="270"/>
      <c r="G188" s="17"/>
      <c r="H188" s="17"/>
      <c r="I188" s="269"/>
      <c r="J188" s="270"/>
    </row>
    <row r="189" spans="2:10" hidden="1" x14ac:dyDescent="0.3">
      <c r="B189" s="17"/>
      <c r="C189" s="17"/>
      <c r="D189" s="269"/>
      <c r="E189" s="270"/>
      <c r="G189" s="17"/>
      <c r="H189" s="17"/>
      <c r="I189" s="269"/>
      <c r="J189" s="270"/>
    </row>
    <row r="190" spans="2:10" hidden="1" x14ac:dyDescent="0.3">
      <c r="B190" s="17"/>
      <c r="C190" s="17"/>
      <c r="D190" s="269"/>
      <c r="E190" s="270"/>
      <c r="G190" s="17"/>
      <c r="H190" s="17"/>
      <c r="I190" s="269"/>
      <c r="J190" s="270"/>
    </row>
    <row r="191" spans="2:10" hidden="1" x14ac:dyDescent="0.3">
      <c r="B191" s="17"/>
      <c r="C191" s="17"/>
      <c r="D191" s="269"/>
      <c r="E191" s="270"/>
      <c r="G191" s="17"/>
      <c r="H191" s="17"/>
      <c r="I191" s="72"/>
      <c r="J191" s="73"/>
    </row>
    <row r="192" spans="2:10" hidden="1" x14ac:dyDescent="0.3">
      <c r="B192" s="17"/>
      <c r="C192" s="17"/>
      <c r="D192" s="269"/>
      <c r="E192" s="270"/>
      <c r="G192" s="17"/>
      <c r="H192" s="17"/>
      <c r="I192" s="72"/>
      <c r="J192" s="73"/>
    </row>
    <row r="193" spans="2:10" hidden="1" x14ac:dyDescent="0.3">
      <c r="B193" s="17"/>
      <c r="C193" s="17"/>
      <c r="D193" s="269"/>
      <c r="E193" s="270"/>
      <c r="G193" s="17"/>
      <c r="H193" s="17"/>
      <c r="I193" s="269"/>
      <c r="J193" s="270"/>
    </row>
    <row r="194" spans="2:10" hidden="1" x14ac:dyDescent="0.3">
      <c r="B194" s="17"/>
      <c r="C194" s="17"/>
      <c r="D194" s="269"/>
      <c r="E194" s="270"/>
      <c r="G194" s="17"/>
      <c r="H194" s="17"/>
      <c r="I194" s="269"/>
      <c r="J194" s="270"/>
    </row>
    <row r="195" spans="2:10" hidden="1" x14ac:dyDescent="0.3">
      <c r="B195" s="17"/>
      <c r="C195" s="17"/>
      <c r="D195" s="269"/>
      <c r="E195" s="270"/>
      <c r="G195" s="17"/>
      <c r="H195" s="17"/>
      <c r="I195" s="269"/>
      <c r="J195" s="270"/>
    </row>
    <row r="196" spans="2:10" hidden="1" x14ac:dyDescent="0.3">
      <c r="B196" s="17"/>
      <c r="C196" s="17"/>
      <c r="D196" s="269"/>
      <c r="E196" s="270"/>
      <c r="G196" s="17"/>
      <c r="H196" s="17"/>
      <c r="I196" s="269"/>
      <c r="J196" s="270"/>
    </row>
    <row r="197" spans="2:10" hidden="1" x14ac:dyDescent="0.3">
      <c r="B197" s="17"/>
      <c r="C197" s="17"/>
      <c r="D197" s="269"/>
      <c r="E197" s="270"/>
      <c r="G197" s="17"/>
      <c r="H197" s="17"/>
      <c r="I197" s="269"/>
      <c r="J197" s="270"/>
    </row>
    <row r="198" spans="2:10" hidden="1" x14ac:dyDescent="0.3">
      <c r="B198" s="17"/>
      <c r="C198" s="17"/>
      <c r="D198" s="269"/>
      <c r="E198" s="270"/>
      <c r="G198" s="17"/>
      <c r="H198" s="17"/>
      <c r="I198" s="269"/>
      <c r="J198" s="270"/>
    </row>
    <row r="199" spans="2:10" hidden="1" x14ac:dyDescent="0.3">
      <c r="B199" s="17"/>
      <c r="C199" s="17"/>
      <c r="D199" s="269"/>
      <c r="E199" s="270"/>
      <c r="G199" s="17"/>
      <c r="H199" s="17"/>
      <c r="I199" s="269"/>
      <c r="J199" s="270"/>
    </row>
    <row r="200" spans="2:10" hidden="1" x14ac:dyDescent="0.3">
      <c r="B200" s="17"/>
      <c r="C200" s="17"/>
      <c r="D200" s="269"/>
      <c r="E200" s="270"/>
      <c r="G200" s="17"/>
      <c r="H200" s="17"/>
      <c r="I200" s="269"/>
      <c r="J200" s="270"/>
    </row>
    <row r="201" spans="2:10" hidden="1" x14ac:dyDescent="0.3">
      <c r="B201" s="17"/>
      <c r="C201" s="17"/>
      <c r="D201" s="269"/>
      <c r="E201" s="270"/>
      <c r="G201" s="17"/>
      <c r="H201" s="17"/>
      <c r="I201" s="269"/>
      <c r="J201" s="270"/>
    </row>
    <row r="202" spans="2:10" hidden="1" x14ac:dyDescent="0.3">
      <c r="B202" s="17"/>
      <c r="C202" s="17"/>
      <c r="D202" s="269"/>
      <c r="E202" s="270"/>
      <c r="G202" s="17"/>
      <c r="H202" s="17"/>
      <c r="I202" s="269"/>
      <c r="J202" s="270"/>
    </row>
    <row r="203" spans="2:10" hidden="1" x14ac:dyDescent="0.3">
      <c r="B203" s="17"/>
      <c r="C203" s="17"/>
      <c r="D203" s="269"/>
      <c r="E203" s="270"/>
      <c r="G203" s="17"/>
      <c r="H203" s="17"/>
      <c r="I203" s="269"/>
      <c r="J203" s="270"/>
    </row>
    <row r="205" spans="2:10" x14ac:dyDescent="0.3">
      <c r="D205" s="271" t="s">
        <v>126</v>
      </c>
      <c r="E205" s="271"/>
      <c r="F205" s="271"/>
      <c r="G205" s="271"/>
      <c r="H205" s="271"/>
    </row>
    <row r="206" spans="2:10" ht="6" customHeight="1" x14ac:dyDescent="0.3">
      <c r="D206" s="53"/>
      <c r="E206" s="51"/>
    </row>
    <row r="207" spans="2:10" x14ac:dyDescent="0.3">
      <c r="D207" s="53"/>
      <c r="E207" s="159" t="s">
        <v>20</v>
      </c>
      <c r="F207" s="159" t="s">
        <v>21</v>
      </c>
      <c r="G207" s="159" t="s">
        <v>119</v>
      </c>
      <c r="H207" s="159" t="s">
        <v>111</v>
      </c>
    </row>
    <row r="208" spans="2:10" x14ac:dyDescent="0.3">
      <c r="D208" s="53"/>
      <c r="E208" s="17"/>
      <c r="F208" s="17"/>
      <c r="G208" s="17"/>
      <c r="H208" s="63">
        <f>IFERROR(LOOKUP(G208,$E$277:$E$297,$G$277:$G$297),0)</f>
        <v>0</v>
      </c>
    </row>
    <row r="209" spans="4:8" x14ac:dyDescent="0.3">
      <c r="D209" s="53"/>
      <c r="E209" s="17"/>
      <c r="F209" s="17"/>
      <c r="G209" s="17"/>
      <c r="H209" s="63">
        <f t="shared" ref="H209:H269" si="1">IFERROR(LOOKUP(G209,$E$277:$E$297,$G$277:$G$297),0)</f>
        <v>0</v>
      </c>
    </row>
    <row r="210" spans="4:8" x14ac:dyDescent="0.3">
      <c r="D210" s="53"/>
      <c r="E210" s="17"/>
      <c r="F210" s="17"/>
      <c r="G210" s="17"/>
      <c r="H210" s="63">
        <f t="shared" si="1"/>
        <v>0</v>
      </c>
    </row>
    <row r="211" spans="4:8" x14ac:dyDescent="0.3">
      <c r="D211" s="53"/>
      <c r="E211" s="17"/>
      <c r="F211" s="17"/>
      <c r="G211" s="17"/>
      <c r="H211" s="63">
        <f t="shared" si="1"/>
        <v>0</v>
      </c>
    </row>
    <row r="212" spans="4:8" x14ac:dyDescent="0.3">
      <c r="D212" s="53"/>
      <c r="E212" s="17"/>
      <c r="F212" s="17"/>
      <c r="G212" s="17"/>
      <c r="H212" s="63">
        <f t="shared" si="1"/>
        <v>0</v>
      </c>
    </row>
    <row r="213" spans="4:8" x14ac:dyDescent="0.3">
      <c r="D213" s="53"/>
      <c r="E213" s="17"/>
      <c r="F213" s="17"/>
      <c r="G213" s="17"/>
      <c r="H213" s="63">
        <f t="shared" si="1"/>
        <v>0</v>
      </c>
    </row>
    <row r="214" spans="4:8" x14ac:dyDescent="0.3">
      <c r="D214" s="53"/>
      <c r="E214" s="17"/>
      <c r="F214" s="17"/>
      <c r="G214" s="17"/>
      <c r="H214" s="63">
        <f t="shared" si="1"/>
        <v>0</v>
      </c>
    </row>
    <row r="215" spans="4:8" x14ac:dyDescent="0.3">
      <c r="D215" s="53"/>
      <c r="E215" s="17"/>
      <c r="F215" s="17"/>
      <c r="G215" s="17"/>
      <c r="H215" s="63">
        <f t="shared" si="1"/>
        <v>0</v>
      </c>
    </row>
    <row r="216" spans="4:8" x14ac:dyDescent="0.3">
      <c r="D216" s="53"/>
      <c r="E216" s="17"/>
      <c r="F216" s="17"/>
      <c r="G216" s="17"/>
      <c r="H216" s="63">
        <f t="shared" si="1"/>
        <v>0</v>
      </c>
    </row>
    <row r="217" spans="4:8" x14ac:dyDescent="0.3">
      <c r="D217" s="53"/>
      <c r="E217" s="17"/>
      <c r="F217" s="17"/>
      <c r="G217" s="17"/>
      <c r="H217" s="63">
        <f t="shared" si="1"/>
        <v>0</v>
      </c>
    </row>
    <row r="218" spans="4:8" x14ac:dyDescent="0.3">
      <c r="D218" s="53"/>
      <c r="E218" s="17"/>
      <c r="F218" s="17"/>
      <c r="G218" s="17"/>
      <c r="H218" s="63">
        <f t="shared" si="1"/>
        <v>0</v>
      </c>
    </row>
    <row r="219" spans="4:8" x14ac:dyDescent="0.3">
      <c r="D219" s="53"/>
      <c r="E219" s="17"/>
      <c r="F219" s="17"/>
      <c r="G219" s="17"/>
      <c r="H219" s="63">
        <f t="shared" si="1"/>
        <v>0</v>
      </c>
    </row>
    <row r="220" spans="4:8" x14ac:dyDescent="0.3">
      <c r="D220" s="53"/>
      <c r="E220" s="17"/>
      <c r="F220" s="17"/>
      <c r="G220" s="17"/>
      <c r="H220" s="63">
        <f t="shared" si="1"/>
        <v>0</v>
      </c>
    </row>
    <row r="221" spans="4:8" x14ac:dyDescent="0.3">
      <c r="D221" s="53"/>
      <c r="E221" s="17"/>
      <c r="F221" s="17"/>
      <c r="G221" s="17"/>
      <c r="H221" s="63">
        <f t="shared" si="1"/>
        <v>0</v>
      </c>
    </row>
    <row r="222" spans="4:8" x14ac:dyDescent="0.3">
      <c r="D222" s="53"/>
      <c r="E222" s="17"/>
      <c r="F222" s="17"/>
      <c r="G222" s="17"/>
      <c r="H222" s="63">
        <f t="shared" si="1"/>
        <v>0</v>
      </c>
    </row>
    <row r="223" spans="4:8" x14ac:dyDescent="0.3">
      <c r="D223" s="53"/>
      <c r="E223" s="17"/>
      <c r="F223" s="17"/>
      <c r="G223" s="17"/>
      <c r="H223" s="63">
        <f t="shared" si="1"/>
        <v>0</v>
      </c>
    </row>
    <row r="224" spans="4:8" x14ac:dyDescent="0.3">
      <c r="D224" s="53"/>
      <c r="E224" s="17"/>
      <c r="F224" s="17"/>
      <c r="G224" s="17"/>
      <c r="H224" s="63">
        <f t="shared" si="1"/>
        <v>0</v>
      </c>
    </row>
    <row r="225" spans="4:8" x14ac:dyDescent="0.3">
      <c r="D225" s="53"/>
      <c r="E225" s="17"/>
      <c r="F225" s="17"/>
      <c r="G225" s="17"/>
      <c r="H225" s="63">
        <f t="shared" si="1"/>
        <v>0</v>
      </c>
    </row>
    <row r="226" spans="4:8" x14ac:dyDescent="0.3">
      <c r="D226" s="53"/>
      <c r="E226" s="17"/>
      <c r="F226" s="17"/>
      <c r="G226" s="17"/>
      <c r="H226" s="63">
        <f t="shared" si="1"/>
        <v>0</v>
      </c>
    </row>
    <row r="227" spans="4:8" x14ac:dyDescent="0.3">
      <c r="D227" s="53"/>
      <c r="E227" s="17"/>
      <c r="F227" s="17"/>
      <c r="G227" s="17"/>
      <c r="H227" s="63">
        <f t="shared" si="1"/>
        <v>0</v>
      </c>
    </row>
    <row r="228" spans="4:8" x14ac:dyDescent="0.3">
      <c r="D228" s="53"/>
      <c r="E228" s="17"/>
      <c r="F228" s="17"/>
      <c r="G228" s="17"/>
      <c r="H228" s="63">
        <f t="shared" si="1"/>
        <v>0</v>
      </c>
    </row>
    <row r="229" spans="4:8" x14ac:dyDescent="0.3">
      <c r="D229" s="53"/>
      <c r="E229" s="17"/>
      <c r="F229" s="17"/>
      <c r="G229" s="17"/>
      <c r="H229" s="63">
        <f t="shared" si="1"/>
        <v>0</v>
      </c>
    </row>
    <row r="230" spans="4:8" x14ac:dyDescent="0.3">
      <c r="D230" s="53"/>
      <c r="E230" s="17"/>
      <c r="F230" s="17"/>
      <c r="G230" s="17"/>
      <c r="H230" s="63">
        <f t="shared" si="1"/>
        <v>0</v>
      </c>
    </row>
    <row r="231" spans="4:8" x14ac:dyDescent="0.3">
      <c r="D231" s="53"/>
      <c r="E231" s="17"/>
      <c r="F231" s="17"/>
      <c r="G231" s="17"/>
      <c r="H231" s="63">
        <f t="shared" si="1"/>
        <v>0</v>
      </c>
    </row>
    <row r="232" spans="4:8" x14ac:dyDescent="0.3">
      <c r="D232" s="53"/>
      <c r="E232" s="17"/>
      <c r="F232" s="17"/>
      <c r="G232" s="17"/>
      <c r="H232" s="63">
        <f t="shared" si="1"/>
        <v>0</v>
      </c>
    </row>
    <row r="233" spans="4:8" x14ac:dyDescent="0.3">
      <c r="D233" s="53"/>
      <c r="E233" s="17"/>
      <c r="F233" s="17"/>
      <c r="G233" s="17"/>
      <c r="H233" s="63">
        <f t="shared" si="1"/>
        <v>0</v>
      </c>
    </row>
    <row r="234" spans="4:8" x14ac:dyDescent="0.3">
      <c r="D234" s="53"/>
      <c r="E234" s="17"/>
      <c r="F234" s="17"/>
      <c r="G234" s="17"/>
      <c r="H234" s="63">
        <f t="shared" si="1"/>
        <v>0</v>
      </c>
    </row>
    <row r="235" spans="4:8" x14ac:dyDescent="0.3">
      <c r="D235" s="53"/>
      <c r="E235" s="17"/>
      <c r="F235" s="17"/>
      <c r="G235" s="17"/>
      <c r="H235" s="63">
        <f t="shared" si="1"/>
        <v>0</v>
      </c>
    </row>
    <row r="236" spans="4:8" x14ac:dyDescent="0.3">
      <c r="D236" s="53"/>
      <c r="E236" s="17"/>
      <c r="F236" s="17"/>
      <c r="G236" s="17"/>
      <c r="H236" s="63">
        <f t="shared" si="1"/>
        <v>0</v>
      </c>
    </row>
    <row r="237" spans="4:8" x14ac:dyDescent="0.3">
      <c r="D237" s="53"/>
      <c r="E237" s="17"/>
      <c r="F237" s="17"/>
      <c r="G237" s="17"/>
      <c r="H237" s="63">
        <f t="shared" si="1"/>
        <v>0</v>
      </c>
    </row>
    <row r="238" spans="4:8" hidden="1" x14ac:dyDescent="0.3">
      <c r="D238" s="53"/>
      <c r="E238" s="17"/>
      <c r="F238" s="17"/>
      <c r="G238" s="17"/>
      <c r="H238" s="63">
        <f t="shared" si="1"/>
        <v>0</v>
      </c>
    </row>
    <row r="239" spans="4:8" hidden="1" x14ac:dyDescent="0.3">
      <c r="D239" s="53"/>
      <c r="E239" s="17"/>
      <c r="F239" s="17"/>
      <c r="G239" s="17"/>
      <c r="H239" s="63">
        <f t="shared" si="1"/>
        <v>0</v>
      </c>
    </row>
    <row r="240" spans="4:8" hidden="1" x14ac:dyDescent="0.3">
      <c r="D240" s="53"/>
      <c r="E240" s="17"/>
      <c r="F240" s="17"/>
      <c r="G240" s="17"/>
      <c r="H240" s="63">
        <f t="shared" si="1"/>
        <v>0</v>
      </c>
    </row>
    <row r="241" spans="4:8" hidden="1" x14ac:dyDescent="0.3">
      <c r="D241" s="53"/>
      <c r="E241" s="17"/>
      <c r="F241" s="17"/>
      <c r="G241" s="17"/>
      <c r="H241" s="63">
        <f t="shared" si="1"/>
        <v>0</v>
      </c>
    </row>
    <row r="242" spans="4:8" hidden="1" x14ac:dyDescent="0.3">
      <c r="D242" s="53"/>
      <c r="E242" s="17"/>
      <c r="F242" s="17"/>
      <c r="G242" s="17"/>
      <c r="H242" s="63">
        <f t="shared" si="1"/>
        <v>0</v>
      </c>
    </row>
    <row r="243" spans="4:8" hidden="1" x14ac:dyDescent="0.3">
      <c r="D243" s="53"/>
      <c r="E243" s="17"/>
      <c r="F243" s="17"/>
      <c r="G243" s="17"/>
      <c r="H243" s="63">
        <f t="shared" si="1"/>
        <v>0</v>
      </c>
    </row>
    <row r="244" spans="4:8" hidden="1" x14ac:dyDescent="0.3">
      <c r="D244" s="53"/>
      <c r="E244" s="17"/>
      <c r="F244" s="17"/>
      <c r="G244" s="17"/>
      <c r="H244" s="63">
        <f t="shared" si="1"/>
        <v>0</v>
      </c>
    </row>
    <row r="245" spans="4:8" hidden="1" x14ac:dyDescent="0.3">
      <c r="D245" s="53"/>
      <c r="E245" s="17"/>
      <c r="F245" s="17"/>
      <c r="G245" s="17"/>
      <c r="H245" s="63">
        <f t="shared" si="1"/>
        <v>0</v>
      </c>
    </row>
    <row r="246" spans="4:8" hidden="1" x14ac:dyDescent="0.3">
      <c r="D246" s="53"/>
      <c r="E246" s="17"/>
      <c r="F246" s="17"/>
      <c r="G246" s="17"/>
      <c r="H246" s="63">
        <f t="shared" si="1"/>
        <v>0</v>
      </c>
    </row>
    <row r="247" spans="4:8" hidden="1" x14ac:dyDescent="0.3">
      <c r="D247" s="53"/>
      <c r="E247" s="17"/>
      <c r="F247" s="17"/>
      <c r="G247" s="17"/>
      <c r="H247" s="63">
        <f t="shared" si="1"/>
        <v>0</v>
      </c>
    </row>
    <row r="248" spans="4:8" hidden="1" x14ac:dyDescent="0.3">
      <c r="D248" s="53"/>
      <c r="E248" s="17"/>
      <c r="F248" s="17"/>
      <c r="G248" s="17"/>
      <c r="H248" s="63">
        <f t="shared" si="1"/>
        <v>0</v>
      </c>
    </row>
    <row r="249" spans="4:8" hidden="1" x14ac:dyDescent="0.3">
      <c r="D249" s="53"/>
      <c r="E249" s="17"/>
      <c r="F249" s="17"/>
      <c r="G249" s="17"/>
      <c r="H249" s="63">
        <f t="shared" si="1"/>
        <v>0</v>
      </c>
    </row>
    <row r="250" spans="4:8" hidden="1" x14ac:dyDescent="0.3">
      <c r="D250" s="53"/>
      <c r="E250" s="17"/>
      <c r="F250" s="17"/>
      <c r="G250" s="17"/>
      <c r="H250" s="63">
        <f t="shared" si="1"/>
        <v>0</v>
      </c>
    </row>
    <row r="251" spans="4:8" hidden="1" x14ac:dyDescent="0.3">
      <c r="D251" s="53"/>
      <c r="E251" s="17"/>
      <c r="F251" s="17"/>
      <c r="G251" s="17"/>
      <c r="H251" s="63">
        <f t="shared" si="1"/>
        <v>0</v>
      </c>
    </row>
    <row r="252" spans="4:8" hidden="1" x14ac:dyDescent="0.3">
      <c r="D252" s="53"/>
      <c r="E252" s="17"/>
      <c r="F252" s="17"/>
      <c r="G252" s="17"/>
      <c r="H252" s="63">
        <f t="shared" si="1"/>
        <v>0</v>
      </c>
    </row>
    <row r="253" spans="4:8" hidden="1" x14ac:dyDescent="0.3">
      <c r="D253" s="53"/>
      <c r="E253" s="17"/>
      <c r="F253" s="17"/>
      <c r="G253" s="17"/>
      <c r="H253" s="63">
        <f t="shared" si="1"/>
        <v>0</v>
      </c>
    </row>
    <row r="254" spans="4:8" hidden="1" x14ac:dyDescent="0.3">
      <c r="D254" s="53"/>
      <c r="E254" s="17"/>
      <c r="F254" s="17"/>
      <c r="G254" s="17"/>
      <c r="H254" s="63">
        <f t="shared" si="1"/>
        <v>0</v>
      </c>
    </row>
    <row r="255" spans="4:8" hidden="1" x14ac:dyDescent="0.3">
      <c r="D255" s="53"/>
      <c r="E255" s="17"/>
      <c r="F255" s="17"/>
      <c r="G255" s="17"/>
      <c r="H255" s="63">
        <f t="shared" si="1"/>
        <v>0</v>
      </c>
    </row>
    <row r="256" spans="4:8" hidden="1" x14ac:dyDescent="0.3">
      <c r="D256" s="53"/>
      <c r="E256" s="17"/>
      <c r="F256" s="17"/>
      <c r="G256" s="17"/>
      <c r="H256" s="63">
        <f t="shared" si="1"/>
        <v>0</v>
      </c>
    </row>
    <row r="257" spans="3:10" hidden="1" x14ac:dyDescent="0.3">
      <c r="D257" s="53"/>
      <c r="E257" s="17"/>
      <c r="F257" s="17"/>
      <c r="G257" s="17"/>
      <c r="H257" s="63">
        <f t="shared" si="1"/>
        <v>0</v>
      </c>
    </row>
    <row r="258" spans="3:10" hidden="1" x14ac:dyDescent="0.3">
      <c r="D258" s="53"/>
      <c r="E258" s="17"/>
      <c r="F258" s="17"/>
      <c r="G258" s="17"/>
      <c r="H258" s="63">
        <f t="shared" si="1"/>
        <v>0</v>
      </c>
    </row>
    <row r="259" spans="3:10" hidden="1" x14ac:dyDescent="0.3">
      <c r="D259" s="53"/>
      <c r="E259" s="17"/>
      <c r="F259" s="17"/>
      <c r="G259" s="17"/>
      <c r="H259" s="63">
        <f t="shared" si="1"/>
        <v>0</v>
      </c>
    </row>
    <row r="260" spans="3:10" hidden="1" x14ac:dyDescent="0.3">
      <c r="D260" s="53"/>
      <c r="E260" s="38"/>
      <c r="F260" s="39"/>
      <c r="G260" s="39"/>
      <c r="H260" s="63">
        <f t="shared" si="1"/>
        <v>0</v>
      </c>
    </row>
    <row r="261" spans="3:10" hidden="1" x14ac:dyDescent="0.3">
      <c r="D261" s="53"/>
      <c r="E261" s="38"/>
      <c r="F261" s="39"/>
      <c r="G261" s="39"/>
      <c r="H261" s="63">
        <f t="shared" si="1"/>
        <v>0</v>
      </c>
    </row>
    <row r="262" spans="3:10" hidden="1" x14ac:dyDescent="0.3">
      <c r="E262" s="38"/>
      <c r="F262" s="39"/>
      <c r="G262" s="39"/>
      <c r="H262" s="63">
        <f t="shared" si="1"/>
        <v>0</v>
      </c>
    </row>
    <row r="263" spans="3:10" hidden="1" x14ac:dyDescent="0.3">
      <c r="E263" s="38"/>
      <c r="F263" s="39"/>
      <c r="G263" s="39"/>
      <c r="H263" s="63">
        <f t="shared" si="1"/>
        <v>0</v>
      </c>
    </row>
    <row r="264" spans="3:10" hidden="1" x14ac:dyDescent="0.3">
      <c r="E264" s="38"/>
      <c r="F264" s="39"/>
      <c r="G264" s="39"/>
      <c r="H264" s="63">
        <f t="shared" si="1"/>
        <v>0</v>
      </c>
    </row>
    <row r="265" spans="3:10" hidden="1" x14ac:dyDescent="0.3">
      <c r="E265" s="38"/>
      <c r="F265" s="39"/>
      <c r="G265" s="39"/>
      <c r="H265" s="63">
        <f t="shared" si="1"/>
        <v>0</v>
      </c>
    </row>
    <row r="266" spans="3:10" hidden="1" x14ac:dyDescent="0.3">
      <c r="E266" s="38"/>
      <c r="F266" s="39"/>
      <c r="G266" s="39"/>
      <c r="H266" s="63">
        <f t="shared" si="1"/>
        <v>0</v>
      </c>
    </row>
    <row r="267" spans="3:10" hidden="1" x14ac:dyDescent="0.3">
      <c r="E267" s="38"/>
      <c r="F267" s="39"/>
      <c r="G267" s="39"/>
      <c r="H267" s="63">
        <f t="shared" si="1"/>
        <v>0</v>
      </c>
    </row>
    <row r="268" spans="3:10" hidden="1" x14ac:dyDescent="0.3">
      <c r="E268" s="38"/>
      <c r="F268" s="39"/>
      <c r="G268" s="39"/>
      <c r="H268" s="63">
        <f t="shared" si="1"/>
        <v>0</v>
      </c>
    </row>
    <row r="269" spans="3:10" hidden="1" x14ac:dyDescent="0.3">
      <c r="E269" s="38"/>
      <c r="F269" s="39"/>
      <c r="G269" s="39"/>
      <c r="H269" s="63">
        <f t="shared" si="1"/>
        <v>0</v>
      </c>
    </row>
    <row r="271" spans="3:10" x14ac:dyDescent="0.3">
      <c r="C271" s="297" t="s">
        <v>120</v>
      </c>
      <c r="D271" s="297"/>
      <c r="E271" s="297"/>
      <c r="F271" s="297"/>
      <c r="G271" s="297"/>
      <c r="H271" s="297"/>
      <c r="I271" s="297"/>
      <c r="J271" s="297"/>
    </row>
    <row r="273" spans="2:9" hidden="1" x14ac:dyDescent="0.3">
      <c r="B273" s="68" t="s">
        <v>113</v>
      </c>
      <c r="C273" s="69">
        <v>10.5</v>
      </c>
      <c r="E273" s="70" t="s">
        <v>116</v>
      </c>
      <c r="F273" s="36" t="s">
        <v>117</v>
      </c>
      <c r="H273" s="71" t="s">
        <v>115</v>
      </c>
      <c r="I273" s="37"/>
    </row>
    <row r="276" spans="2:9" ht="30" x14ac:dyDescent="0.3">
      <c r="E276" s="160" t="s">
        <v>114</v>
      </c>
      <c r="F276" s="161" t="s">
        <v>124</v>
      </c>
      <c r="G276" s="162" t="s">
        <v>125</v>
      </c>
    </row>
    <row r="277" spans="2:9" x14ac:dyDescent="0.3">
      <c r="E277" s="163">
        <v>90000</v>
      </c>
      <c r="F277" s="164">
        <v>486.00000000000006</v>
      </c>
      <c r="G277" s="40"/>
    </row>
    <row r="278" spans="2:9" x14ac:dyDescent="0.3">
      <c r="E278" s="163">
        <v>95000</v>
      </c>
      <c r="F278" s="164">
        <v>680.4</v>
      </c>
      <c r="G278" s="40"/>
    </row>
    <row r="279" spans="2:9" x14ac:dyDescent="0.3">
      <c r="E279" s="163">
        <v>100000</v>
      </c>
      <c r="F279" s="164">
        <v>891</v>
      </c>
      <c r="G279" s="40"/>
    </row>
    <row r="280" spans="2:9" x14ac:dyDescent="0.3">
      <c r="E280" s="163">
        <v>105000</v>
      </c>
      <c r="F280" s="164">
        <v>1117.8000000000002</v>
      </c>
      <c r="G280" s="40"/>
    </row>
    <row r="281" spans="2:9" x14ac:dyDescent="0.3">
      <c r="E281" s="163">
        <v>110000</v>
      </c>
      <c r="F281" s="164">
        <v>1360.8000000000002</v>
      </c>
      <c r="G281" s="40"/>
    </row>
    <row r="282" spans="2:9" x14ac:dyDescent="0.3">
      <c r="E282" s="163">
        <v>115000</v>
      </c>
      <c r="F282" s="164">
        <v>1620</v>
      </c>
      <c r="G282" s="40"/>
    </row>
    <row r="283" spans="2:9" x14ac:dyDescent="0.3">
      <c r="E283" s="163">
        <v>120000</v>
      </c>
      <c r="F283" s="164">
        <v>1895.3999999999999</v>
      </c>
      <c r="G283" s="40"/>
    </row>
    <row r="284" spans="2:9" x14ac:dyDescent="0.3">
      <c r="E284" s="163">
        <v>125000</v>
      </c>
      <c r="F284" s="164">
        <v>2187</v>
      </c>
      <c r="G284" s="40"/>
    </row>
    <row r="285" spans="2:9" x14ac:dyDescent="0.3">
      <c r="E285" s="163">
        <v>130000</v>
      </c>
      <c r="F285" s="164">
        <v>2494.7999999999997</v>
      </c>
      <c r="G285" s="40"/>
    </row>
    <row r="286" spans="2:9" x14ac:dyDescent="0.3">
      <c r="E286" s="163">
        <v>135000</v>
      </c>
      <c r="F286" s="164">
        <v>2818.7999999999997</v>
      </c>
      <c r="G286" s="40"/>
    </row>
    <row r="287" spans="2:9" x14ac:dyDescent="0.3">
      <c r="E287" s="163">
        <v>140000</v>
      </c>
      <c r="F287" s="164">
        <v>3158.9999999999995</v>
      </c>
      <c r="G287" s="40"/>
    </row>
    <row r="288" spans="2:9" x14ac:dyDescent="0.3">
      <c r="E288" s="163">
        <v>145000</v>
      </c>
      <c r="F288" s="164">
        <v>3515.3999999999996</v>
      </c>
      <c r="G288" s="40"/>
    </row>
    <row r="289" spans="5:7" x14ac:dyDescent="0.3">
      <c r="E289" s="163">
        <v>150000</v>
      </c>
      <c r="F289" s="164">
        <v>3888</v>
      </c>
      <c r="G289" s="40"/>
    </row>
    <row r="290" spans="5:7" x14ac:dyDescent="0.3">
      <c r="E290" s="163">
        <v>155000</v>
      </c>
      <c r="F290" s="164">
        <v>4276.8</v>
      </c>
      <c r="G290" s="40"/>
    </row>
    <row r="291" spans="5:7" x14ac:dyDescent="0.3">
      <c r="E291" s="163">
        <v>160000</v>
      </c>
      <c r="F291" s="164">
        <v>4681.8</v>
      </c>
      <c r="G291" s="40"/>
    </row>
    <row r="292" spans="5:7" x14ac:dyDescent="0.3">
      <c r="E292" s="163">
        <v>165000</v>
      </c>
      <c r="F292" s="164">
        <v>5103.0000000000009</v>
      </c>
      <c r="G292" s="40"/>
    </row>
    <row r="293" spans="5:7" x14ac:dyDescent="0.3">
      <c r="E293" s="163">
        <v>170000</v>
      </c>
      <c r="F293" s="164">
        <v>5540.4000000000015</v>
      </c>
      <c r="G293" s="40"/>
    </row>
    <row r="294" spans="5:7" x14ac:dyDescent="0.3">
      <c r="E294" s="163">
        <v>175000</v>
      </c>
      <c r="F294" s="164">
        <v>5994.0000000000018</v>
      </c>
      <c r="G294" s="40"/>
    </row>
    <row r="295" spans="5:7" x14ac:dyDescent="0.3">
      <c r="E295" s="163">
        <v>180000</v>
      </c>
      <c r="F295" s="164">
        <v>6463.800000000002</v>
      </c>
      <c r="G295" s="40"/>
    </row>
    <row r="296" spans="5:7" x14ac:dyDescent="0.3">
      <c r="E296" s="163">
        <v>185000</v>
      </c>
      <c r="F296" s="164">
        <v>6318.0000000000018</v>
      </c>
      <c r="G296" s="40"/>
    </row>
    <row r="297" spans="5:7" x14ac:dyDescent="0.3">
      <c r="E297" s="163">
        <v>190000</v>
      </c>
      <c r="F297" s="164">
        <v>6480.0000000000018</v>
      </c>
      <c r="G297" s="40"/>
    </row>
    <row r="298" spans="5:7" x14ac:dyDescent="0.3">
      <c r="E298" s="163">
        <v>195000</v>
      </c>
      <c r="F298" s="164">
        <v>6642.0000000000009</v>
      </c>
      <c r="G298" s="40"/>
    </row>
    <row r="299" spans="5:7" x14ac:dyDescent="0.3">
      <c r="E299" s="163">
        <v>200000</v>
      </c>
      <c r="F299" s="164">
        <v>6804.0000000000009</v>
      </c>
      <c r="G299" s="40"/>
    </row>
    <row r="300" spans="5:7" x14ac:dyDescent="0.3">
      <c r="E300" s="163">
        <v>205000</v>
      </c>
      <c r="F300" s="164">
        <v>6966.0000000000009</v>
      </c>
      <c r="G300" s="40"/>
    </row>
    <row r="301" spans="5:7" x14ac:dyDescent="0.3">
      <c r="E301" s="163">
        <v>210000</v>
      </c>
      <c r="F301" s="164">
        <v>7128.0000000000018</v>
      </c>
      <c r="G301" s="40"/>
    </row>
    <row r="302" spans="5:7" x14ac:dyDescent="0.3">
      <c r="E302" s="163">
        <v>215000</v>
      </c>
      <c r="F302" s="164">
        <v>7290.0000000000018</v>
      </c>
      <c r="G302" s="40"/>
    </row>
    <row r="303" spans="5:7" x14ac:dyDescent="0.3">
      <c r="E303" s="163">
        <v>220000</v>
      </c>
      <c r="F303" s="164">
        <v>7452.0000000000018</v>
      </c>
      <c r="G303" s="40"/>
    </row>
    <row r="304" spans="5:7" x14ac:dyDescent="0.3">
      <c r="E304" s="163">
        <v>225000</v>
      </c>
      <c r="F304" s="164">
        <v>7614.0000000000018</v>
      </c>
      <c r="G304" s="40"/>
    </row>
    <row r="305" spans="5:7" x14ac:dyDescent="0.3">
      <c r="E305" s="163">
        <v>230000</v>
      </c>
      <c r="F305" s="164">
        <v>7776.0000000000018</v>
      </c>
      <c r="G305" s="40"/>
    </row>
    <row r="306" spans="5:7" x14ac:dyDescent="0.3">
      <c r="E306" s="163">
        <v>235000</v>
      </c>
      <c r="F306" s="164">
        <v>7938.0000000000018</v>
      </c>
      <c r="G306" s="40"/>
    </row>
    <row r="307" spans="5:7" x14ac:dyDescent="0.3">
      <c r="E307" s="163">
        <v>240000</v>
      </c>
      <c r="F307" s="164">
        <v>8100.0000000000018</v>
      </c>
      <c r="G307" s="40"/>
    </row>
    <row r="308" spans="5:7" x14ac:dyDescent="0.3">
      <c r="E308" s="163">
        <v>245000</v>
      </c>
      <c r="F308" s="164">
        <v>8262.0000000000018</v>
      </c>
      <c r="G308" s="40"/>
    </row>
    <row r="309" spans="5:7" x14ac:dyDescent="0.3">
      <c r="E309" s="163">
        <v>250000</v>
      </c>
      <c r="F309" s="164">
        <v>8424.0000000000018</v>
      </c>
      <c r="G309" s="40"/>
    </row>
    <row r="310" spans="5:7" x14ac:dyDescent="0.3">
      <c r="E310" s="163">
        <v>255000</v>
      </c>
      <c r="F310" s="164">
        <v>8586.0000000000018</v>
      </c>
      <c r="G310" s="40"/>
    </row>
    <row r="311" spans="5:7" x14ac:dyDescent="0.3">
      <c r="E311" s="163">
        <v>260000</v>
      </c>
      <c r="F311" s="164">
        <v>8748.0000000000018</v>
      </c>
      <c r="G311" s="40"/>
    </row>
    <row r="312" spans="5:7" x14ac:dyDescent="0.3">
      <c r="E312" s="163">
        <v>265000</v>
      </c>
      <c r="F312" s="164">
        <v>8910.0000000000018</v>
      </c>
      <c r="G312" s="40"/>
    </row>
    <row r="313" spans="5:7" x14ac:dyDescent="0.3">
      <c r="E313" s="163">
        <v>270000</v>
      </c>
      <c r="F313" s="164">
        <v>9072.0000000000018</v>
      </c>
      <c r="G313" s="40"/>
    </row>
    <row r="314" spans="5:7" x14ac:dyDescent="0.3">
      <c r="E314" s="163">
        <v>275000</v>
      </c>
      <c r="F314" s="164">
        <v>9234.0000000000018</v>
      </c>
      <c r="G314" s="40"/>
    </row>
    <row r="315" spans="5:7" x14ac:dyDescent="0.3">
      <c r="E315" s="163">
        <v>280000</v>
      </c>
      <c r="F315" s="164">
        <v>9396.0000000000018</v>
      </c>
      <c r="G315" s="40"/>
    </row>
    <row r="316" spans="5:7" x14ac:dyDescent="0.3">
      <c r="E316" s="163">
        <v>285000</v>
      </c>
      <c r="F316" s="164">
        <v>9558.0000000000018</v>
      </c>
      <c r="G316" s="40"/>
    </row>
    <row r="317" spans="5:7" x14ac:dyDescent="0.3">
      <c r="E317" s="163">
        <v>290000</v>
      </c>
      <c r="F317" s="164">
        <v>9720.0000000000018</v>
      </c>
      <c r="G317" s="40"/>
    </row>
    <row r="318" spans="5:7" x14ac:dyDescent="0.3">
      <c r="E318" s="163">
        <v>295000</v>
      </c>
      <c r="F318" s="164">
        <v>9882.0000000000018</v>
      </c>
      <c r="G318" s="40"/>
    </row>
    <row r="319" spans="5:7" x14ac:dyDescent="0.3">
      <c r="E319" s="163">
        <v>300000</v>
      </c>
      <c r="F319" s="164">
        <v>10044.000000000002</v>
      </c>
      <c r="G319" s="40"/>
    </row>
    <row r="320" spans="5:7" x14ac:dyDescent="0.3">
      <c r="E320" s="163">
        <v>305000</v>
      </c>
      <c r="F320" s="164">
        <v>10206.000000000002</v>
      </c>
      <c r="G320" s="40"/>
    </row>
    <row r="321" spans="5:7" x14ac:dyDescent="0.3">
      <c r="E321" s="163">
        <v>310000</v>
      </c>
      <c r="F321" s="164">
        <v>10368.000000000002</v>
      </c>
      <c r="G321" s="40"/>
    </row>
    <row r="322" spans="5:7" x14ac:dyDescent="0.3">
      <c r="E322" s="163">
        <v>315000</v>
      </c>
      <c r="F322" s="164">
        <v>10530.000000000002</v>
      </c>
      <c r="G322" s="40"/>
    </row>
    <row r="323" spans="5:7" x14ac:dyDescent="0.3">
      <c r="E323" s="163">
        <v>320000</v>
      </c>
      <c r="F323" s="164">
        <v>10692.000000000002</v>
      </c>
      <c r="G323" s="40"/>
    </row>
    <row r="324" spans="5:7" x14ac:dyDescent="0.3">
      <c r="E324" s="163">
        <v>325000</v>
      </c>
      <c r="F324" s="164">
        <v>10854.000000000002</v>
      </c>
      <c r="G324" s="40"/>
    </row>
    <row r="325" spans="5:7" x14ac:dyDescent="0.3">
      <c r="E325" s="163">
        <v>330000</v>
      </c>
      <c r="F325" s="164">
        <v>11016.000000000002</v>
      </c>
      <c r="G325" s="40"/>
    </row>
    <row r="326" spans="5:7" x14ac:dyDescent="0.3">
      <c r="E326" s="163">
        <v>335000</v>
      </c>
      <c r="F326" s="164">
        <v>11178.000000000004</v>
      </c>
      <c r="G326" s="40"/>
    </row>
    <row r="327" spans="5:7" x14ac:dyDescent="0.3">
      <c r="E327" s="163">
        <v>340000</v>
      </c>
      <c r="F327" s="164">
        <v>11340.000000000004</v>
      </c>
      <c r="G327" s="40"/>
    </row>
    <row r="328" spans="5:7" x14ac:dyDescent="0.3">
      <c r="E328" s="163">
        <v>345000</v>
      </c>
      <c r="F328" s="164">
        <v>11502.000000000004</v>
      </c>
      <c r="G328" s="40"/>
    </row>
    <row r="329" spans="5:7" x14ac:dyDescent="0.3">
      <c r="E329" s="76"/>
      <c r="F329" s="77"/>
      <c r="G329" s="40"/>
    </row>
    <row r="330" spans="5:7" x14ac:dyDescent="0.3">
      <c r="E330" s="76"/>
      <c r="F330" s="77"/>
      <c r="G330" s="40"/>
    </row>
    <row r="331" spans="5:7" x14ac:dyDescent="0.3">
      <c r="E331" s="76"/>
      <c r="F331" s="77"/>
      <c r="G331" s="40"/>
    </row>
    <row r="332" spans="5:7" x14ac:dyDescent="0.3">
      <c r="E332" s="76"/>
      <c r="F332" s="77"/>
      <c r="G332" s="40"/>
    </row>
    <row r="333" spans="5:7" x14ac:dyDescent="0.3">
      <c r="E333" s="76"/>
      <c r="F333" s="77"/>
      <c r="G333" s="40"/>
    </row>
    <row r="334" spans="5:7" x14ac:dyDescent="0.3">
      <c r="E334" s="76"/>
      <c r="F334" s="77"/>
      <c r="G334" s="40"/>
    </row>
    <row r="335" spans="5:7" x14ac:dyDescent="0.3">
      <c r="E335" s="76"/>
      <c r="F335" s="77"/>
      <c r="G335" s="40"/>
    </row>
    <row r="336" spans="5:7" x14ac:dyDescent="0.3">
      <c r="E336" s="76"/>
      <c r="F336" s="77"/>
      <c r="G336" s="40"/>
    </row>
    <row r="337" spans="5:7" x14ac:dyDescent="0.3">
      <c r="E337" s="76"/>
      <c r="F337" s="77"/>
      <c r="G337" s="40"/>
    </row>
    <row r="338" spans="5:7" x14ac:dyDescent="0.3">
      <c r="E338" s="76"/>
      <c r="F338" s="77"/>
      <c r="G338" s="40"/>
    </row>
    <row r="339" spans="5:7" x14ac:dyDescent="0.3">
      <c r="E339" s="76"/>
      <c r="F339" s="77"/>
      <c r="G339" s="40"/>
    </row>
    <row r="340" spans="5:7" x14ac:dyDescent="0.3">
      <c r="E340" s="76"/>
      <c r="F340" s="77"/>
      <c r="G340" s="40"/>
    </row>
    <row r="341" spans="5:7" x14ac:dyDescent="0.3">
      <c r="E341" s="76"/>
      <c r="F341" s="77"/>
      <c r="G341" s="40"/>
    </row>
  </sheetData>
  <sheetProtection formatCells="0" formatColumns="0" formatRows="0" autoFilter="0" pivotTables="0"/>
  <mergeCells count="304">
    <mergeCell ref="E71:J71"/>
    <mergeCell ref="D205:H205"/>
    <mergeCell ref="I129:J129"/>
    <mergeCell ref="I130:J130"/>
    <mergeCell ref="I131:J131"/>
    <mergeCell ref="D76:E76"/>
    <mergeCell ref="D127:E127"/>
    <mergeCell ref="D128:E128"/>
    <mergeCell ref="D129:E129"/>
    <mergeCell ref="D130:E130"/>
    <mergeCell ref="D131:E131"/>
    <mergeCell ref="D132:E132"/>
    <mergeCell ref="D133:E133"/>
    <mergeCell ref="B73:E73"/>
    <mergeCell ref="B139:E139"/>
    <mergeCell ref="D134:E134"/>
    <mergeCell ref="D135:E135"/>
    <mergeCell ref="D136:E136"/>
    <mergeCell ref="D137:E137"/>
    <mergeCell ref="D142:E142"/>
    <mergeCell ref="D193:E193"/>
    <mergeCell ref="D194:E1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C271:J271"/>
    <mergeCell ref="I202:J202"/>
    <mergeCell ref="I203:J203"/>
    <mergeCell ref="D195:E195"/>
    <mergeCell ref="D196:E196"/>
    <mergeCell ref="D197:E197"/>
    <mergeCell ref="I194:J194"/>
    <mergeCell ref="I198:J198"/>
    <mergeCell ref="I199:J199"/>
    <mergeCell ref="I200:J200"/>
    <mergeCell ref="I201:J201"/>
    <mergeCell ref="D203:E203"/>
    <mergeCell ref="I195:J195"/>
    <mergeCell ref="I196:J196"/>
    <mergeCell ref="I197:J197"/>
    <mergeCell ref="D198:E198"/>
    <mergeCell ref="D199:E199"/>
    <mergeCell ref="D200:E200"/>
    <mergeCell ref="D201:E201"/>
    <mergeCell ref="D202:E202"/>
    <mergeCell ref="G73:J73"/>
    <mergeCell ref="I75:J75"/>
    <mergeCell ref="I76:J76"/>
    <mergeCell ref="I127:J127"/>
    <mergeCell ref="I193:J193"/>
    <mergeCell ref="G69:H69"/>
    <mergeCell ref="E65:F65"/>
    <mergeCell ref="G65:H65"/>
    <mergeCell ref="E63:H63"/>
    <mergeCell ref="G66:H66"/>
    <mergeCell ref="G67:H67"/>
    <mergeCell ref="G68:H68"/>
    <mergeCell ref="E66:F66"/>
    <mergeCell ref="E67:F67"/>
    <mergeCell ref="E68:F68"/>
    <mergeCell ref="E69:F69"/>
    <mergeCell ref="I136:J136"/>
    <mergeCell ref="I137:J137"/>
    <mergeCell ref="G139:J139"/>
    <mergeCell ref="I141:J141"/>
    <mergeCell ref="I142:J142"/>
    <mergeCell ref="I128:J128"/>
    <mergeCell ref="I132:J132"/>
    <mergeCell ref="I133:J133"/>
    <mergeCell ref="C1:D1"/>
    <mergeCell ref="B6:B11"/>
    <mergeCell ref="C6:C8"/>
    <mergeCell ref="D6:D8"/>
    <mergeCell ref="E6:J6"/>
    <mergeCell ref="E7:G7"/>
    <mergeCell ref="H7:I7"/>
    <mergeCell ref="B13:B18"/>
    <mergeCell ref="C13:C15"/>
    <mergeCell ref="D13:D15"/>
    <mergeCell ref="E13:J13"/>
    <mergeCell ref="E14:G14"/>
    <mergeCell ref="H14:I14"/>
    <mergeCell ref="B20:B25"/>
    <mergeCell ref="C20:C22"/>
    <mergeCell ref="D20:D22"/>
    <mergeCell ref="E20:J20"/>
    <mergeCell ref="E21:G21"/>
    <mergeCell ref="H21:I21"/>
    <mergeCell ref="B27:B32"/>
    <mergeCell ref="C27:C29"/>
    <mergeCell ref="D27:D29"/>
    <mergeCell ref="E27:J27"/>
    <mergeCell ref="E28:G28"/>
    <mergeCell ref="H28:I28"/>
    <mergeCell ref="E52:J52"/>
    <mergeCell ref="C43:J43"/>
    <mergeCell ref="B34:B39"/>
    <mergeCell ref="C34:C36"/>
    <mergeCell ref="D34:D36"/>
    <mergeCell ref="E34:J34"/>
    <mergeCell ref="E35:G35"/>
    <mergeCell ref="H35:I35"/>
    <mergeCell ref="C45:D45"/>
    <mergeCell ref="C46:D46"/>
    <mergeCell ref="C47:D47"/>
    <mergeCell ref="C48:D48"/>
    <mergeCell ref="C49:D4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D143:E143"/>
    <mergeCell ref="D144:E144"/>
    <mergeCell ref="I134:J134"/>
    <mergeCell ref="I135:J135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</mergeCells>
  <conditionalFormatting sqref="C1 C2:D2">
    <cfRule type="containsBlanks" dxfId="17" priority="24" stopIfTrue="1">
      <formula>LEN(TRIM(C1))=0</formula>
    </cfRule>
  </conditionalFormatting>
  <conditionalFormatting sqref="A73:A137 B74:E74 K73:XFD137 G75:I75 G73:J74 F73:F137 B73 A364:XFD1048576 A204:XFD204 A270:XFD275 H206:XFD206 I205:XFD205 A205:C261 E260:G261 A262:G269 I207:XFD269 G132:J137 G129:I131 B75:D137 G76:J128 E342:XFD363 A276:D363 H276:XFD341 E277:F341 A1:XFD72">
    <cfRule type="containsBlanks" dxfId="16" priority="25">
      <formula>LEN(TRIM(A1))=0</formula>
    </cfRule>
  </conditionalFormatting>
  <conditionalFormatting sqref="B1:B2">
    <cfRule type="containsText" dxfId="15" priority="22" operator="containsText" text="EG">
      <formula>NOT(ISERROR(SEARCH("EG",B1)))</formula>
    </cfRule>
  </conditionalFormatting>
  <conditionalFormatting sqref="A64:B65 E64:H64 K63:XFD69 E65 G65:G69">
    <cfRule type="containsBlanks" dxfId="14" priority="21">
      <formula>LEN(TRIM(A63))=0</formula>
    </cfRule>
  </conditionalFormatting>
  <conditionalFormatting sqref="D76:D137">
    <cfRule type="containsBlanks" dxfId="13" priority="20">
      <formula>LEN(TRIM(D76))=0</formula>
    </cfRule>
  </conditionalFormatting>
  <conditionalFormatting sqref="D142:D203">
    <cfRule type="containsBlanks" dxfId="12" priority="16">
      <formula>LEN(TRIM(D142))=0</formula>
    </cfRule>
  </conditionalFormatting>
  <conditionalFormatting sqref="I76:I137">
    <cfRule type="containsBlanks" dxfId="11" priority="18">
      <formula>LEN(TRIM(I76))=0</formula>
    </cfRule>
  </conditionalFormatting>
  <conditionalFormatting sqref="A138:XFD138 A139:A203 B140:E140 K139:XFD203 G141:I141 G139:J140 F139:F203 B139 G198:J203 G195:I197 B141:D203 G142:J194">
    <cfRule type="containsBlanks" dxfId="10" priority="17">
      <formula>LEN(TRIM(A138))=0</formula>
    </cfRule>
  </conditionalFormatting>
  <conditionalFormatting sqref="I142:I203">
    <cfRule type="containsBlanks" dxfId="9" priority="15">
      <formula>LEN(TRIM(I142))=0</formula>
    </cfRule>
  </conditionalFormatting>
  <conditionalFormatting sqref="F276">
    <cfRule type="containsBlanks" dxfId="8" priority="12">
      <formula>LEN(TRIM(F276))=0</formula>
    </cfRule>
  </conditionalFormatting>
  <conditionalFormatting sqref="F208:F259">
    <cfRule type="containsBlanks" dxfId="7" priority="9">
      <formula>LEN(TRIM(F208))=0</formula>
    </cfRule>
  </conditionalFormatting>
  <conditionalFormatting sqref="E207:F207 D206:G206 E208:G259 D205 D207:D261">
    <cfRule type="containsBlanks" dxfId="6" priority="10">
      <formula>LEN(TRIM(D205))=0</formula>
    </cfRule>
  </conditionalFormatting>
  <conditionalFormatting sqref="H208:H269">
    <cfRule type="containsBlanks" dxfId="5" priority="7">
      <formula>LEN(TRIM(H208))=0</formula>
    </cfRule>
  </conditionalFormatting>
  <conditionalFormatting sqref="C273 F273 I273">
    <cfRule type="containsBlanks" dxfId="4" priority="5">
      <formula>LEN(TRIM(C273))=0</formula>
    </cfRule>
  </conditionalFormatting>
  <conditionalFormatting sqref="F273">
    <cfRule type="containsText" dxfId="3" priority="4" operator="containsText" text="A RENSEIGNER">
      <formula>NOT(ISERROR(SEARCH("A RENSEIGNER",F273)))</formula>
    </cfRule>
  </conditionalFormatting>
  <conditionalFormatting sqref="E276">
    <cfRule type="containsBlanks" dxfId="2" priority="3">
      <formula>LEN(TRIM(E276))=0</formula>
    </cfRule>
  </conditionalFormatting>
  <conditionalFormatting sqref="G277:G341">
    <cfRule type="containsBlanks" dxfId="1" priority="2">
      <formula>LEN(TRIM(G277))=0</formula>
    </cfRule>
  </conditionalFormatting>
  <conditionalFormatting sqref="G276">
    <cfRule type="containsBlanks" dxfId="0" priority="1">
      <formula>LEN(TRIM(G276))=0</formula>
    </cfRule>
  </conditionalFormatting>
  <dataValidations disablePrompts="1" count="3">
    <dataValidation type="list" allowBlank="1" showInputMessage="1" showErrorMessage="1" sqref="D2:D3 B6:B11 B13:B18 B20:B25 B27:B32 B34:B39">
      <formula1>Typologie</formula1>
    </dataValidation>
    <dataValidation type="list" allowBlank="1" showInputMessage="1" showErrorMessage="1" sqref="D9:D11 D16:D18 D23:D25 D30:D32 D37:D39">
      <formula1>"960,1200,1440"</formula1>
    </dataValidation>
    <dataValidation type="list" allowBlank="1" showInputMessage="1" showErrorMessage="1" sqref="F273">
      <formula1>"RDV,VENTES,A RENSEIGNER"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Variable</vt:lpstr>
      <vt:lpstr>OBJECTIFS</vt:lpstr>
      <vt:lpstr>Matrice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mghardachi</dc:creator>
  <cp:lastModifiedBy>Fatim Zahra FATIH</cp:lastModifiedBy>
  <cp:lastPrinted>2017-07-12T11:26:56Z</cp:lastPrinted>
  <dcterms:created xsi:type="dcterms:W3CDTF">2017-07-12T08:21:43Z</dcterms:created>
  <dcterms:modified xsi:type="dcterms:W3CDTF">2026-04-24T16:44:02Z</dcterms:modified>
</cp:coreProperties>
</file>