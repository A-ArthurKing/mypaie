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4430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Variable!$A$8:$BC$13</definedName>
    <definedName name="Matrice">OBJECTIFS!$C$45:$J$49</definedName>
  </definedNames>
  <calcPr calcId="152511"/>
</workbook>
</file>

<file path=xl/calcChain.xml><?xml version="1.0" encoding="utf-8"?>
<calcChain xmlns="http://schemas.openxmlformats.org/spreadsheetml/2006/main">
  <c r="AW14" i="2" l="1"/>
  <c r="AV114" i="2"/>
  <c r="AU114" i="2"/>
  <c r="AT114" i="2"/>
  <c r="AW114" i="2" s="1"/>
  <c r="AS114" i="2"/>
  <c r="AR114" i="2"/>
  <c r="AM114" i="2"/>
  <c r="AO114" i="2" s="1"/>
  <c r="AC114" i="2"/>
  <c r="AB114" i="2"/>
  <c r="AA114" i="2"/>
  <c r="X114" i="2"/>
  <c r="W114" i="2"/>
  <c r="Y114" i="2" s="1"/>
  <c r="S114" i="2"/>
  <c r="Q114" i="2"/>
  <c r="P114" i="2"/>
  <c r="O114" i="2"/>
  <c r="K114" i="2"/>
  <c r="H114" i="2"/>
  <c r="AV113" i="2"/>
  <c r="AU113" i="2"/>
  <c r="AT113" i="2"/>
  <c r="AS113" i="2"/>
  <c r="AR113" i="2"/>
  <c r="AM113" i="2"/>
  <c r="AO113" i="2" s="1"/>
  <c r="AA113" i="2"/>
  <c r="AB113" i="2" s="1"/>
  <c r="AC113" i="2" s="1"/>
  <c r="Y113" i="2"/>
  <c r="X113" i="2"/>
  <c r="W113" i="2"/>
  <c r="S113" i="2"/>
  <c r="O113" i="2"/>
  <c r="K113" i="2"/>
  <c r="L113" i="2" s="1"/>
  <c r="M113" i="2" s="1"/>
  <c r="H113" i="2"/>
  <c r="AV112" i="2"/>
  <c r="AU112" i="2"/>
  <c r="AT112" i="2"/>
  <c r="AS112" i="2"/>
  <c r="AW112" i="2" s="1"/>
  <c r="AR112" i="2"/>
  <c r="AO112" i="2"/>
  <c r="AM112" i="2"/>
  <c r="AA112" i="2"/>
  <c r="W112" i="2"/>
  <c r="T112" i="2"/>
  <c r="U112" i="2" s="1"/>
  <c r="S112" i="2"/>
  <c r="P112" i="2"/>
  <c r="Q112" i="2" s="1"/>
  <c r="O112" i="2"/>
  <c r="M112" i="2"/>
  <c r="L112" i="2"/>
  <c r="K112" i="2"/>
  <c r="H112" i="2"/>
  <c r="AV111" i="2"/>
  <c r="AW111" i="2" s="1"/>
  <c r="AU111" i="2"/>
  <c r="AT111" i="2"/>
  <c r="AS111" i="2"/>
  <c r="AR111" i="2"/>
  <c r="AM111" i="2"/>
  <c r="AO111" i="2" s="1"/>
  <c r="AB111" i="2"/>
  <c r="AC111" i="2" s="1"/>
  <c r="AA111" i="2"/>
  <c r="X111" i="2"/>
  <c r="Y111" i="2" s="1"/>
  <c r="W111" i="2"/>
  <c r="T111" i="2"/>
  <c r="U111" i="2" s="1"/>
  <c r="S111" i="2"/>
  <c r="O111" i="2"/>
  <c r="P111" i="2" s="1"/>
  <c r="Q111" i="2" s="1"/>
  <c r="K111" i="2"/>
  <c r="L111" i="2" s="1"/>
  <c r="H111" i="2"/>
  <c r="AV110" i="2"/>
  <c r="AU110" i="2"/>
  <c r="AT110" i="2"/>
  <c r="AW110" i="2" s="1"/>
  <c r="AS110" i="2"/>
  <c r="AR110" i="2"/>
  <c r="AM110" i="2"/>
  <c r="AO110" i="2" s="1"/>
  <c r="AC110" i="2"/>
  <c r="AB110" i="2"/>
  <c r="AA110" i="2"/>
  <c r="W110" i="2"/>
  <c r="X110" i="2" s="1"/>
  <c r="Y110" i="2" s="1"/>
  <c r="U110" i="2"/>
  <c r="S110" i="2"/>
  <c r="T110" i="2" s="1"/>
  <c r="O110" i="2"/>
  <c r="P110" i="2" s="1"/>
  <c r="Q110" i="2" s="1"/>
  <c r="K110" i="2"/>
  <c r="H110" i="2"/>
  <c r="AV109" i="2"/>
  <c r="AU109" i="2"/>
  <c r="AT109" i="2"/>
  <c r="AS109" i="2"/>
  <c r="AW109" i="2" s="1"/>
  <c r="AR109" i="2"/>
  <c r="AO109" i="2"/>
  <c r="AM109" i="2"/>
  <c r="AC109" i="2"/>
  <c r="AA109" i="2"/>
  <c r="AB109" i="2" s="1"/>
  <c r="W109" i="2"/>
  <c r="X109" i="2" s="1"/>
  <c r="Y109" i="2" s="1"/>
  <c r="S109" i="2"/>
  <c r="P109" i="2"/>
  <c r="O109" i="2"/>
  <c r="L109" i="2"/>
  <c r="M109" i="2" s="1"/>
  <c r="K109" i="2"/>
  <c r="H109" i="2"/>
  <c r="AV108" i="2"/>
  <c r="AU108" i="2"/>
  <c r="AT108" i="2"/>
  <c r="AS108" i="2"/>
  <c r="AW108" i="2" s="1"/>
  <c r="AR108" i="2"/>
  <c r="AO108" i="2"/>
  <c r="AM108" i="2"/>
  <c r="AA108" i="2"/>
  <c r="X108" i="2"/>
  <c r="W108" i="2"/>
  <c r="T108" i="2"/>
  <c r="U108" i="2" s="1"/>
  <c r="S108" i="2"/>
  <c r="P108" i="2"/>
  <c r="Q108" i="2" s="1"/>
  <c r="O108" i="2"/>
  <c r="L108" i="2"/>
  <c r="M108" i="2" s="1"/>
  <c r="K108" i="2"/>
  <c r="H108" i="2"/>
  <c r="AW107" i="2"/>
  <c r="AV107" i="2"/>
  <c r="AU107" i="2"/>
  <c r="AT107" i="2"/>
  <c r="AS107" i="2"/>
  <c r="AR107" i="2"/>
  <c r="AM107" i="2"/>
  <c r="AO107" i="2" s="1"/>
  <c r="AB107" i="2"/>
  <c r="AC107" i="2" s="1"/>
  <c r="AA107" i="2"/>
  <c r="X107" i="2"/>
  <c r="Y107" i="2" s="1"/>
  <c r="W107" i="2"/>
  <c r="U107" i="2"/>
  <c r="T107" i="2"/>
  <c r="S107" i="2"/>
  <c r="O107" i="2"/>
  <c r="P107" i="2" s="1"/>
  <c r="Q107" i="2" s="1"/>
  <c r="K107" i="2"/>
  <c r="H107" i="2"/>
  <c r="AW106" i="2"/>
  <c r="AV106" i="2"/>
  <c r="AU106" i="2"/>
  <c r="AT106" i="2"/>
  <c r="AS106" i="2"/>
  <c r="AR106" i="2"/>
  <c r="AM106" i="2"/>
  <c r="AO106" i="2" s="1"/>
  <c r="AB106" i="2"/>
  <c r="AC106" i="2" s="1"/>
  <c r="AA106" i="2"/>
  <c r="W106" i="2"/>
  <c r="X106" i="2" s="1"/>
  <c r="Y106" i="2" s="1"/>
  <c r="U106" i="2"/>
  <c r="S106" i="2"/>
  <c r="T106" i="2" s="1"/>
  <c r="O106" i="2"/>
  <c r="P106" i="2" s="1"/>
  <c r="Q106" i="2" s="1"/>
  <c r="K106" i="2"/>
  <c r="H106" i="2"/>
  <c r="AV105" i="2"/>
  <c r="AU105" i="2"/>
  <c r="AT105" i="2"/>
  <c r="AS105" i="2"/>
  <c r="AR105" i="2"/>
  <c r="AO105" i="2"/>
  <c r="AM105" i="2"/>
  <c r="AA105" i="2"/>
  <c r="AB105" i="2" s="1"/>
  <c r="Y105" i="2"/>
  <c r="W105" i="2"/>
  <c r="X105" i="2" s="1"/>
  <c r="S105" i="2"/>
  <c r="O105" i="2"/>
  <c r="L105" i="2"/>
  <c r="M105" i="2" s="1"/>
  <c r="K105" i="2"/>
  <c r="H105" i="2"/>
  <c r="AV104" i="2"/>
  <c r="AU104" i="2"/>
  <c r="AT104" i="2"/>
  <c r="AS104" i="2"/>
  <c r="AW104" i="2" s="1"/>
  <c r="AR104" i="2"/>
  <c r="AO104" i="2"/>
  <c r="AM104" i="2"/>
  <c r="AA104" i="2"/>
  <c r="X104" i="2"/>
  <c r="W104" i="2"/>
  <c r="T104" i="2"/>
  <c r="U104" i="2" s="1"/>
  <c r="S104" i="2"/>
  <c r="P104" i="2"/>
  <c r="Q104" i="2" s="1"/>
  <c r="O104" i="2"/>
  <c r="L104" i="2"/>
  <c r="M104" i="2" s="1"/>
  <c r="K104" i="2"/>
  <c r="H104" i="2"/>
  <c r="AW103" i="2"/>
  <c r="AV103" i="2"/>
  <c r="AU103" i="2"/>
  <c r="AT103" i="2"/>
  <c r="AS103" i="2"/>
  <c r="AR103" i="2"/>
  <c r="AM103" i="2"/>
  <c r="AO103" i="2" s="1"/>
  <c r="AB103" i="2"/>
  <c r="AC103" i="2" s="1"/>
  <c r="AA103" i="2"/>
  <c r="X103" i="2"/>
  <c r="Y103" i="2" s="1"/>
  <c r="W103" i="2"/>
  <c r="U103" i="2"/>
  <c r="T103" i="2"/>
  <c r="S103" i="2"/>
  <c r="O103" i="2"/>
  <c r="P103" i="2" s="1"/>
  <c r="Q103" i="2" s="1"/>
  <c r="M103" i="2"/>
  <c r="K103" i="2"/>
  <c r="L103" i="2" s="1"/>
  <c r="H103" i="2"/>
  <c r="AW102" i="2"/>
  <c r="AV102" i="2"/>
  <c r="AU102" i="2"/>
  <c r="AT102" i="2"/>
  <c r="AS102" i="2"/>
  <c r="AR102" i="2"/>
  <c r="AM102" i="2"/>
  <c r="AO102" i="2" s="1"/>
  <c r="AC102" i="2"/>
  <c r="AB102" i="2"/>
  <c r="AA102" i="2"/>
  <c r="W102" i="2"/>
  <c r="X102" i="2" s="1"/>
  <c r="Y102" i="2" s="1"/>
  <c r="S102" i="2"/>
  <c r="T102" i="2" s="1"/>
  <c r="Q102" i="2"/>
  <c r="O102" i="2"/>
  <c r="P102" i="2" s="1"/>
  <c r="K102" i="2"/>
  <c r="H102" i="2"/>
  <c r="AV101" i="2"/>
  <c r="AU101" i="2"/>
  <c r="AT101" i="2"/>
  <c r="AS101" i="2"/>
  <c r="AR101" i="2"/>
  <c r="AO101" i="2"/>
  <c r="AM101" i="2"/>
  <c r="AC101" i="2"/>
  <c r="AA101" i="2"/>
  <c r="AB101" i="2" s="1"/>
  <c r="Y101" i="2"/>
  <c r="W101" i="2"/>
  <c r="X101" i="2" s="1"/>
  <c r="S101" i="2"/>
  <c r="O101" i="2"/>
  <c r="L101" i="2"/>
  <c r="M101" i="2" s="1"/>
  <c r="K101" i="2"/>
  <c r="H101" i="2"/>
  <c r="AV100" i="2"/>
  <c r="AU100" i="2"/>
  <c r="AT100" i="2"/>
  <c r="AS100" i="2"/>
  <c r="AW100" i="2" s="1"/>
  <c r="AR100" i="2"/>
  <c r="AO100" i="2"/>
  <c r="AM100" i="2"/>
  <c r="AA100" i="2"/>
  <c r="W100" i="2"/>
  <c r="T100" i="2"/>
  <c r="U100" i="2" s="1"/>
  <c r="S100" i="2"/>
  <c r="P100" i="2"/>
  <c r="Q100" i="2" s="1"/>
  <c r="O100" i="2"/>
  <c r="L100" i="2"/>
  <c r="M100" i="2" s="1"/>
  <c r="K100" i="2"/>
  <c r="H100" i="2"/>
  <c r="AV99" i="2"/>
  <c r="AW99" i="2" s="1"/>
  <c r="AU99" i="2"/>
  <c r="AT99" i="2"/>
  <c r="AS99" i="2"/>
  <c r="AR99" i="2"/>
  <c r="AM99" i="2"/>
  <c r="AO99" i="2" s="1"/>
  <c r="AB99" i="2"/>
  <c r="AC99" i="2" s="1"/>
  <c r="AA99" i="2"/>
  <c r="X99" i="2"/>
  <c r="Y99" i="2" s="1"/>
  <c r="W99" i="2"/>
  <c r="T99" i="2"/>
  <c r="U99" i="2" s="1"/>
  <c r="S99" i="2"/>
  <c r="O99" i="2"/>
  <c r="P99" i="2" s="1"/>
  <c r="Q99" i="2" s="1"/>
  <c r="M99" i="2"/>
  <c r="K99" i="2"/>
  <c r="L99" i="2" s="1"/>
  <c r="H99" i="2"/>
  <c r="AV98" i="2"/>
  <c r="AU98" i="2"/>
  <c r="AW98" i="2" s="1"/>
  <c r="AT98" i="2"/>
  <c r="AS98" i="2"/>
  <c r="AR98" i="2"/>
  <c r="AM98" i="2"/>
  <c r="AO98" i="2" s="1"/>
  <c r="AB98" i="2"/>
  <c r="AC98" i="2" s="1"/>
  <c r="AA98" i="2"/>
  <c r="W98" i="2"/>
  <c r="X98" i="2" s="1"/>
  <c r="Y98" i="2" s="1"/>
  <c r="U98" i="2"/>
  <c r="S98" i="2"/>
  <c r="T98" i="2" s="1"/>
  <c r="Q98" i="2"/>
  <c r="O98" i="2"/>
  <c r="P98" i="2" s="1"/>
  <c r="K98" i="2"/>
  <c r="H98" i="2"/>
  <c r="AV97" i="2"/>
  <c r="AU97" i="2"/>
  <c r="AT97" i="2"/>
  <c r="AS97" i="2"/>
  <c r="AW97" i="2" s="1"/>
  <c r="AR97" i="2"/>
  <c r="AO97" i="2"/>
  <c r="AM97" i="2"/>
  <c r="AC97" i="2"/>
  <c r="AA97" i="2"/>
  <c r="AB97" i="2" s="1"/>
  <c r="W97" i="2"/>
  <c r="X97" i="2" s="1"/>
  <c r="Y97" i="2" s="1"/>
  <c r="S97" i="2"/>
  <c r="O97" i="2"/>
  <c r="L97" i="2"/>
  <c r="M97" i="2" s="1"/>
  <c r="K97" i="2"/>
  <c r="H97" i="2"/>
  <c r="AV96" i="2"/>
  <c r="AU96" i="2"/>
  <c r="AT96" i="2"/>
  <c r="AS96" i="2"/>
  <c r="AW96" i="2" s="1"/>
  <c r="AR96" i="2"/>
  <c r="AO96" i="2"/>
  <c r="AM96" i="2"/>
  <c r="AA96" i="2"/>
  <c r="W96" i="2"/>
  <c r="T96" i="2"/>
  <c r="U96" i="2" s="1"/>
  <c r="S96" i="2"/>
  <c r="P96" i="2"/>
  <c r="Q96" i="2" s="1"/>
  <c r="O96" i="2"/>
  <c r="L96" i="2"/>
  <c r="M96" i="2" s="1"/>
  <c r="K96" i="2"/>
  <c r="H96" i="2"/>
  <c r="AW95" i="2"/>
  <c r="AV95" i="2"/>
  <c r="AU95" i="2"/>
  <c r="AT95" i="2"/>
  <c r="AS95" i="2"/>
  <c r="AR95" i="2"/>
  <c r="AM95" i="2"/>
  <c r="AO95" i="2" s="1"/>
  <c r="AB95" i="2"/>
  <c r="AC95" i="2" s="1"/>
  <c r="AA95" i="2"/>
  <c r="X95" i="2"/>
  <c r="Y95" i="2" s="1"/>
  <c r="W95" i="2"/>
  <c r="U95" i="2"/>
  <c r="T95" i="2"/>
  <c r="S95" i="2"/>
  <c r="O95" i="2"/>
  <c r="P95" i="2" s="1"/>
  <c r="Q95" i="2" s="1"/>
  <c r="K95" i="2"/>
  <c r="L95" i="2" s="1"/>
  <c r="H95" i="2"/>
  <c r="AV94" i="2"/>
  <c r="AU94" i="2"/>
  <c r="AT94" i="2"/>
  <c r="AS94" i="2"/>
  <c r="AR94" i="2"/>
  <c r="AM94" i="2"/>
  <c r="AO94" i="2" s="1"/>
  <c r="AB94" i="2"/>
  <c r="AC94" i="2" s="1"/>
  <c r="AA94" i="2"/>
  <c r="W94" i="2"/>
  <c r="X94" i="2" s="1"/>
  <c r="Y94" i="2" s="1"/>
  <c r="U94" i="2"/>
  <c r="S94" i="2"/>
  <c r="T94" i="2" s="1"/>
  <c r="O94" i="2"/>
  <c r="P94" i="2" s="1"/>
  <c r="Q94" i="2" s="1"/>
  <c r="K94" i="2"/>
  <c r="H94" i="2"/>
  <c r="AV93" i="2"/>
  <c r="AU93" i="2"/>
  <c r="AT93" i="2"/>
  <c r="AS93" i="2"/>
  <c r="AW93" i="2" s="1"/>
  <c r="AR93" i="2"/>
  <c r="AO93" i="2"/>
  <c r="AM93" i="2"/>
  <c r="AC93" i="2"/>
  <c r="AA93" i="2"/>
  <c r="AB93" i="2" s="1"/>
  <c r="Y93" i="2"/>
  <c r="W93" i="2"/>
  <c r="X93" i="2" s="1"/>
  <c r="S93" i="2"/>
  <c r="P93" i="2"/>
  <c r="O93" i="2"/>
  <c r="L93" i="2"/>
  <c r="M93" i="2" s="1"/>
  <c r="K93" i="2"/>
  <c r="H93" i="2"/>
  <c r="AV92" i="2"/>
  <c r="AU92" i="2"/>
  <c r="AT92" i="2"/>
  <c r="AS92" i="2"/>
  <c r="AW92" i="2" s="1"/>
  <c r="AR92" i="2"/>
  <c r="AO92" i="2"/>
  <c r="AM92" i="2"/>
  <c r="AA92" i="2"/>
  <c r="W92" i="2"/>
  <c r="T92" i="2"/>
  <c r="U92" i="2" s="1"/>
  <c r="S92" i="2"/>
  <c r="P92" i="2"/>
  <c r="Q92" i="2" s="1"/>
  <c r="O92" i="2"/>
  <c r="M92" i="2"/>
  <c r="L92" i="2"/>
  <c r="K92" i="2"/>
  <c r="H92" i="2"/>
  <c r="AW91" i="2"/>
  <c r="AV91" i="2"/>
  <c r="AU91" i="2"/>
  <c r="AT91" i="2"/>
  <c r="AS91" i="2"/>
  <c r="AR91" i="2"/>
  <c r="AM91" i="2"/>
  <c r="AO91" i="2" s="1"/>
  <c r="AB91" i="2"/>
  <c r="AC91" i="2" s="1"/>
  <c r="AA91" i="2"/>
  <c r="X91" i="2"/>
  <c r="Y91" i="2" s="1"/>
  <c r="W91" i="2"/>
  <c r="T91" i="2"/>
  <c r="U91" i="2" s="1"/>
  <c r="S91" i="2"/>
  <c r="O91" i="2"/>
  <c r="P91" i="2" s="1"/>
  <c r="Q91" i="2" s="1"/>
  <c r="AF91" i="2" s="1"/>
  <c r="M91" i="2"/>
  <c r="K91" i="2"/>
  <c r="L91" i="2" s="1"/>
  <c r="H91" i="2"/>
  <c r="AV90" i="2"/>
  <c r="AU90" i="2"/>
  <c r="AT90" i="2"/>
  <c r="AS90" i="2"/>
  <c r="AR90" i="2"/>
  <c r="AM90" i="2"/>
  <c r="AO90" i="2" s="1"/>
  <c r="AC90" i="2"/>
  <c r="AB90" i="2"/>
  <c r="AA90" i="2"/>
  <c r="W90" i="2"/>
  <c r="X90" i="2" s="1"/>
  <c r="Y90" i="2" s="1"/>
  <c r="S90" i="2"/>
  <c r="T90" i="2" s="1"/>
  <c r="Q90" i="2"/>
  <c r="O90" i="2"/>
  <c r="P90" i="2" s="1"/>
  <c r="K90" i="2"/>
  <c r="H90" i="2"/>
  <c r="AV89" i="2"/>
  <c r="AU89" i="2"/>
  <c r="AT89" i="2"/>
  <c r="AS89" i="2"/>
  <c r="AR89" i="2"/>
  <c r="AO89" i="2"/>
  <c r="AM89" i="2"/>
  <c r="AC89" i="2"/>
  <c r="AA89" i="2"/>
  <c r="AB89" i="2" s="1"/>
  <c r="Y89" i="2"/>
  <c r="W89" i="2"/>
  <c r="X89" i="2" s="1"/>
  <c r="S89" i="2"/>
  <c r="P89" i="2"/>
  <c r="O89" i="2"/>
  <c r="L89" i="2"/>
  <c r="M89" i="2" s="1"/>
  <c r="K89" i="2"/>
  <c r="H89" i="2"/>
  <c r="AV88" i="2"/>
  <c r="AU88" i="2"/>
  <c r="AT88" i="2"/>
  <c r="AS88" i="2"/>
  <c r="AW88" i="2" s="1"/>
  <c r="AR88" i="2"/>
  <c r="AO88" i="2"/>
  <c r="AM88" i="2"/>
  <c r="AA88" i="2"/>
  <c r="X88" i="2"/>
  <c r="W88" i="2"/>
  <c r="T88" i="2"/>
  <c r="U88" i="2" s="1"/>
  <c r="S88" i="2"/>
  <c r="P88" i="2"/>
  <c r="Q88" i="2" s="1"/>
  <c r="O88" i="2"/>
  <c r="L88" i="2"/>
  <c r="M88" i="2" s="1"/>
  <c r="K88" i="2"/>
  <c r="H88" i="2"/>
  <c r="AV87" i="2"/>
  <c r="AW87" i="2" s="1"/>
  <c r="AU87" i="2"/>
  <c r="AT87" i="2"/>
  <c r="AS87" i="2"/>
  <c r="AR87" i="2"/>
  <c r="AM87" i="2"/>
  <c r="AO87" i="2" s="1"/>
  <c r="AB87" i="2"/>
  <c r="AC87" i="2" s="1"/>
  <c r="AA87" i="2"/>
  <c r="X87" i="2"/>
  <c r="Y87" i="2" s="1"/>
  <c r="W87" i="2"/>
  <c r="U87" i="2"/>
  <c r="T87" i="2"/>
  <c r="S87" i="2"/>
  <c r="O87" i="2"/>
  <c r="P87" i="2" s="1"/>
  <c r="Q87" i="2" s="1"/>
  <c r="K87" i="2"/>
  <c r="L87" i="2" s="1"/>
  <c r="H87" i="2"/>
  <c r="AV86" i="2"/>
  <c r="AU86" i="2"/>
  <c r="AT86" i="2"/>
  <c r="AS86" i="2"/>
  <c r="AR86" i="2"/>
  <c r="AM86" i="2"/>
  <c r="AO86" i="2" s="1"/>
  <c r="AB86" i="2"/>
  <c r="AC86" i="2" s="1"/>
  <c r="AA86" i="2"/>
  <c r="Y86" i="2"/>
  <c r="W86" i="2"/>
  <c r="X86" i="2" s="1"/>
  <c r="S86" i="2"/>
  <c r="O86" i="2"/>
  <c r="P86" i="2" s="1"/>
  <c r="K86" i="2"/>
  <c r="H86" i="2"/>
  <c r="AV85" i="2"/>
  <c r="AU85" i="2"/>
  <c r="AT85" i="2"/>
  <c r="AS85" i="2"/>
  <c r="AW85" i="2" s="1"/>
  <c r="AR85" i="2"/>
  <c r="AO85" i="2"/>
  <c r="AM85" i="2"/>
  <c r="AA85" i="2"/>
  <c r="AB85" i="2" s="1"/>
  <c r="AC85" i="2" s="1"/>
  <c r="Y85" i="2"/>
  <c r="W85" i="2"/>
  <c r="X85" i="2" s="1"/>
  <c r="T85" i="2"/>
  <c r="S85" i="2"/>
  <c r="P85" i="2"/>
  <c r="Q85" i="2" s="1"/>
  <c r="O85" i="2"/>
  <c r="L85" i="2"/>
  <c r="M85" i="2" s="1"/>
  <c r="K85" i="2"/>
  <c r="H85" i="2"/>
  <c r="AV84" i="2"/>
  <c r="AU84" i="2"/>
  <c r="AT84" i="2"/>
  <c r="AS84" i="2"/>
  <c r="AR84" i="2"/>
  <c r="AO84" i="2"/>
  <c r="AM84" i="2"/>
  <c r="AA84" i="2"/>
  <c r="X84" i="2"/>
  <c r="Y84" i="2" s="1"/>
  <c r="W84" i="2"/>
  <c r="T84" i="2"/>
  <c r="U84" i="2" s="1"/>
  <c r="S84" i="2"/>
  <c r="O84" i="2"/>
  <c r="M84" i="2"/>
  <c r="L84" i="2"/>
  <c r="K84" i="2"/>
  <c r="H84" i="2"/>
  <c r="AW83" i="2"/>
  <c r="AV83" i="2"/>
  <c r="AU83" i="2"/>
  <c r="AT83" i="2"/>
  <c r="AS83" i="2"/>
  <c r="AR83" i="2"/>
  <c r="AM83" i="2"/>
  <c r="AO83" i="2" s="1"/>
  <c r="AB83" i="2"/>
  <c r="AC83" i="2" s="1"/>
  <c r="AA83" i="2"/>
  <c r="X83" i="2"/>
  <c r="Y83" i="2" s="1"/>
  <c r="W83" i="2"/>
  <c r="T83" i="2"/>
  <c r="U83" i="2" s="1"/>
  <c r="AF83" i="2" s="1"/>
  <c r="BA83" i="2" s="1"/>
  <c r="BC83" i="2" s="1"/>
  <c r="BB83" i="2" s="1"/>
  <c r="S83" i="2"/>
  <c r="Q83" i="2"/>
  <c r="O83" i="2"/>
  <c r="P83" i="2" s="1"/>
  <c r="L83" i="2"/>
  <c r="M83" i="2" s="1"/>
  <c r="K83" i="2"/>
  <c r="H83" i="2"/>
  <c r="AW82" i="2"/>
  <c r="AV82" i="2"/>
  <c r="AU82" i="2"/>
  <c r="AT82" i="2"/>
  <c r="AS82" i="2"/>
  <c r="AR82" i="2"/>
  <c r="AO82" i="2"/>
  <c r="AM82" i="2"/>
  <c r="AB82" i="2"/>
  <c r="AC82" i="2" s="1"/>
  <c r="AA82" i="2"/>
  <c r="W82" i="2"/>
  <c r="X82" i="2" s="1"/>
  <c r="S82" i="2"/>
  <c r="O82" i="2"/>
  <c r="P82" i="2" s="1"/>
  <c r="L82" i="2"/>
  <c r="K82" i="2"/>
  <c r="H82" i="2"/>
  <c r="AV81" i="2"/>
  <c r="AU81" i="2"/>
  <c r="AT81" i="2"/>
  <c r="AS81" i="2"/>
  <c r="AR81" i="2"/>
  <c r="AO81" i="2"/>
  <c r="AM81" i="2"/>
  <c r="AA81" i="2"/>
  <c r="W81" i="2"/>
  <c r="X81" i="2" s="1"/>
  <c r="T81" i="2"/>
  <c r="S81" i="2"/>
  <c r="Q81" i="2"/>
  <c r="O81" i="2"/>
  <c r="P81" i="2" s="1"/>
  <c r="L81" i="2"/>
  <c r="M81" i="2" s="1"/>
  <c r="K81" i="2"/>
  <c r="H81" i="2"/>
  <c r="AV80" i="2"/>
  <c r="AU80" i="2"/>
  <c r="AT80" i="2"/>
  <c r="AS80" i="2"/>
  <c r="AR80" i="2"/>
  <c r="AO80" i="2"/>
  <c r="AM80" i="2"/>
  <c r="AB80" i="2"/>
  <c r="AA80" i="2"/>
  <c r="W80" i="2"/>
  <c r="T80" i="2"/>
  <c r="U80" i="2" s="1"/>
  <c r="S80" i="2"/>
  <c r="P80" i="2"/>
  <c r="Q80" i="2" s="1"/>
  <c r="O80" i="2"/>
  <c r="L80" i="2"/>
  <c r="M80" i="2" s="1"/>
  <c r="K80" i="2"/>
  <c r="H80" i="2"/>
  <c r="AV79" i="2"/>
  <c r="AU79" i="2"/>
  <c r="AT79" i="2"/>
  <c r="AW79" i="2" s="1"/>
  <c r="AS79" i="2"/>
  <c r="AR79" i="2"/>
  <c r="AO79" i="2"/>
  <c r="AM79" i="2"/>
  <c r="AB79" i="2"/>
  <c r="AC79" i="2" s="1"/>
  <c r="AA79" i="2"/>
  <c r="Y79" i="2"/>
  <c r="W79" i="2"/>
  <c r="X79" i="2" s="1"/>
  <c r="U79" i="2"/>
  <c r="T79" i="2"/>
  <c r="S79" i="2"/>
  <c r="O79" i="2"/>
  <c r="K79" i="2"/>
  <c r="L79" i="2" s="1"/>
  <c r="M79" i="2" s="1"/>
  <c r="H79" i="2"/>
  <c r="AV78" i="2"/>
  <c r="AU78" i="2"/>
  <c r="AT78" i="2"/>
  <c r="AS78" i="2"/>
  <c r="AR78" i="2"/>
  <c r="AW78" i="2" s="1"/>
  <c r="AM78" i="2"/>
  <c r="AO78" i="2" s="1"/>
  <c r="AB78" i="2"/>
  <c r="AC78" i="2" s="1"/>
  <c r="AA78" i="2"/>
  <c r="W78" i="2"/>
  <c r="S78" i="2"/>
  <c r="O78" i="2"/>
  <c r="P78" i="2" s="1"/>
  <c r="K78" i="2"/>
  <c r="H78" i="2"/>
  <c r="AV77" i="2"/>
  <c r="AU77" i="2"/>
  <c r="AT77" i="2"/>
  <c r="AS77" i="2"/>
  <c r="AW77" i="2" s="1"/>
  <c r="AR77" i="2"/>
  <c r="AM77" i="2"/>
  <c r="AO77" i="2" s="1"/>
  <c r="AC77" i="2"/>
  <c r="AB77" i="2"/>
  <c r="AA77" i="2"/>
  <c r="Y77" i="2"/>
  <c r="W77" i="2"/>
  <c r="X77" i="2" s="1"/>
  <c r="S77" i="2"/>
  <c r="Q77" i="2"/>
  <c r="P77" i="2"/>
  <c r="O77" i="2"/>
  <c r="M77" i="2"/>
  <c r="L77" i="2"/>
  <c r="K77" i="2"/>
  <c r="H77" i="2"/>
  <c r="AV76" i="2"/>
  <c r="AU76" i="2"/>
  <c r="AT76" i="2"/>
  <c r="AS76" i="2"/>
  <c r="AR76" i="2"/>
  <c r="AM76" i="2"/>
  <c r="AO76" i="2" s="1"/>
  <c r="AA76" i="2"/>
  <c r="X76" i="2"/>
  <c r="Y76" i="2" s="1"/>
  <c r="W76" i="2"/>
  <c r="U76" i="2"/>
  <c r="T76" i="2"/>
  <c r="S76" i="2"/>
  <c r="P76" i="2"/>
  <c r="O76" i="2"/>
  <c r="K76" i="2"/>
  <c r="H76" i="2"/>
  <c r="AV75" i="2"/>
  <c r="AU75" i="2"/>
  <c r="AW75" i="2" s="1"/>
  <c r="AT75" i="2"/>
  <c r="AS75" i="2"/>
  <c r="AR75" i="2"/>
  <c r="AO75" i="2"/>
  <c r="AM75" i="2"/>
  <c r="AC75" i="2"/>
  <c r="AB75" i="2"/>
  <c r="AA75" i="2"/>
  <c r="X75" i="2"/>
  <c r="W75" i="2"/>
  <c r="U75" i="2"/>
  <c r="S75" i="2"/>
  <c r="T75" i="2" s="1"/>
  <c r="O75" i="2"/>
  <c r="P75" i="2" s="1"/>
  <c r="Q75" i="2" s="1"/>
  <c r="K75" i="2"/>
  <c r="H75" i="2"/>
  <c r="AV74" i="2"/>
  <c r="AU74" i="2"/>
  <c r="AT74" i="2"/>
  <c r="AS74" i="2"/>
  <c r="AW74" i="2" s="1"/>
  <c r="AR74" i="2"/>
  <c r="AM74" i="2"/>
  <c r="AO74" i="2" s="1"/>
  <c r="AA74" i="2"/>
  <c r="AB74" i="2" s="1"/>
  <c r="Y74" i="2"/>
  <c r="W74" i="2"/>
  <c r="X74" i="2" s="1"/>
  <c r="S74" i="2"/>
  <c r="P74" i="2"/>
  <c r="O74" i="2"/>
  <c r="K74" i="2"/>
  <c r="H74" i="2"/>
  <c r="AV73" i="2"/>
  <c r="AU73" i="2"/>
  <c r="AT73" i="2"/>
  <c r="AS73" i="2"/>
  <c r="AR73" i="2"/>
  <c r="AO73" i="2"/>
  <c r="AM73" i="2"/>
  <c r="AC73" i="2"/>
  <c r="AB73" i="2"/>
  <c r="AA73" i="2"/>
  <c r="X73" i="2"/>
  <c r="W73" i="2"/>
  <c r="S73" i="2"/>
  <c r="P73" i="2"/>
  <c r="Q73" i="2" s="1"/>
  <c r="O73" i="2"/>
  <c r="M73" i="2"/>
  <c r="L73" i="2"/>
  <c r="K73" i="2"/>
  <c r="H73" i="2"/>
  <c r="AW72" i="2"/>
  <c r="AV72" i="2"/>
  <c r="AU72" i="2"/>
  <c r="AT72" i="2"/>
  <c r="AS72" i="2"/>
  <c r="AR72" i="2"/>
  <c r="AM72" i="2"/>
  <c r="AO72" i="2" s="1"/>
  <c r="AA72" i="2"/>
  <c r="X72" i="2"/>
  <c r="Y72" i="2" s="1"/>
  <c r="W72" i="2"/>
  <c r="T72" i="2"/>
  <c r="U72" i="2" s="1"/>
  <c r="S72" i="2"/>
  <c r="P72" i="2"/>
  <c r="O72" i="2"/>
  <c r="K72" i="2"/>
  <c r="L72" i="2" s="1"/>
  <c r="H72" i="2"/>
  <c r="AW71" i="2"/>
  <c r="AV71" i="2"/>
  <c r="AU71" i="2"/>
  <c r="AT71" i="2"/>
  <c r="AS71" i="2"/>
  <c r="AR71" i="2"/>
  <c r="AO71" i="2"/>
  <c r="AM71" i="2"/>
  <c r="AC71" i="2"/>
  <c r="AB71" i="2"/>
  <c r="AA71" i="2"/>
  <c r="X71" i="2"/>
  <c r="W71" i="2"/>
  <c r="S71" i="2"/>
  <c r="Q71" i="2"/>
  <c r="O71" i="2"/>
  <c r="P71" i="2" s="1"/>
  <c r="M71" i="2"/>
  <c r="K71" i="2"/>
  <c r="L71" i="2" s="1"/>
  <c r="H71" i="2"/>
  <c r="AV70" i="2"/>
  <c r="AU70" i="2"/>
  <c r="AT70" i="2"/>
  <c r="AS70" i="2"/>
  <c r="AW70" i="2" s="1"/>
  <c r="AR70" i="2"/>
  <c r="AM70" i="2"/>
  <c r="AO70" i="2" s="1"/>
  <c r="AA70" i="2"/>
  <c r="AB70" i="2" s="1"/>
  <c r="Y70" i="2"/>
  <c r="W70" i="2"/>
  <c r="X70" i="2" s="1"/>
  <c r="U70" i="2"/>
  <c r="T70" i="2"/>
  <c r="S70" i="2"/>
  <c r="P70" i="2"/>
  <c r="O70" i="2"/>
  <c r="K70" i="2"/>
  <c r="H70" i="2"/>
  <c r="AV69" i="2"/>
  <c r="AU69" i="2"/>
  <c r="AT69" i="2"/>
  <c r="AS69" i="2"/>
  <c r="AW69" i="2" s="1"/>
  <c r="AR69" i="2"/>
  <c r="AO69" i="2"/>
  <c r="AM69" i="2"/>
  <c r="AB69" i="2"/>
  <c r="AA69" i="2"/>
  <c r="AC69" i="2" s="1"/>
  <c r="X69" i="2"/>
  <c r="W69" i="2"/>
  <c r="T69" i="2"/>
  <c r="S69" i="2"/>
  <c r="P69" i="2"/>
  <c r="Q69" i="2" s="1"/>
  <c r="O69" i="2"/>
  <c r="M69" i="2"/>
  <c r="L69" i="2"/>
  <c r="K69" i="2"/>
  <c r="H69" i="2"/>
  <c r="AV68" i="2"/>
  <c r="AU68" i="2"/>
  <c r="AT68" i="2"/>
  <c r="AS68" i="2"/>
  <c r="AW68" i="2" s="1"/>
  <c r="AR68" i="2"/>
  <c r="AM68" i="2"/>
  <c r="AO68" i="2" s="1"/>
  <c r="AB68" i="2"/>
  <c r="AA68" i="2"/>
  <c r="X68" i="2"/>
  <c r="Y68" i="2" s="1"/>
  <c r="W68" i="2"/>
  <c r="T68" i="2"/>
  <c r="U68" i="2" s="1"/>
  <c r="S68" i="2"/>
  <c r="Q68" i="2"/>
  <c r="P68" i="2"/>
  <c r="O68" i="2"/>
  <c r="M68" i="2"/>
  <c r="K68" i="2"/>
  <c r="L68" i="2" s="1"/>
  <c r="H68" i="2"/>
  <c r="AV67" i="2"/>
  <c r="AU67" i="2"/>
  <c r="AT67" i="2"/>
  <c r="AS67" i="2"/>
  <c r="AR67" i="2"/>
  <c r="AW67" i="2" s="1"/>
  <c r="AO67" i="2"/>
  <c r="AM67" i="2"/>
  <c r="AB67" i="2"/>
  <c r="AC67" i="2" s="1"/>
  <c r="AA67" i="2"/>
  <c r="W67" i="2"/>
  <c r="S67" i="2"/>
  <c r="T67" i="2" s="1"/>
  <c r="O67" i="2"/>
  <c r="K67" i="2"/>
  <c r="H67" i="2"/>
  <c r="AW66" i="2"/>
  <c r="AV66" i="2"/>
  <c r="AU66" i="2"/>
  <c r="AT66" i="2"/>
  <c r="AS66" i="2"/>
  <c r="AR66" i="2"/>
  <c r="AO66" i="2"/>
  <c r="AM66" i="2"/>
  <c r="AC66" i="2"/>
  <c r="AA66" i="2"/>
  <c r="AB66" i="2" s="1"/>
  <c r="Y66" i="2"/>
  <c r="W66" i="2"/>
  <c r="X66" i="2" s="1"/>
  <c r="U66" i="2"/>
  <c r="T66" i="2"/>
  <c r="S66" i="2"/>
  <c r="P66" i="2"/>
  <c r="O66" i="2"/>
  <c r="K66" i="2"/>
  <c r="H66" i="2"/>
  <c r="AV65" i="2"/>
  <c r="AU65" i="2"/>
  <c r="AT65" i="2"/>
  <c r="AS65" i="2"/>
  <c r="AW65" i="2" s="1"/>
  <c r="AR65" i="2"/>
  <c r="AO65" i="2"/>
  <c r="AM65" i="2"/>
  <c r="AA65" i="2"/>
  <c r="X65" i="2"/>
  <c r="W65" i="2"/>
  <c r="T65" i="2"/>
  <c r="S65" i="2"/>
  <c r="Q65" i="2"/>
  <c r="P65" i="2"/>
  <c r="O65" i="2"/>
  <c r="L65" i="2"/>
  <c r="M65" i="2" s="1"/>
  <c r="K65" i="2"/>
  <c r="H65" i="2"/>
  <c r="AV64" i="2"/>
  <c r="AU64" i="2"/>
  <c r="AT64" i="2"/>
  <c r="AS64" i="2"/>
  <c r="AR64" i="2"/>
  <c r="AM64" i="2"/>
  <c r="AO64" i="2" s="1"/>
  <c r="AB64" i="2"/>
  <c r="AA64" i="2"/>
  <c r="Y64" i="2"/>
  <c r="X64" i="2"/>
  <c r="W64" i="2"/>
  <c r="U64" i="2"/>
  <c r="T64" i="2"/>
  <c r="S64" i="2"/>
  <c r="Q64" i="2"/>
  <c r="P64" i="2"/>
  <c r="O64" i="2"/>
  <c r="M64" i="2"/>
  <c r="K64" i="2"/>
  <c r="L64" i="2" s="1"/>
  <c r="H64" i="2"/>
  <c r="AW63" i="2"/>
  <c r="AV63" i="2"/>
  <c r="AU63" i="2"/>
  <c r="AT63" i="2"/>
  <c r="AS63" i="2"/>
  <c r="AR63" i="2"/>
  <c r="AO63" i="2"/>
  <c r="AM63" i="2"/>
  <c r="AB63" i="2"/>
  <c r="AC63" i="2" s="1"/>
  <c r="AA63" i="2"/>
  <c r="Y63" i="2"/>
  <c r="X63" i="2"/>
  <c r="W63" i="2"/>
  <c r="U63" i="2"/>
  <c r="S63" i="2"/>
  <c r="T63" i="2" s="1"/>
  <c r="O63" i="2"/>
  <c r="L63" i="2"/>
  <c r="K63" i="2"/>
  <c r="H63" i="2"/>
  <c r="AW62" i="2"/>
  <c r="AV62" i="2"/>
  <c r="AU62" i="2"/>
  <c r="AT62" i="2"/>
  <c r="AS62" i="2"/>
  <c r="AR62" i="2"/>
  <c r="AO62" i="2"/>
  <c r="AM62" i="2"/>
  <c r="AA62" i="2"/>
  <c r="Y62" i="2"/>
  <c r="W62" i="2"/>
  <c r="X62" i="2" s="1"/>
  <c r="S62" i="2"/>
  <c r="P62" i="2"/>
  <c r="O62" i="2"/>
  <c r="L62" i="2"/>
  <c r="K62" i="2"/>
  <c r="H62" i="2"/>
  <c r="AV61" i="2"/>
  <c r="AU61" i="2"/>
  <c r="AT61" i="2"/>
  <c r="AS61" i="2"/>
  <c r="AR61" i="2"/>
  <c r="AO61" i="2"/>
  <c r="AM61" i="2"/>
  <c r="AB61" i="2"/>
  <c r="AA61" i="2"/>
  <c r="AC61" i="2" s="1"/>
  <c r="W61" i="2"/>
  <c r="T61" i="2"/>
  <c r="S61" i="2"/>
  <c r="Q61" i="2"/>
  <c r="P61" i="2"/>
  <c r="O61" i="2"/>
  <c r="L61" i="2"/>
  <c r="M61" i="2" s="1"/>
  <c r="K61" i="2"/>
  <c r="H61" i="2"/>
  <c r="AV60" i="2"/>
  <c r="AU60" i="2"/>
  <c r="AT60" i="2"/>
  <c r="AS60" i="2"/>
  <c r="AW60" i="2" s="1"/>
  <c r="AR60" i="2"/>
  <c r="AM60" i="2"/>
  <c r="AO60" i="2" s="1"/>
  <c r="AB60" i="2"/>
  <c r="AA60" i="2"/>
  <c r="X60" i="2"/>
  <c r="Y60" i="2" s="1"/>
  <c r="W60" i="2"/>
  <c r="U60" i="2"/>
  <c r="T60" i="2"/>
  <c r="S60" i="2"/>
  <c r="O60" i="2"/>
  <c r="K60" i="2"/>
  <c r="L60" i="2" s="1"/>
  <c r="H60" i="2"/>
  <c r="AV59" i="2"/>
  <c r="AU59" i="2"/>
  <c r="AT59" i="2"/>
  <c r="AS59" i="2"/>
  <c r="AR59" i="2"/>
  <c r="AM59" i="2"/>
  <c r="AO59" i="2" s="1"/>
  <c r="AB59" i="2"/>
  <c r="AC59" i="2" s="1"/>
  <c r="AA59" i="2"/>
  <c r="W59" i="2"/>
  <c r="X59" i="2" s="1"/>
  <c r="S59" i="2"/>
  <c r="T59" i="2" s="1"/>
  <c r="O59" i="2"/>
  <c r="L59" i="2"/>
  <c r="M59" i="2" s="1"/>
  <c r="K59" i="2"/>
  <c r="H59" i="2"/>
  <c r="AV58" i="2"/>
  <c r="AU58" i="2"/>
  <c r="AW58" i="2" s="1"/>
  <c r="AT58" i="2"/>
  <c r="AS58" i="2"/>
  <c r="AR58" i="2"/>
  <c r="AM58" i="2"/>
  <c r="AO58" i="2" s="1"/>
  <c r="AA58" i="2"/>
  <c r="AB58" i="2" s="1"/>
  <c r="W58" i="2"/>
  <c r="S58" i="2"/>
  <c r="Q58" i="2"/>
  <c r="P58" i="2"/>
  <c r="O58" i="2"/>
  <c r="K58" i="2"/>
  <c r="H58" i="2"/>
  <c r="AV57" i="2"/>
  <c r="AU57" i="2"/>
  <c r="AT57" i="2"/>
  <c r="AS57" i="2"/>
  <c r="AR57" i="2"/>
  <c r="AO57" i="2"/>
  <c r="AM57" i="2"/>
  <c r="AB57" i="2"/>
  <c r="AA57" i="2"/>
  <c r="X57" i="2"/>
  <c r="W57" i="2"/>
  <c r="S57" i="2"/>
  <c r="P57" i="2"/>
  <c r="O57" i="2"/>
  <c r="Q57" i="2" s="1"/>
  <c r="L57" i="2"/>
  <c r="M57" i="2" s="1"/>
  <c r="K57" i="2"/>
  <c r="H57" i="2"/>
  <c r="AV56" i="2"/>
  <c r="AU56" i="2"/>
  <c r="AT56" i="2"/>
  <c r="AS56" i="2"/>
  <c r="AR56" i="2"/>
  <c r="AM56" i="2"/>
  <c r="AO56" i="2" s="1"/>
  <c r="AB56" i="2"/>
  <c r="AA56" i="2"/>
  <c r="Y56" i="2"/>
  <c r="W56" i="2"/>
  <c r="X56" i="2" s="1"/>
  <c r="T56" i="2"/>
  <c r="U56" i="2" s="1"/>
  <c r="S56" i="2"/>
  <c r="O56" i="2"/>
  <c r="L56" i="2"/>
  <c r="K56" i="2"/>
  <c r="M56" i="2" s="1"/>
  <c r="H56" i="2"/>
  <c r="AW55" i="2"/>
  <c r="AV55" i="2"/>
  <c r="AU55" i="2"/>
  <c r="AT55" i="2"/>
  <c r="AS55" i="2"/>
  <c r="AR55" i="2"/>
  <c r="AM55" i="2"/>
  <c r="AO55" i="2" s="1"/>
  <c r="AC55" i="2"/>
  <c r="AB55" i="2"/>
  <c r="AA55" i="2"/>
  <c r="W55" i="2"/>
  <c r="S55" i="2"/>
  <c r="T55" i="2" s="1"/>
  <c r="O55" i="2"/>
  <c r="P55" i="2" s="1"/>
  <c r="L55" i="2"/>
  <c r="M55" i="2" s="1"/>
  <c r="K55" i="2"/>
  <c r="H55" i="2"/>
  <c r="AV54" i="2"/>
  <c r="AU54" i="2"/>
  <c r="AW54" i="2" s="1"/>
  <c r="AT54" i="2"/>
  <c r="AS54" i="2"/>
  <c r="AR54" i="2"/>
  <c r="AM54" i="2"/>
  <c r="AO54" i="2" s="1"/>
  <c r="AB54" i="2"/>
  <c r="AC54" i="2" s="1"/>
  <c r="AA54" i="2"/>
  <c r="W54" i="2"/>
  <c r="X54" i="2" s="1"/>
  <c r="Y54" i="2" s="1"/>
  <c r="S54" i="2"/>
  <c r="O54" i="2"/>
  <c r="P54" i="2" s="1"/>
  <c r="K54" i="2"/>
  <c r="H54" i="2"/>
  <c r="AV53" i="2"/>
  <c r="AU53" i="2"/>
  <c r="AT53" i="2"/>
  <c r="AS53" i="2"/>
  <c r="AW53" i="2" s="1"/>
  <c r="AR53" i="2"/>
  <c r="AO53" i="2"/>
  <c r="AM53" i="2"/>
  <c r="AB53" i="2"/>
  <c r="AA53" i="2"/>
  <c r="AC53" i="2" s="1"/>
  <c r="W53" i="2"/>
  <c r="S53" i="2"/>
  <c r="Q53" i="2"/>
  <c r="P53" i="2"/>
  <c r="O53" i="2"/>
  <c r="L53" i="2"/>
  <c r="K53" i="2"/>
  <c r="H53" i="2"/>
  <c r="AV52" i="2"/>
  <c r="AU52" i="2"/>
  <c r="AT52" i="2"/>
  <c r="AS52" i="2"/>
  <c r="AR52" i="2"/>
  <c r="AO52" i="2"/>
  <c r="AM52" i="2"/>
  <c r="AA52" i="2"/>
  <c r="W52" i="2"/>
  <c r="T52" i="2"/>
  <c r="S52" i="2"/>
  <c r="P52" i="2"/>
  <c r="O52" i="2"/>
  <c r="M52" i="2"/>
  <c r="L52" i="2"/>
  <c r="K52" i="2"/>
  <c r="H52" i="2"/>
  <c r="AV51" i="2"/>
  <c r="AU51" i="2"/>
  <c r="AT51" i="2"/>
  <c r="AW51" i="2" s="1"/>
  <c r="AS51" i="2"/>
  <c r="AR51" i="2"/>
  <c r="AO51" i="2"/>
  <c r="AM51" i="2"/>
  <c r="AB51" i="2"/>
  <c r="AA51" i="2"/>
  <c r="W51" i="2"/>
  <c r="U51" i="2"/>
  <c r="T51" i="2"/>
  <c r="S51" i="2"/>
  <c r="O51" i="2"/>
  <c r="P51" i="2" s="1"/>
  <c r="Q51" i="2" s="1"/>
  <c r="K51" i="2"/>
  <c r="H51" i="2"/>
  <c r="AV50" i="2"/>
  <c r="AU50" i="2"/>
  <c r="AT50" i="2"/>
  <c r="AS50" i="2"/>
  <c r="AR50" i="2"/>
  <c r="AW50" i="2" s="1"/>
  <c r="AM50" i="2"/>
  <c r="AO50" i="2" s="1"/>
  <c r="AC50" i="2"/>
  <c r="AB50" i="2"/>
  <c r="AA50" i="2"/>
  <c r="W50" i="2"/>
  <c r="X50" i="2" s="1"/>
  <c r="Y50" i="2" s="1"/>
  <c r="U50" i="2"/>
  <c r="T50" i="2"/>
  <c r="S50" i="2"/>
  <c r="Q50" i="2"/>
  <c r="O50" i="2"/>
  <c r="P50" i="2" s="1"/>
  <c r="K50" i="2"/>
  <c r="H50" i="2"/>
  <c r="AV49" i="2"/>
  <c r="AU49" i="2"/>
  <c r="AT49" i="2"/>
  <c r="AS49" i="2"/>
  <c r="AW49" i="2" s="1"/>
  <c r="AR49" i="2"/>
  <c r="AO49" i="2"/>
  <c r="AM49" i="2"/>
  <c r="AC49" i="2"/>
  <c r="AB49" i="2"/>
  <c r="AA49" i="2"/>
  <c r="W49" i="2"/>
  <c r="X49" i="2" s="1"/>
  <c r="S49" i="2"/>
  <c r="P49" i="2"/>
  <c r="Q49" i="2" s="1"/>
  <c r="O49" i="2"/>
  <c r="L49" i="2"/>
  <c r="K49" i="2"/>
  <c r="H49" i="2"/>
  <c r="AV48" i="2"/>
  <c r="AU48" i="2"/>
  <c r="AT48" i="2"/>
  <c r="AS48" i="2"/>
  <c r="AR48" i="2"/>
  <c r="AO48" i="2"/>
  <c r="AM48" i="2"/>
  <c r="AA48" i="2"/>
  <c r="W48" i="2"/>
  <c r="T48" i="2"/>
  <c r="S48" i="2"/>
  <c r="U48" i="2" s="1"/>
  <c r="Q48" i="2"/>
  <c r="P48" i="2"/>
  <c r="O48" i="2"/>
  <c r="M48" i="2"/>
  <c r="L48" i="2"/>
  <c r="K48" i="2"/>
  <c r="H48" i="2"/>
  <c r="AV47" i="2"/>
  <c r="AU47" i="2"/>
  <c r="AT47" i="2"/>
  <c r="AS47" i="2"/>
  <c r="AR47" i="2"/>
  <c r="AW47" i="2" s="1"/>
  <c r="AO47" i="2"/>
  <c r="AM47" i="2"/>
  <c r="AB47" i="2"/>
  <c r="AA47" i="2"/>
  <c r="AC47" i="2" s="1"/>
  <c r="W47" i="2"/>
  <c r="U47" i="2"/>
  <c r="T47" i="2"/>
  <c r="S47" i="2"/>
  <c r="O47" i="2"/>
  <c r="P47" i="2" s="1"/>
  <c r="K47" i="2"/>
  <c r="H47" i="2"/>
  <c r="AV46" i="2"/>
  <c r="AU46" i="2"/>
  <c r="AT46" i="2"/>
  <c r="AS46" i="2"/>
  <c r="AR46" i="2"/>
  <c r="AW46" i="2" s="1"/>
  <c r="AO46" i="2"/>
  <c r="AM46" i="2"/>
  <c r="AC46" i="2"/>
  <c r="AB46" i="2"/>
  <c r="AA46" i="2"/>
  <c r="Y46" i="2"/>
  <c r="W46" i="2"/>
  <c r="X46" i="2" s="1"/>
  <c r="S46" i="2"/>
  <c r="T46" i="2" s="1"/>
  <c r="U46" i="2" s="1"/>
  <c r="Q46" i="2"/>
  <c r="O46" i="2"/>
  <c r="P46" i="2" s="1"/>
  <c r="K46" i="2"/>
  <c r="H46" i="2"/>
  <c r="AV45" i="2"/>
  <c r="AU45" i="2"/>
  <c r="AT45" i="2"/>
  <c r="AS45" i="2"/>
  <c r="AW45" i="2" s="1"/>
  <c r="AR45" i="2"/>
  <c r="AO45" i="2"/>
  <c r="AM45" i="2"/>
  <c r="AA45" i="2"/>
  <c r="Y45" i="2"/>
  <c r="W45" i="2"/>
  <c r="X45" i="2" s="1"/>
  <c r="T45" i="2"/>
  <c r="S45" i="2"/>
  <c r="P45" i="2"/>
  <c r="O45" i="2"/>
  <c r="Q45" i="2" s="1"/>
  <c r="L45" i="2"/>
  <c r="K45" i="2"/>
  <c r="M45" i="2" s="1"/>
  <c r="H45" i="2"/>
  <c r="AV44" i="2"/>
  <c r="AU44" i="2"/>
  <c r="AT44" i="2"/>
  <c r="AS44" i="2"/>
  <c r="AR44" i="2"/>
  <c r="AO44" i="2"/>
  <c r="AM44" i="2"/>
  <c r="AA44" i="2"/>
  <c r="Y44" i="2"/>
  <c r="X44" i="2"/>
  <c r="W44" i="2"/>
  <c r="T44" i="2"/>
  <c r="S44" i="2"/>
  <c r="U44" i="2" s="1"/>
  <c r="O44" i="2"/>
  <c r="M44" i="2"/>
  <c r="L44" i="2"/>
  <c r="K44" i="2"/>
  <c r="H44" i="2"/>
  <c r="AW43" i="2"/>
  <c r="AV43" i="2"/>
  <c r="AU43" i="2"/>
  <c r="AT43" i="2"/>
  <c r="AS43" i="2"/>
  <c r="AR43" i="2"/>
  <c r="AM43" i="2"/>
  <c r="AO43" i="2" s="1"/>
  <c r="AB43" i="2"/>
  <c r="AA43" i="2"/>
  <c r="X43" i="2"/>
  <c r="W43" i="2"/>
  <c r="Y43" i="2" s="1"/>
  <c r="T43" i="2"/>
  <c r="U43" i="2" s="1"/>
  <c r="S43" i="2"/>
  <c r="Q43" i="2"/>
  <c r="O43" i="2"/>
  <c r="P43" i="2" s="1"/>
  <c r="L43" i="2"/>
  <c r="K43" i="2"/>
  <c r="M43" i="2" s="1"/>
  <c r="H43" i="2"/>
  <c r="AV42" i="2"/>
  <c r="AU42" i="2"/>
  <c r="AT42" i="2"/>
  <c r="AS42" i="2"/>
  <c r="AR42" i="2"/>
  <c r="AW42" i="2" s="1"/>
  <c r="AO42" i="2"/>
  <c r="AM42" i="2"/>
  <c r="AB42" i="2"/>
  <c r="AC42" i="2" s="1"/>
  <c r="AA42" i="2"/>
  <c r="W42" i="2"/>
  <c r="X42" i="2" s="1"/>
  <c r="U42" i="2"/>
  <c r="T42" i="2"/>
  <c r="S42" i="2"/>
  <c r="O42" i="2"/>
  <c r="P42" i="2" s="1"/>
  <c r="K42" i="2"/>
  <c r="H42" i="2"/>
  <c r="AV41" i="2"/>
  <c r="AU41" i="2"/>
  <c r="AT41" i="2"/>
  <c r="AS41" i="2"/>
  <c r="AW41" i="2" s="1"/>
  <c r="AR41" i="2"/>
  <c r="AM41" i="2"/>
  <c r="AO41" i="2" s="1"/>
  <c r="AA41" i="2"/>
  <c r="Y41" i="2"/>
  <c r="X41" i="2"/>
  <c r="W41" i="2"/>
  <c r="T41" i="2"/>
  <c r="S41" i="2"/>
  <c r="U41" i="2" s="1"/>
  <c r="P41" i="2"/>
  <c r="Q41" i="2" s="1"/>
  <c r="O41" i="2"/>
  <c r="K41" i="2"/>
  <c r="L41" i="2" s="1"/>
  <c r="M41" i="2" s="1"/>
  <c r="H41" i="2"/>
  <c r="AV40" i="2"/>
  <c r="AU40" i="2"/>
  <c r="AT40" i="2"/>
  <c r="AS40" i="2"/>
  <c r="AW40" i="2" s="1"/>
  <c r="AR40" i="2"/>
  <c r="AO40" i="2"/>
  <c r="AM40" i="2"/>
  <c r="AB40" i="2"/>
  <c r="AA40" i="2"/>
  <c r="AC40" i="2" s="1"/>
  <c r="X40" i="2"/>
  <c r="Y40" i="2" s="1"/>
  <c r="W40" i="2"/>
  <c r="S40" i="2"/>
  <c r="T40" i="2" s="1"/>
  <c r="U40" i="2" s="1"/>
  <c r="O40" i="2"/>
  <c r="M40" i="2"/>
  <c r="L40" i="2"/>
  <c r="K40" i="2"/>
  <c r="H40" i="2"/>
  <c r="AW39" i="2"/>
  <c r="AV39" i="2"/>
  <c r="AU39" i="2"/>
  <c r="AT39" i="2"/>
  <c r="AS39" i="2"/>
  <c r="AR39" i="2"/>
  <c r="AM39" i="2"/>
  <c r="AO39" i="2" s="1"/>
  <c r="AC39" i="2"/>
  <c r="AB39" i="2"/>
  <c r="AA39" i="2"/>
  <c r="W39" i="2"/>
  <c r="U39" i="2"/>
  <c r="T39" i="2"/>
  <c r="S39" i="2"/>
  <c r="O39" i="2"/>
  <c r="L39" i="2"/>
  <c r="K39" i="2"/>
  <c r="H39" i="2"/>
  <c r="AV38" i="2"/>
  <c r="AU38" i="2"/>
  <c r="AT38" i="2"/>
  <c r="AS38" i="2"/>
  <c r="AR38" i="2"/>
  <c r="AO38" i="2"/>
  <c r="AM38" i="2"/>
  <c r="AC38" i="2"/>
  <c r="AB38" i="2"/>
  <c r="AA38" i="2"/>
  <c r="W38" i="2"/>
  <c r="T38" i="2"/>
  <c r="S38" i="2"/>
  <c r="Q38" i="2"/>
  <c r="P38" i="2"/>
  <c r="O38" i="2"/>
  <c r="L38" i="2"/>
  <c r="K38" i="2"/>
  <c r="M38" i="2" s="1"/>
  <c r="H38" i="2"/>
  <c r="AV37" i="2"/>
  <c r="AU37" i="2"/>
  <c r="AT37" i="2"/>
  <c r="AS37" i="2"/>
  <c r="AW37" i="2" s="1"/>
  <c r="AR37" i="2"/>
  <c r="AM37" i="2"/>
  <c r="AO37" i="2" s="1"/>
  <c r="AA37" i="2"/>
  <c r="Y37" i="2"/>
  <c r="X37" i="2"/>
  <c r="W37" i="2"/>
  <c r="T37" i="2"/>
  <c r="S37" i="2"/>
  <c r="U37" i="2" s="1"/>
  <c r="P37" i="2"/>
  <c r="Q37" i="2" s="1"/>
  <c r="O37" i="2"/>
  <c r="K37" i="2"/>
  <c r="L37" i="2" s="1"/>
  <c r="M37" i="2" s="1"/>
  <c r="H37" i="2"/>
  <c r="AV36" i="2"/>
  <c r="AU36" i="2"/>
  <c r="AT36" i="2"/>
  <c r="AS36" i="2"/>
  <c r="AW36" i="2" s="1"/>
  <c r="AR36" i="2"/>
  <c r="AO36" i="2"/>
  <c r="AM36" i="2"/>
  <c r="AB36" i="2"/>
  <c r="AA36" i="2"/>
  <c r="AC36" i="2" s="1"/>
  <c r="X36" i="2"/>
  <c r="Y36" i="2" s="1"/>
  <c r="W36" i="2"/>
  <c r="U36" i="2"/>
  <c r="T36" i="2"/>
  <c r="S36" i="2"/>
  <c r="O36" i="2"/>
  <c r="M36" i="2"/>
  <c r="L36" i="2"/>
  <c r="K36" i="2"/>
  <c r="H36" i="2"/>
  <c r="AW35" i="2"/>
  <c r="AV35" i="2"/>
  <c r="AU35" i="2"/>
  <c r="AT35" i="2"/>
  <c r="AS35" i="2"/>
  <c r="AR35" i="2"/>
  <c r="AO35" i="2"/>
  <c r="AM35" i="2"/>
  <c r="AC35" i="2"/>
  <c r="AB35" i="2"/>
  <c r="AA35" i="2"/>
  <c r="W35" i="2"/>
  <c r="U35" i="2"/>
  <c r="T35" i="2"/>
  <c r="S35" i="2"/>
  <c r="O35" i="2"/>
  <c r="K35" i="2"/>
  <c r="H35" i="2"/>
  <c r="AV34" i="2"/>
  <c r="AU34" i="2"/>
  <c r="AW34" i="2" s="1"/>
  <c r="AT34" i="2"/>
  <c r="AS34" i="2"/>
  <c r="AR34" i="2"/>
  <c r="AO34" i="2"/>
  <c r="AM34" i="2"/>
  <c r="AC34" i="2"/>
  <c r="AB34" i="2"/>
  <c r="AA34" i="2"/>
  <c r="W34" i="2"/>
  <c r="T34" i="2"/>
  <c r="S34" i="2"/>
  <c r="Q34" i="2"/>
  <c r="P34" i="2"/>
  <c r="O34" i="2"/>
  <c r="L34" i="2"/>
  <c r="K34" i="2"/>
  <c r="M34" i="2" s="1"/>
  <c r="H34" i="2"/>
  <c r="AV33" i="2"/>
  <c r="AU33" i="2"/>
  <c r="AT33" i="2"/>
  <c r="AS33" i="2"/>
  <c r="AW33" i="2" s="1"/>
  <c r="AR33" i="2"/>
  <c r="AO33" i="2"/>
  <c r="AM33" i="2"/>
  <c r="AB33" i="2"/>
  <c r="AA33" i="2"/>
  <c r="Y33" i="2"/>
  <c r="X33" i="2"/>
  <c r="W33" i="2"/>
  <c r="T33" i="2"/>
  <c r="S33" i="2"/>
  <c r="U33" i="2" s="1"/>
  <c r="P33" i="2"/>
  <c r="Q33" i="2" s="1"/>
  <c r="O33" i="2"/>
  <c r="M33" i="2"/>
  <c r="L33" i="2"/>
  <c r="K33" i="2"/>
  <c r="H33" i="2"/>
  <c r="AV32" i="2"/>
  <c r="AU32" i="2"/>
  <c r="AT32" i="2"/>
  <c r="AS32" i="2"/>
  <c r="AR32" i="2"/>
  <c r="AO32" i="2"/>
  <c r="AM32" i="2"/>
  <c r="AB32" i="2"/>
  <c r="AA32" i="2"/>
  <c r="Y32" i="2"/>
  <c r="X32" i="2"/>
  <c r="W32" i="2"/>
  <c r="U32" i="2"/>
  <c r="T32" i="2"/>
  <c r="S32" i="2"/>
  <c r="Q32" i="2"/>
  <c r="O32" i="2"/>
  <c r="P32" i="2" s="1"/>
  <c r="M32" i="2"/>
  <c r="L32" i="2"/>
  <c r="K32" i="2"/>
  <c r="H32" i="2"/>
  <c r="AV31" i="2"/>
  <c r="AU31" i="2"/>
  <c r="AT31" i="2"/>
  <c r="AS31" i="2"/>
  <c r="AR31" i="2"/>
  <c r="AW31" i="2" s="1"/>
  <c r="AO31" i="2"/>
  <c r="AM31" i="2"/>
  <c r="AC31" i="2"/>
  <c r="AB31" i="2"/>
  <c r="AA31" i="2"/>
  <c r="W31" i="2"/>
  <c r="X31" i="2" s="1"/>
  <c r="Y31" i="2" s="1"/>
  <c r="U31" i="2"/>
  <c r="T31" i="2"/>
  <c r="S31" i="2"/>
  <c r="O31" i="2"/>
  <c r="K31" i="2"/>
  <c r="H31" i="2"/>
  <c r="AV30" i="2"/>
  <c r="AU30" i="2"/>
  <c r="AW30" i="2" s="1"/>
  <c r="AT30" i="2"/>
  <c r="AS30" i="2"/>
  <c r="AR30" i="2"/>
  <c r="AO30" i="2"/>
  <c r="AM30" i="2"/>
  <c r="AC30" i="2"/>
  <c r="AB30" i="2"/>
  <c r="AA30" i="2"/>
  <c r="W30" i="2"/>
  <c r="S30" i="2"/>
  <c r="Q30" i="2"/>
  <c r="P30" i="2"/>
  <c r="O30" i="2"/>
  <c r="L30" i="2"/>
  <c r="K30" i="2"/>
  <c r="H30" i="2"/>
  <c r="AV29" i="2"/>
  <c r="AU29" i="2"/>
  <c r="AT29" i="2"/>
  <c r="AS29" i="2"/>
  <c r="AW29" i="2" s="1"/>
  <c r="AR29" i="2"/>
  <c r="AO29" i="2"/>
  <c r="AM29" i="2"/>
  <c r="AB29" i="2"/>
  <c r="AA29" i="2"/>
  <c r="Y29" i="2"/>
  <c r="X29" i="2"/>
  <c r="W29" i="2"/>
  <c r="T29" i="2"/>
  <c r="S29" i="2"/>
  <c r="U29" i="2" s="1"/>
  <c r="P29" i="2"/>
  <c r="Q29" i="2" s="1"/>
  <c r="O29" i="2"/>
  <c r="M29" i="2"/>
  <c r="L29" i="2"/>
  <c r="K29" i="2"/>
  <c r="H29" i="2"/>
  <c r="AV28" i="2"/>
  <c r="AU28" i="2"/>
  <c r="AT28" i="2"/>
  <c r="AS28" i="2"/>
  <c r="AR28" i="2"/>
  <c r="AO28" i="2"/>
  <c r="AM28" i="2"/>
  <c r="AB28" i="2"/>
  <c r="AA28" i="2"/>
  <c r="X28" i="2"/>
  <c r="Y28" i="2" s="1"/>
  <c r="W28" i="2"/>
  <c r="U28" i="2"/>
  <c r="T28" i="2"/>
  <c r="S28" i="2"/>
  <c r="Q28" i="2"/>
  <c r="O28" i="2"/>
  <c r="P28" i="2" s="1"/>
  <c r="M28" i="2"/>
  <c r="L28" i="2"/>
  <c r="K28" i="2"/>
  <c r="H28" i="2"/>
  <c r="AV27" i="2"/>
  <c r="AU27" i="2"/>
  <c r="AT27" i="2"/>
  <c r="AS27" i="2"/>
  <c r="AR27" i="2"/>
  <c r="AW27" i="2" s="1"/>
  <c r="AO27" i="2"/>
  <c r="AM27" i="2"/>
  <c r="AC27" i="2"/>
  <c r="AB27" i="2"/>
  <c r="AA27" i="2"/>
  <c r="W27" i="2"/>
  <c r="X27" i="2" s="1"/>
  <c r="U27" i="2"/>
  <c r="T27" i="2"/>
  <c r="S27" i="2"/>
  <c r="O27" i="2"/>
  <c r="K27" i="2"/>
  <c r="H27" i="2"/>
  <c r="AV26" i="2"/>
  <c r="AU26" i="2"/>
  <c r="AW26" i="2" s="1"/>
  <c r="AT26" i="2"/>
  <c r="AS26" i="2"/>
  <c r="AR26" i="2"/>
  <c r="AO26" i="2"/>
  <c r="AM26" i="2"/>
  <c r="AC26" i="2"/>
  <c r="AB26" i="2"/>
  <c r="AA26" i="2"/>
  <c r="W26" i="2"/>
  <c r="T26" i="2"/>
  <c r="S26" i="2"/>
  <c r="Q26" i="2"/>
  <c r="P26" i="2"/>
  <c r="O26" i="2"/>
  <c r="L26" i="2"/>
  <c r="K26" i="2"/>
  <c r="H26" i="2"/>
  <c r="AV25" i="2"/>
  <c r="AU25" i="2"/>
  <c r="AT25" i="2"/>
  <c r="AS25" i="2"/>
  <c r="AR25" i="2"/>
  <c r="AO25" i="2"/>
  <c r="AM25" i="2"/>
  <c r="AA25" i="2"/>
  <c r="Y25" i="2"/>
  <c r="X25" i="2"/>
  <c r="W25" i="2"/>
  <c r="T25" i="2"/>
  <c r="S25" i="2"/>
  <c r="U25" i="2" s="1"/>
  <c r="P25" i="2"/>
  <c r="Q25" i="2" s="1"/>
  <c r="O25" i="2"/>
  <c r="M25" i="2"/>
  <c r="L25" i="2"/>
  <c r="K25" i="2"/>
  <c r="H25" i="2"/>
  <c r="AV24" i="2"/>
  <c r="AU24" i="2"/>
  <c r="AT24" i="2"/>
  <c r="AS24" i="2"/>
  <c r="AR24" i="2"/>
  <c r="AO24" i="2"/>
  <c r="AM24" i="2"/>
  <c r="AB24" i="2"/>
  <c r="AA24" i="2"/>
  <c r="AC24" i="2" s="1"/>
  <c r="Y24" i="2"/>
  <c r="X24" i="2"/>
  <c r="W24" i="2"/>
  <c r="U24" i="2"/>
  <c r="T24" i="2"/>
  <c r="S24" i="2"/>
  <c r="O24" i="2"/>
  <c r="P24" i="2" s="1"/>
  <c r="M24" i="2"/>
  <c r="L24" i="2"/>
  <c r="K24" i="2"/>
  <c r="H24" i="2"/>
  <c r="AV23" i="2"/>
  <c r="AU23" i="2"/>
  <c r="AT23" i="2"/>
  <c r="AS23" i="2"/>
  <c r="AR23" i="2"/>
  <c r="AW23" i="2" s="1"/>
  <c r="AO23" i="2"/>
  <c r="AM23" i="2"/>
  <c r="AC23" i="2"/>
  <c r="AB23" i="2"/>
  <c r="AA23" i="2"/>
  <c r="W23" i="2"/>
  <c r="X23" i="2" s="1"/>
  <c r="U23" i="2"/>
  <c r="T23" i="2"/>
  <c r="S23" i="2"/>
  <c r="O23" i="2"/>
  <c r="K23" i="2"/>
  <c r="H23" i="2"/>
  <c r="AV22" i="2"/>
  <c r="AW22" i="2" s="1"/>
  <c r="AU22" i="2"/>
  <c r="AT22" i="2"/>
  <c r="AS22" i="2"/>
  <c r="AR22" i="2"/>
  <c r="AM22" i="2"/>
  <c r="AO22" i="2" s="1"/>
  <c r="AC22" i="2"/>
  <c r="AB22" i="2"/>
  <c r="AA22" i="2"/>
  <c r="W22" i="2"/>
  <c r="S22" i="2"/>
  <c r="T22" i="2" s="1"/>
  <c r="U22" i="2" s="1"/>
  <c r="Q22" i="2"/>
  <c r="P22" i="2"/>
  <c r="O22" i="2"/>
  <c r="K22" i="2"/>
  <c r="L22" i="2" s="1"/>
  <c r="H22" i="2"/>
  <c r="AV21" i="2"/>
  <c r="AU21" i="2"/>
  <c r="AT21" i="2"/>
  <c r="AS21" i="2"/>
  <c r="AR21" i="2"/>
  <c r="AO21" i="2"/>
  <c r="AM21" i="2"/>
  <c r="AB21" i="2"/>
  <c r="AC21" i="2" s="1"/>
  <c r="AA21" i="2"/>
  <c r="Y21" i="2"/>
  <c r="X21" i="2"/>
  <c r="W21" i="2"/>
  <c r="S21" i="2"/>
  <c r="T21" i="2" s="1"/>
  <c r="P21" i="2"/>
  <c r="Q21" i="2" s="1"/>
  <c r="O21" i="2"/>
  <c r="M21" i="2"/>
  <c r="L21" i="2"/>
  <c r="K21" i="2"/>
  <c r="H21" i="2"/>
  <c r="AV20" i="2"/>
  <c r="AU20" i="2"/>
  <c r="AT20" i="2"/>
  <c r="AS20" i="2"/>
  <c r="AR20" i="2"/>
  <c r="AO20" i="2"/>
  <c r="AM20" i="2"/>
  <c r="AA20" i="2"/>
  <c r="W20" i="2"/>
  <c r="X20" i="2" s="1"/>
  <c r="Y20" i="2" s="1"/>
  <c r="U20" i="2"/>
  <c r="T20" i="2"/>
  <c r="S20" i="2"/>
  <c r="O20" i="2"/>
  <c r="L20" i="2"/>
  <c r="M20" i="2" s="1"/>
  <c r="K20" i="2"/>
  <c r="H20" i="2"/>
  <c r="AW19" i="2"/>
  <c r="AV19" i="2"/>
  <c r="AU19" i="2"/>
  <c r="AT19" i="2"/>
  <c r="AS19" i="2"/>
  <c r="AR19" i="2"/>
  <c r="AM19" i="2"/>
  <c r="AO19" i="2" s="1"/>
  <c r="AC19" i="2"/>
  <c r="AB19" i="2"/>
  <c r="AA19" i="2"/>
  <c r="W19" i="2"/>
  <c r="U19" i="2"/>
  <c r="T19" i="2"/>
  <c r="S19" i="2"/>
  <c r="O19" i="2"/>
  <c r="K19" i="2"/>
  <c r="L19" i="2" s="1"/>
  <c r="M19" i="2" s="1"/>
  <c r="H19" i="2"/>
  <c r="AV18" i="2"/>
  <c r="AW18" i="2" s="1"/>
  <c r="AU18" i="2"/>
  <c r="AT18" i="2"/>
  <c r="AS18" i="2"/>
  <c r="AR18" i="2"/>
  <c r="AM18" i="2"/>
  <c r="AO18" i="2" s="1"/>
  <c r="AC18" i="2"/>
  <c r="AB18" i="2"/>
  <c r="AA18" i="2"/>
  <c r="W18" i="2"/>
  <c r="S18" i="2"/>
  <c r="T18" i="2" s="1"/>
  <c r="Q18" i="2"/>
  <c r="P18" i="2"/>
  <c r="O18" i="2"/>
  <c r="L18" i="2"/>
  <c r="K18" i="2"/>
  <c r="H18" i="2"/>
  <c r="AV17" i="2"/>
  <c r="AU17" i="2"/>
  <c r="AT17" i="2"/>
  <c r="AS17" i="2"/>
  <c r="AR17" i="2"/>
  <c r="AO17" i="2"/>
  <c r="AM17" i="2"/>
  <c r="AB17" i="2"/>
  <c r="AC17" i="2" s="1"/>
  <c r="AA17" i="2"/>
  <c r="X17" i="2"/>
  <c r="Y17" i="2" s="1"/>
  <c r="W17" i="2"/>
  <c r="S17" i="2"/>
  <c r="T17" i="2" s="1"/>
  <c r="P17" i="2"/>
  <c r="Q17" i="2" s="1"/>
  <c r="O17" i="2"/>
  <c r="M17" i="2"/>
  <c r="L17" i="2"/>
  <c r="K17" i="2"/>
  <c r="H17" i="2"/>
  <c r="AV16" i="2"/>
  <c r="AU16" i="2"/>
  <c r="AT16" i="2"/>
  <c r="AS16" i="2"/>
  <c r="AW16" i="2" s="1"/>
  <c r="AR16" i="2"/>
  <c r="AM16" i="2"/>
  <c r="AO16" i="2" s="1"/>
  <c r="AA16" i="2"/>
  <c r="X16" i="2"/>
  <c r="Y16" i="2" s="1"/>
  <c r="W16" i="2"/>
  <c r="U16" i="2"/>
  <c r="T16" i="2"/>
  <c r="S16" i="2"/>
  <c r="P16" i="2"/>
  <c r="Q16" i="2" s="1"/>
  <c r="O16" i="2"/>
  <c r="K16" i="2"/>
  <c r="L16" i="2" s="1"/>
  <c r="M16" i="2" s="1"/>
  <c r="H16" i="2"/>
  <c r="AV15" i="2"/>
  <c r="AW15" i="2" s="1"/>
  <c r="AU15" i="2"/>
  <c r="AT15" i="2"/>
  <c r="AS15" i="2"/>
  <c r="AR15" i="2"/>
  <c r="AO15" i="2"/>
  <c r="AM15" i="2"/>
  <c r="AC15" i="2"/>
  <c r="AB15" i="2"/>
  <c r="AA15" i="2"/>
  <c r="W15" i="2"/>
  <c r="T15" i="2"/>
  <c r="U15" i="2" s="1"/>
  <c r="S15" i="2"/>
  <c r="O15" i="2"/>
  <c r="K15" i="2"/>
  <c r="H15" i="2"/>
  <c r="AV14" i="2"/>
  <c r="AU14" i="2"/>
  <c r="AT14" i="2"/>
  <c r="AS14" i="2"/>
  <c r="AR14" i="2"/>
  <c r="AM14" i="2"/>
  <c r="AO14" i="2" s="1"/>
  <c r="AA14" i="2"/>
  <c r="AB14" i="2" s="1"/>
  <c r="AC14" i="2" s="1"/>
  <c r="W14" i="2"/>
  <c r="S14" i="2"/>
  <c r="T14" i="2" s="1"/>
  <c r="U14" i="2" s="1"/>
  <c r="P14" i="2"/>
  <c r="Q14" i="2" s="1"/>
  <c r="O14" i="2"/>
  <c r="K14" i="2"/>
  <c r="L14" i="2" s="1"/>
  <c r="H14" i="2"/>
  <c r="AV13" i="2"/>
  <c r="AU13" i="2"/>
  <c r="AT13" i="2"/>
  <c r="AS13" i="2"/>
  <c r="AR13" i="2"/>
  <c r="AO13" i="2"/>
  <c r="AM13" i="2"/>
  <c r="AA13" i="2"/>
  <c r="Y13" i="2"/>
  <c r="X13" i="2"/>
  <c r="W13" i="2"/>
  <c r="S13" i="2"/>
  <c r="O13" i="2"/>
  <c r="M13" i="2"/>
  <c r="L13" i="2"/>
  <c r="K13" i="2"/>
  <c r="H13" i="2"/>
  <c r="AV213" i="2"/>
  <c r="AU213" i="2"/>
  <c r="AT213" i="2"/>
  <c r="AS213" i="2"/>
  <c r="AR213" i="2"/>
  <c r="AM213" i="2"/>
  <c r="AO213" i="2" s="1"/>
  <c r="AB213" i="2"/>
  <c r="AA213" i="2"/>
  <c r="AC213" i="2" s="1"/>
  <c r="W213" i="2"/>
  <c r="S213" i="2"/>
  <c r="P213" i="2"/>
  <c r="Q213" i="2" s="1"/>
  <c r="O213" i="2"/>
  <c r="L213" i="2"/>
  <c r="M213" i="2" s="1"/>
  <c r="K213" i="2"/>
  <c r="H213" i="2"/>
  <c r="AV212" i="2"/>
  <c r="AU212" i="2"/>
  <c r="AT212" i="2"/>
  <c r="AS212" i="2"/>
  <c r="AR212" i="2"/>
  <c r="AM212" i="2"/>
  <c r="AO212" i="2" s="1"/>
  <c r="AA212" i="2"/>
  <c r="X212" i="2"/>
  <c r="Y212" i="2" s="1"/>
  <c r="W212" i="2"/>
  <c r="S212" i="2"/>
  <c r="T212" i="2" s="1"/>
  <c r="U212" i="2" s="1"/>
  <c r="O212" i="2"/>
  <c r="P212" i="2" s="1"/>
  <c r="K212" i="2"/>
  <c r="L212" i="2" s="1"/>
  <c r="M212" i="2" s="1"/>
  <c r="H212" i="2"/>
  <c r="AV211" i="2"/>
  <c r="AU211" i="2"/>
  <c r="AT211" i="2"/>
  <c r="AS211" i="2"/>
  <c r="AR211" i="2"/>
  <c r="AO211" i="2"/>
  <c r="AM211" i="2"/>
  <c r="AA211" i="2"/>
  <c r="AB211" i="2" s="1"/>
  <c r="AC211" i="2" s="1"/>
  <c r="W211" i="2"/>
  <c r="X211" i="2" s="1"/>
  <c r="T211" i="2"/>
  <c r="U211" i="2" s="1"/>
  <c r="S211" i="2"/>
  <c r="O211" i="2"/>
  <c r="P211" i="2" s="1"/>
  <c r="Q211" i="2" s="1"/>
  <c r="L211" i="2"/>
  <c r="M211" i="2" s="1"/>
  <c r="K211" i="2"/>
  <c r="H211" i="2"/>
  <c r="AV210" i="2"/>
  <c r="AU210" i="2"/>
  <c r="AT210" i="2"/>
  <c r="AS210" i="2"/>
  <c r="AR210" i="2"/>
  <c r="AM210" i="2"/>
  <c r="AO210" i="2" s="1"/>
  <c r="AA210" i="2"/>
  <c r="AB210" i="2" s="1"/>
  <c r="AC210" i="2" s="1"/>
  <c r="W210" i="2"/>
  <c r="X210" i="2" s="1"/>
  <c r="Y210" i="2" s="1"/>
  <c r="T210" i="2"/>
  <c r="S210" i="2"/>
  <c r="U210" i="2" s="1"/>
  <c r="O210" i="2"/>
  <c r="K210" i="2"/>
  <c r="H210" i="2"/>
  <c r="AV209" i="2"/>
  <c r="AU209" i="2"/>
  <c r="AT209" i="2"/>
  <c r="AS209" i="2"/>
  <c r="AR209" i="2"/>
  <c r="AO209" i="2"/>
  <c r="AM209" i="2"/>
  <c r="AA209" i="2"/>
  <c r="AB209" i="2" s="1"/>
  <c r="AC209" i="2" s="1"/>
  <c r="W209" i="2"/>
  <c r="S209" i="2"/>
  <c r="O209" i="2"/>
  <c r="P209" i="2" s="1"/>
  <c r="Q209" i="2" s="1"/>
  <c r="K209" i="2"/>
  <c r="L209" i="2" s="1"/>
  <c r="M209" i="2" s="1"/>
  <c r="H209" i="2"/>
  <c r="AV208" i="2"/>
  <c r="AU208" i="2"/>
  <c r="AT208" i="2"/>
  <c r="AS208" i="2"/>
  <c r="AR208" i="2"/>
  <c r="AO208" i="2"/>
  <c r="AM208" i="2"/>
  <c r="AA208" i="2"/>
  <c r="W208" i="2"/>
  <c r="X208" i="2" s="1"/>
  <c r="Y208" i="2" s="1"/>
  <c r="T208" i="2"/>
  <c r="U208" i="2" s="1"/>
  <c r="S208" i="2"/>
  <c r="O208" i="2"/>
  <c r="L208" i="2"/>
  <c r="M208" i="2" s="1"/>
  <c r="K208" i="2"/>
  <c r="H208" i="2"/>
  <c r="AV207" i="2"/>
  <c r="AU207" i="2"/>
  <c r="AT207" i="2"/>
  <c r="AS207" i="2"/>
  <c r="AR207" i="2"/>
  <c r="AO207" i="2"/>
  <c r="AM207" i="2"/>
  <c r="AB207" i="2"/>
  <c r="AC207" i="2" s="1"/>
  <c r="AA207" i="2"/>
  <c r="W207" i="2"/>
  <c r="T207" i="2"/>
  <c r="U207" i="2" s="1"/>
  <c r="S207" i="2"/>
  <c r="O207" i="2"/>
  <c r="P207" i="2" s="1"/>
  <c r="Q207" i="2" s="1"/>
  <c r="K207" i="2"/>
  <c r="L207" i="2" s="1"/>
  <c r="M207" i="2" s="1"/>
  <c r="H207" i="2"/>
  <c r="AV206" i="2"/>
  <c r="AU206" i="2"/>
  <c r="AT206" i="2"/>
  <c r="AS206" i="2"/>
  <c r="AR206" i="2"/>
  <c r="AM206" i="2"/>
  <c r="AO206" i="2" s="1"/>
  <c r="AA206" i="2"/>
  <c r="AB206" i="2" s="1"/>
  <c r="AC206" i="2" s="1"/>
  <c r="W206" i="2"/>
  <c r="X206" i="2" s="1"/>
  <c r="Y206" i="2" s="1"/>
  <c r="S206" i="2"/>
  <c r="T206" i="2" s="1"/>
  <c r="U206" i="2" s="1"/>
  <c r="O206" i="2"/>
  <c r="K206" i="2"/>
  <c r="H206" i="2"/>
  <c r="AV205" i="2"/>
  <c r="AU205" i="2"/>
  <c r="AT205" i="2"/>
  <c r="AS205" i="2"/>
  <c r="AR205" i="2"/>
  <c r="AO205" i="2"/>
  <c r="AM205" i="2"/>
  <c r="AA205" i="2"/>
  <c r="W205" i="2"/>
  <c r="S205" i="2"/>
  <c r="O205" i="2"/>
  <c r="P205" i="2" s="1"/>
  <c r="K205" i="2"/>
  <c r="L205" i="2" s="1"/>
  <c r="M205" i="2" s="1"/>
  <c r="H205" i="2"/>
  <c r="AV204" i="2"/>
  <c r="AU204" i="2"/>
  <c r="AT204" i="2"/>
  <c r="AS204" i="2"/>
  <c r="AR204" i="2"/>
  <c r="AO204" i="2"/>
  <c r="AM204" i="2"/>
  <c r="AA204" i="2"/>
  <c r="W204" i="2"/>
  <c r="X204" i="2" s="1"/>
  <c r="T204" i="2"/>
  <c r="U204" i="2" s="1"/>
  <c r="S204" i="2"/>
  <c r="P204" i="2"/>
  <c r="O204" i="2"/>
  <c r="L204" i="2"/>
  <c r="M204" i="2" s="1"/>
  <c r="K204" i="2"/>
  <c r="H204" i="2"/>
  <c r="AV203" i="2"/>
  <c r="AU203" i="2"/>
  <c r="AT203" i="2"/>
  <c r="AS203" i="2"/>
  <c r="AR203" i="2"/>
  <c r="AO203" i="2"/>
  <c r="AM203" i="2"/>
  <c r="AA203" i="2"/>
  <c r="AB203" i="2" s="1"/>
  <c r="AC203" i="2" s="1"/>
  <c r="X203" i="2"/>
  <c r="W203" i="2"/>
  <c r="T203" i="2"/>
  <c r="U203" i="2" s="1"/>
  <c r="S203" i="2"/>
  <c r="O203" i="2"/>
  <c r="P203" i="2" s="1"/>
  <c r="Q203" i="2" s="1"/>
  <c r="K203" i="2"/>
  <c r="L203" i="2" s="1"/>
  <c r="M203" i="2" s="1"/>
  <c r="H203" i="2"/>
  <c r="AV202" i="2"/>
  <c r="AU202" i="2"/>
  <c r="AT202" i="2"/>
  <c r="AS202" i="2"/>
  <c r="AR202" i="2"/>
  <c r="AM202" i="2"/>
  <c r="AO202" i="2" s="1"/>
  <c r="AA202" i="2"/>
  <c r="AB202" i="2" s="1"/>
  <c r="AC202" i="2" s="1"/>
  <c r="W202" i="2"/>
  <c r="X202" i="2" s="1"/>
  <c r="Y202" i="2" s="1"/>
  <c r="T202" i="2"/>
  <c r="S202" i="2"/>
  <c r="U202" i="2" s="1"/>
  <c r="O202" i="2"/>
  <c r="K202" i="2"/>
  <c r="H202" i="2"/>
  <c r="AV201" i="2"/>
  <c r="AU201" i="2"/>
  <c r="AT201" i="2"/>
  <c r="AS201" i="2"/>
  <c r="AR201" i="2"/>
  <c r="AO201" i="2"/>
  <c r="AM201" i="2"/>
  <c r="AA201" i="2"/>
  <c r="AB201" i="2" s="1"/>
  <c r="AC201" i="2" s="1"/>
  <c r="W201" i="2"/>
  <c r="S201" i="2"/>
  <c r="O201" i="2"/>
  <c r="P201" i="2" s="1"/>
  <c r="Q201" i="2" s="1"/>
  <c r="K201" i="2"/>
  <c r="L201" i="2" s="1"/>
  <c r="M201" i="2" s="1"/>
  <c r="H201" i="2"/>
  <c r="AV200" i="2"/>
  <c r="AU200" i="2"/>
  <c r="AT200" i="2"/>
  <c r="AS200" i="2"/>
  <c r="AR200" i="2"/>
  <c r="AO200" i="2"/>
  <c r="AM200" i="2"/>
  <c r="AA200" i="2"/>
  <c r="W200" i="2"/>
  <c r="X200" i="2" s="1"/>
  <c r="Y200" i="2" s="1"/>
  <c r="T200" i="2"/>
  <c r="U200" i="2" s="1"/>
  <c r="S200" i="2"/>
  <c r="O200" i="2"/>
  <c r="L200" i="2"/>
  <c r="M200" i="2" s="1"/>
  <c r="K200" i="2"/>
  <c r="H200" i="2"/>
  <c r="AV199" i="2"/>
  <c r="AU199" i="2"/>
  <c r="AT199" i="2"/>
  <c r="AS199" i="2"/>
  <c r="AR199" i="2"/>
  <c r="AO199" i="2"/>
  <c r="AM199" i="2"/>
  <c r="AB199" i="2"/>
  <c r="AC199" i="2" s="1"/>
  <c r="AA199" i="2"/>
  <c r="W199" i="2"/>
  <c r="X199" i="2" s="1"/>
  <c r="T199" i="2"/>
  <c r="U199" i="2" s="1"/>
  <c r="S199" i="2"/>
  <c r="O199" i="2"/>
  <c r="P199" i="2" s="1"/>
  <c r="Q199" i="2" s="1"/>
  <c r="L199" i="2"/>
  <c r="K199" i="2"/>
  <c r="M199" i="2" s="1"/>
  <c r="H199" i="2"/>
  <c r="AV198" i="2"/>
  <c r="AU198" i="2"/>
  <c r="AT198" i="2"/>
  <c r="AS198" i="2"/>
  <c r="AR198" i="2"/>
  <c r="AM198" i="2"/>
  <c r="AO198" i="2" s="1"/>
  <c r="AA198" i="2"/>
  <c r="AB198" i="2" s="1"/>
  <c r="AC198" i="2" s="1"/>
  <c r="W198" i="2"/>
  <c r="X198" i="2" s="1"/>
  <c r="Y198" i="2" s="1"/>
  <c r="S198" i="2"/>
  <c r="T198" i="2" s="1"/>
  <c r="U198" i="2" s="1"/>
  <c r="O198" i="2"/>
  <c r="K198" i="2"/>
  <c r="H198" i="2"/>
  <c r="AV197" i="2"/>
  <c r="AU197" i="2"/>
  <c r="AT197" i="2"/>
  <c r="AS197" i="2"/>
  <c r="AR197" i="2"/>
  <c r="AO197" i="2"/>
  <c r="AM197" i="2"/>
  <c r="AA197" i="2"/>
  <c r="W197" i="2"/>
  <c r="S197" i="2"/>
  <c r="Q197" i="2"/>
  <c r="O197" i="2"/>
  <c r="P197" i="2" s="1"/>
  <c r="L197" i="2"/>
  <c r="M197" i="2" s="1"/>
  <c r="K197" i="2"/>
  <c r="H197" i="2"/>
  <c r="AV196" i="2"/>
  <c r="AU196" i="2"/>
  <c r="AT196" i="2"/>
  <c r="AS196" i="2"/>
  <c r="AR196" i="2"/>
  <c r="AO196" i="2"/>
  <c r="AM196" i="2"/>
  <c r="AA196" i="2"/>
  <c r="Y196" i="2"/>
  <c r="W196" i="2"/>
  <c r="X196" i="2" s="1"/>
  <c r="S196" i="2"/>
  <c r="T196" i="2" s="1"/>
  <c r="U196" i="2" s="1"/>
  <c r="O196" i="2"/>
  <c r="P196" i="2" s="1"/>
  <c r="K196" i="2"/>
  <c r="L196" i="2" s="1"/>
  <c r="M196" i="2" s="1"/>
  <c r="H196" i="2"/>
  <c r="AV195" i="2"/>
  <c r="AU195" i="2"/>
  <c r="AT195" i="2"/>
  <c r="AS195" i="2"/>
  <c r="AR195" i="2"/>
  <c r="AO195" i="2"/>
  <c r="AM195" i="2"/>
  <c r="AB195" i="2"/>
  <c r="AC195" i="2" s="1"/>
  <c r="AA195" i="2"/>
  <c r="W195" i="2"/>
  <c r="X195" i="2" s="1"/>
  <c r="S195" i="2"/>
  <c r="T195" i="2" s="1"/>
  <c r="U195" i="2" s="1"/>
  <c r="O195" i="2"/>
  <c r="P195" i="2" s="1"/>
  <c r="Q195" i="2" s="1"/>
  <c r="K195" i="2"/>
  <c r="L195" i="2" s="1"/>
  <c r="M195" i="2" s="1"/>
  <c r="H195" i="2"/>
  <c r="AV194" i="2"/>
  <c r="AU194" i="2"/>
  <c r="AT194" i="2"/>
  <c r="AS194" i="2"/>
  <c r="AR194" i="2"/>
  <c r="AM194" i="2"/>
  <c r="AO194" i="2" s="1"/>
  <c r="AB194" i="2"/>
  <c r="AC194" i="2" s="1"/>
  <c r="AA194" i="2"/>
  <c r="W194" i="2"/>
  <c r="X194" i="2" s="1"/>
  <c r="Y194" i="2" s="1"/>
  <c r="S194" i="2"/>
  <c r="T194" i="2" s="1"/>
  <c r="U194" i="2" s="1"/>
  <c r="O194" i="2"/>
  <c r="K194" i="2"/>
  <c r="H194" i="2"/>
  <c r="AV193" i="2"/>
  <c r="AU193" i="2"/>
  <c r="AT193" i="2"/>
  <c r="AS193" i="2"/>
  <c r="AR193" i="2"/>
  <c r="AO193" i="2"/>
  <c r="AM193" i="2"/>
  <c r="AB193" i="2"/>
  <c r="AC193" i="2" s="1"/>
  <c r="AA193" i="2"/>
  <c r="W193" i="2"/>
  <c r="S193" i="2"/>
  <c r="O193" i="2"/>
  <c r="P193" i="2" s="1"/>
  <c r="Q193" i="2" s="1"/>
  <c r="L193" i="2"/>
  <c r="M193" i="2" s="1"/>
  <c r="K193" i="2"/>
  <c r="H193" i="2"/>
  <c r="AV192" i="2"/>
  <c r="AU192" i="2"/>
  <c r="AT192" i="2"/>
  <c r="AS192" i="2"/>
  <c r="AR192" i="2"/>
  <c r="AO192" i="2"/>
  <c r="AM192" i="2"/>
  <c r="AA192" i="2"/>
  <c r="W192" i="2"/>
  <c r="X192" i="2" s="1"/>
  <c r="Y192" i="2" s="1"/>
  <c r="T192" i="2"/>
  <c r="U192" i="2" s="1"/>
  <c r="S192" i="2"/>
  <c r="O192" i="2"/>
  <c r="L192" i="2"/>
  <c r="M192" i="2" s="1"/>
  <c r="K192" i="2"/>
  <c r="H192" i="2"/>
  <c r="AV191" i="2"/>
  <c r="AU191" i="2"/>
  <c r="AT191" i="2"/>
  <c r="AS191" i="2"/>
  <c r="AR191" i="2"/>
  <c r="AO191" i="2"/>
  <c r="AM191" i="2"/>
  <c r="AA191" i="2"/>
  <c r="AB191" i="2" s="1"/>
  <c r="AC191" i="2" s="1"/>
  <c r="W191" i="2"/>
  <c r="T191" i="2"/>
  <c r="U191" i="2" s="1"/>
  <c r="S191" i="2"/>
  <c r="Q191" i="2"/>
  <c r="O191" i="2"/>
  <c r="P191" i="2" s="1"/>
  <c r="K191" i="2"/>
  <c r="H191" i="2"/>
  <c r="AV190" i="2"/>
  <c r="AU190" i="2"/>
  <c r="AT190" i="2"/>
  <c r="AS190" i="2"/>
  <c r="AR190" i="2"/>
  <c r="AM190" i="2"/>
  <c r="AO190" i="2" s="1"/>
  <c r="AA190" i="2"/>
  <c r="AB190" i="2" s="1"/>
  <c r="AC190" i="2" s="1"/>
  <c r="Y190" i="2"/>
  <c r="W190" i="2"/>
  <c r="X190" i="2" s="1"/>
  <c r="T190" i="2"/>
  <c r="U190" i="2" s="1"/>
  <c r="S190" i="2"/>
  <c r="Q190" i="2"/>
  <c r="O190" i="2"/>
  <c r="P190" i="2" s="1"/>
  <c r="K190" i="2"/>
  <c r="H190" i="2"/>
  <c r="AV189" i="2"/>
  <c r="AU189" i="2"/>
  <c r="AT189" i="2"/>
  <c r="AS189" i="2"/>
  <c r="AR189" i="2"/>
  <c r="AO189" i="2"/>
  <c r="AM189" i="2"/>
  <c r="AB189" i="2"/>
  <c r="AC189" i="2" s="1"/>
  <c r="AA189" i="2"/>
  <c r="W189" i="2"/>
  <c r="X189" i="2" s="1"/>
  <c r="S189" i="2"/>
  <c r="Q189" i="2"/>
  <c r="O189" i="2"/>
  <c r="P189" i="2" s="1"/>
  <c r="K189" i="2"/>
  <c r="L189" i="2" s="1"/>
  <c r="M189" i="2" s="1"/>
  <c r="H189" i="2"/>
  <c r="AV188" i="2"/>
  <c r="AU188" i="2"/>
  <c r="AT188" i="2"/>
  <c r="AS188" i="2"/>
  <c r="AR188" i="2"/>
  <c r="AO188" i="2"/>
  <c r="AM188" i="2"/>
  <c r="AA188" i="2"/>
  <c r="W188" i="2"/>
  <c r="X188" i="2" s="1"/>
  <c r="T188" i="2"/>
  <c r="U188" i="2" s="1"/>
  <c r="S188" i="2"/>
  <c r="O188" i="2"/>
  <c r="P188" i="2" s="1"/>
  <c r="L188" i="2"/>
  <c r="M188" i="2" s="1"/>
  <c r="K188" i="2"/>
  <c r="H188" i="2"/>
  <c r="AV187" i="2"/>
  <c r="AU187" i="2"/>
  <c r="AT187" i="2"/>
  <c r="AS187" i="2"/>
  <c r="AR187" i="2"/>
  <c r="AO187" i="2"/>
  <c r="AM187" i="2"/>
  <c r="AA187" i="2"/>
  <c r="AB187" i="2" s="1"/>
  <c r="AC187" i="2" s="1"/>
  <c r="W187" i="2"/>
  <c r="T187" i="2"/>
  <c r="U187" i="2" s="1"/>
  <c r="S187" i="2"/>
  <c r="O187" i="2"/>
  <c r="P187" i="2" s="1"/>
  <c r="M187" i="2"/>
  <c r="L187" i="2"/>
  <c r="K187" i="2"/>
  <c r="H187" i="2"/>
  <c r="AV186" i="2"/>
  <c r="AU186" i="2"/>
  <c r="AT186" i="2"/>
  <c r="AS186" i="2"/>
  <c r="AR186" i="2"/>
  <c r="AO186" i="2"/>
  <c r="AM186" i="2"/>
  <c r="AB186" i="2"/>
  <c r="AC186" i="2" s="1"/>
  <c r="AA186" i="2"/>
  <c r="W186" i="2"/>
  <c r="S186" i="2"/>
  <c r="O186" i="2"/>
  <c r="K186" i="2"/>
  <c r="L186" i="2" s="1"/>
  <c r="H186" i="2"/>
  <c r="AV185" i="2"/>
  <c r="AU185" i="2"/>
  <c r="AT185" i="2"/>
  <c r="AS185" i="2"/>
  <c r="AR185" i="2"/>
  <c r="AO185" i="2"/>
  <c r="AM185" i="2"/>
  <c r="AB185" i="2"/>
  <c r="AC185" i="2" s="1"/>
  <c r="AA185" i="2"/>
  <c r="W185" i="2"/>
  <c r="X185" i="2" s="1"/>
  <c r="S185" i="2"/>
  <c r="Q185" i="2"/>
  <c r="O185" i="2"/>
  <c r="P185" i="2" s="1"/>
  <c r="L185" i="2"/>
  <c r="M185" i="2" s="1"/>
  <c r="K185" i="2"/>
  <c r="H185" i="2"/>
  <c r="AV184" i="2"/>
  <c r="AU184" i="2"/>
  <c r="AT184" i="2"/>
  <c r="AS184" i="2"/>
  <c r="AR184" i="2"/>
  <c r="AO184" i="2"/>
  <c r="AM184" i="2"/>
  <c r="AB184" i="2"/>
  <c r="AA184" i="2"/>
  <c r="W184" i="2"/>
  <c r="T184" i="2"/>
  <c r="U184" i="2" s="1"/>
  <c r="S184" i="2"/>
  <c r="P184" i="2"/>
  <c r="O184" i="2"/>
  <c r="Q184" i="2" s="1"/>
  <c r="L184" i="2"/>
  <c r="M184" i="2" s="1"/>
  <c r="K184" i="2"/>
  <c r="H184" i="2"/>
  <c r="AV183" i="2"/>
  <c r="AU183" i="2"/>
  <c r="AT183" i="2"/>
  <c r="AS183" i="2"/>
  <c r="AR183" i="2"/>
  <c r="AO183" i="2"/>
  <c r="AM183" i="2"/>
  <c r="AB183" i="2"/>
  <c r="AC183" i="2" s="1"/>
  <c r="AA183" i="2"/>
  <c r="W183" i="2"/>
  <c r="X183" i="2" s="1"/>
  <c r="Y183" i="2" s="1"/>
  <c r="T183" i="2"/>
  <c r="U183" i="2" s="1"/>
  <c r="S183" i="2"/>
  <c r="O183" i="2"/>
  <c r="P183" i="2" s="1"/>
  <c r="L183" i="2"/>
  <c r="M183" i="2" s="1"/>
  <c r="K183" i="2"/>
  <c r="H183" i="2"/>
  <c r="AV182" i="2"/>
  <c r="AU182" i="2"/>
  <c r="AT182" i="2"/>
  <c r="AS182" i="2"/>
  <c r="AR182" i="2"/>
  <c r="AM182" i="2"/>
  <c r="AO182" i="2" s="1"/>
  <c r="AA182" i="2"/>
  <c r="AB182" i="2" s="1"/>
  <c r="AC182" i="2" s="1"/>
  <c r="W182" i="2"/>
  <c r="S182" i="2"/>
  <c r="Q182" i="2"/>
  <c r="O182" i="2"/>
  <c r="P182" i="2" s="1"/>
  <c r="K182" i="2"/>
  <c r="H182" i="2"/>
  <c r="AV181" i="2"/>
  <c r="AU181" i="2"/>
  <c r="AT181" i="2"/>
  <c r="AS181" i="2"/>
  <c r="AR181" i="2"/>
  <c r="AO181" i="2"/>
  <c r="AM181" i="2"/>
  <c r="AB181" i="2"/>
  <c r="AC181" i="2" s="1"/>
  <c r="AA181" i="2"/>
  <c r="W181" i="2"/>
  <c r="X181" i="2" s="1"/>
  <c r="S181" i="2"/>
  <c r="T181" i="2" s="1"/>
  <c r="O181" i="2"/>
  <c r="L181" i="2"/>
  <c r="M181" i="2" s="1"/>
  <c r="K181" i="2"/>
  <c r="H181" i="2"/>
  <c r="AV180" i="2"/>
  <c r="AU180" i="2"/>
  <c r="AT180" i="2"/>
  <c r="AS180" i="2"/>
  <c r="AR180" i="2"/>
  <c r="AO180" i="2"/>
  <c r="AM180" i="2"/>
  <c r="AA180" i="2"/>
  <c r="W180" i="2"/>
  <c r="X180" i="2" s="1"/>
  <c r="Y180" i="2" s="1"/>
  <c r="S180" i="2"/>
  <c r="T180" i="2" s="1"/>
  <c r="U180" i="2" s="1"/>
  <c r="Q180" i="2"/>
  <c r="P180" i="2"/>
  <c r="O180" i="2"/>
  <c r="L180" i="2"/>
  <c r="M180" i="2" s="1"/>
  <c r="K180" i="2"/>
  <c r="H180" i="2"/>
  <c r="AV179" i="2"/>
  <c r="AU179" i="2"/>
  <c r="AT179" i="2"/>
  <c r="AS179" i="2"/>
  <c r="AR179" i="2"/>
  <c r="AO179" i="2"/>
  <c r="AM179" i="2"/>
  <c r="AB179" i="2"/>
  <c r="AC179" i="2" s="1"/>
  <c r="AA179" i="2"/>
  <c r="X179" i="2"/>
  <c r="Y179" i="2" s="1"/>
  <c r="W179" i="2"/>
  <c r="S179" i="2"/>
  <c r="T179" i="2" s="1"/>
  <c r="U179" i="2" s="1"/>
  <c r="O179" i="2"/>
  <c r="P179" i="2" s="1"/>
  <c r="K179" i="2"/>
  <c r="H179" i="2"/>
  <c r="AV178" i="2"/>
  <c r="AU178" i="2"/>
  <c r="AT178" i="2"/>
  <c r="AS178" i="2"/>
  <c r="AR178" i="2"/>
  <c r="AO178" i="2"/>
  <c r="AM178" i="2"/>
  <c r="AB178" i="2"/>
  <c r="AC178" i="2" s="1"/>
  <c r="AA178" i="2"/>
  <c r="Y178" i="2"/>
  <c r="W178" i="2"/>
  <c r="X178" i="2" s="1"/>
  <c r="T178" i="2"/>
  <c r="U178" i="2" s="1"/>
  <c r="S178" i="2"/>
  <c r="O178" i="2"/>
  <c r="P178" i="2" s="1"/>
  <c r="L178" i="2"/>
  <c r="K178" i="2"/>
  <c r="H178" i="2"/>
  <c r="AV177" i="2"/>
  <c r="AU177" i="2"/>
  <c r="AT177" i="2"/>
  <c r="AS177" i="2"/>
  <c r="AR177" i="2"/>
  <c r="AO177" i="2"/>
  <c r="AM177" i="2"/>
  <c r="AA177" i="2"/>
  <c r="AB177" i="2" s="1"/>
  <c r="AC177" i="2" s="1"/>
  <c r="W177" i="2"/>
  <c r="X177" i="2" s="1"/>
  <c r="T177" i="2"/>
  <c r="S177" i="2"/>
  <c r="O177" i="2"/>
  <c r="P177" i="2" s="1"/>
  <c r="Q177" i="2" s="1"/>
  <c r="K177" i="2"/>
  <c r="L177" i="2" s="1"/>
  <c r="M177" i="2" s="1"/>
  <c r="H177" i="2"/>
  <c r="AV176" i="2"/>
  <c r="AU176" i="2"/>
  <c r="AT176" i="2"/>
  <c r="AS176" i="2"/>
  <c r="AR176" i="2"/>
  <c r="AO176" i="2"/>
  <c r="AM176" i="2"/>
  <c r="AA176" i="2"/>
  <c r="AB176" i="2" s="1"/>
  <c r="W176" i="2"/>
  <c r="S176" i="2"/>
  <c r="T176" i="2" s="1"/>
  <c r="O176" i="2"/>
  <c r="P176" i="2" s="1"/>
  <c r="Q176" i="2" s="1"/>
  <c r="K176" i="2"/>
  <c r="L176" i="2" s="1"/>
  <c r="M176" i="2" s="1"/>
  <c r="H176" i="2"/>
  <c r="AV175" i="2"/>
  <c r="AU175" i="2"/>
  <c r="AT175" i="2"/>
  <c r="AS175" i="2"/>
  <c r="AR175" i="2"/>
  <c r="AO175" i="2"/>
  <c r="AM175" i="2"/>
  <c r="AC175" i="2"/>
  <c r="AB175" i="2"/>
  <c r="AA175" i="2"/>
  <c r="X175" i="2"/>
  <c r="W175" i="2"/>
  <c r="S175" i="2"/>
  <c r="O175" i="2"/>
  <c r="L175" i="2"/>
  <c r="M175" i="2" s="1"/>
  <c r="K175" i="2"/>
  <c r="H175" i="2"/>
  <c r="AV174" i="2"/>
  <c r="AU174" i="2"/>
  <c r="AT174" i="2"/>
  <c r="AS174" i="2"/>
  <c r="AR174" i="2"/>
  <c r="AM174" i="2"/>
  <c r="AO174" i="2" s="1"/>
  <c r="AA174" i="2"/>
  <c r="W174" i="2"/>
  <c r="T174" i="2"/>
  <c r="U174" i="2" s="1"/>
  <c r="S174" i="2"/>
  <c r="O174" i="2"/>
  <c r="L174" i="2"/>
  <c r="K174" i="2"/>
  <c r="H174" i="2"/>
  <c r="AV173" i="2"/>
  <c r="AU173" i="2"/>
  <c r="AT173" i="2"/>
  <c r="AS173" i="2"/>
  <c r="AR173" i="2"/>
  <c r="AO173" i="2"/>
  <c r="AM173" i="2"/>
  <c r="AB173" i="2"/>
  <c r="AA173" i="2"/>
  <c r="AC173" i="2" s="1"/>
  <c r="W173" i="2"/>
  <c r="S173" i="2"/>
  <c r="Q173" i="2"/>
  <c r="O173" i="2"/>
  <c r="P173" i="2" s="1"/>
  <c r="M173" i="2"/>
  <c r="L173" i="2"/>
  <c r="K173" i="2"/>
  <c r="H173" i="2"/>
  <c r="AV172" i="2"/>
  <c r="AU172" i="2"/>
  <c r="AT172" i="2"/>
  <c r="AS172" i="2"/>
  <c r="AR172" i="2"/>
  <c r="AM172" i="2"/>
  <c r="AO172" i="2" s="1"/>
  <c r="AA172" i="2"/>
  <c r="AB172" i="2" s="1"/>
  <c r="Y172" i="2"/>
  <c r="W172" i="2"/>
  <c r="X172" i="2" s="1"/>
  <c r="T172" i="2"/>
  <c r="S172" i="2"/>
  <c r="U172" i="2" s="1"/>
  <c r="P172" i="2"/>
  <c r="Q172" i="2" s="1"/>
  <c r="O172" i="2"/>
  <c r="K172" i="2"/>
  <c r="L172" i="2" s="1"/>
  <c r="H172" i="2"/>
  <c r="AV171" i="2"/>
  <c r="AU171" i="2"/>
  <c r="AT171" i="2"/>
  <c r="AS171" i="2"/>
  <c r="AR171" i="2"/>
  <c r="AO171" i="2"/>
  <c r="AM171" i="2"/>
  <c r="AA171" i="2"/>
  <c r="AB171" i="2" s="1"/>
  <c r="W171" i="2"/>
  <c r="T171" i="2"/>
  <c r="S171" i="2"/>
  <c r="O171" i="2"/>
  <c r="M171" i="2"/>
  <c r="L171" i="2"/>
  <c r="K171" i="2"/>
  <c r="H171" i="2"/>
  <c r="AV170" i="2"/>
  <c r="AU170" i="2"/>
  <c r="AT170" i="2"/>
  <c r="AS170" i="2"/>
  <c r="AR170" i="2"/>
  <c r="AM170" i="2"/>
  <c r="AO170" i="2" s="1"/>
  <c r="AB170" i="2"/>
  <c r="AA170" i="2"/>
  <c r="W170" i="2"/>
  <c r="S170" i="2"/>
  <c r="O170" i="2"/>
  <c r="P170" i="2" s="1"/>
  <c r="K170" i="2"/>
  <c r="L170" i="2" s="1"/>
  <c r="H170" i="2"/>
  <c r="AV169" i="2"/>
  <c r="AU169" i="2"/>
  <c r="AT169" i="2"/>
  <c r="AS169" i="2"/>
  <c r="AR169" i="2"/>
  <c r="AO169" i="2"/>
  <c r="AM169" i="2"/>
  <c r="AA169" i="2"/>
  <c r="AB169" i="2" s="1"/>
  <c r="AC169" i="2" s="1"/>
  <c r="X169" i="2"/>
  <c r="Y169" i="2" s="1"/>
  <c r="W169" i="2"/>
  <c r="S169" i="2"/>
  <c r="T169" i="2" s="1"/>
  <c r="O169" i="2"/>
  <c r="P169" i="2" s="1"/>
  <c r="K169" i="2"/>
  <c r="H169" i="2"/>
  <c r="AV168" i="2"/>
  <c r="AU168" i="2"/>
  <c r="AT168" i="2"/>
  <c r="AS168" i="2"/>
  <c r="AR168" i="2"/>
  <c r="AO168" i="2"/>
  <c r="AM168" i="2"/>
  <c r="AB168" i="2"/>
  <c r="AA168" i="2"/>
  <c r="Y168" i="2"/>
  <c r="W168" i="2"/>
  <c r="X168" i="2" s="1"/>
  <c r="T168" i="2"/>
  <c r="U168" i="2" s="1"/>
  <c r="S168" i="2"/>
  <c r="O168" i="2"/>
  <c r="P168" i="2" s="1"/>
  <c r="K168" i="2"/>
  <c r="L168" i="2" s="1"/>
  <c r="H168" i="2"/>
  <c r="AV167" i="2"/>
  <c r="AU167" i="2"/>
  <c r="AT167" i="2"/>
  <c r="AS167" i="2"/>
  <c r="AR167" i="2"/>
  <c r="AO167" i="2"/>
  <c r="AM167" i="2"/>
  <c r="AA167" i="2"/>
  <c r="AB167" i="2" s="1"/>
  <c r="AC167" i="2" s="1"/>
  <c r="W167" i="2"/>
  <c r="S167" i="2"/>
  <c r="T167" i="2" s="1"/>
  <c r="O167" i="2"/>
  <c r="P167" i="2" s="1"/>
  <c r="K167" i="2"/>
  <c r="L167" i="2" s="1"/>
  <c r="M167" i="2" s="1"/>
  <c r="H167" i="2"/>
  <c r="AV166" i="2"/>
  <c r="AU166" i="2"/>
  <c r="AT166" i="2"/>
  <c r="AS166" i="2"/>
  <c r="AR166" i="2"/>
  <c r="AO166" i="2"/>
  <c r="AM166" i="2"/>
  <c r="AA166" i="2"/>
  <c r="Y166" i="2"/>
  <c r="W166" i="2"/>
  <c r="X166" i="2" s="1"/>
  <c r="S166" i="2"/>
  <c r="O166" i="2"/>
  <c r="K166" i="2"/>
  <c r="H166" i="2"/>
  <c r="AV165" i="2"/>
  <c r="AU165" i="2"/>
  <c r="AT165" i="2"/>
  <c r="AS165" i="2"/>
  <c r="AR165" i="2"/>
  <c r="AO165" i="2"/>
  <c r="AM165" i="2"/>
  <c r="AA165" i="2"/>
  <c r="AB165" i="2" s="1"/>
  <c r="AC165" i="2" s="1"/>
  <c r="W165" i="2"/>
  <c r="T165" i="2"/>
  <c r="S165" i="2"/>
  <c r="O165" i="2"/>
  <c r="P165" i="2" s="1"/>
  <c r="L165" i="2"/>
  <c r="M165" i="2" s="1"/>
  <c r="K165" i="2"/>
  <c r="H165" i="2"/>
  <c r="AV164" i="2"/>
  <c r="AU164" i="2"/>
  <c r="AT164" i="2"/>
  <c r="AS164" i="2"/>
  <c r="AR164" i="2"/>
  <c r="AM164" i="2"/>
  <c r="AO164" i="2" s="1"/>
  <c r="AA164" i="2"/>
  <c r="W164" i="2"/>
  <c r="X164" i="2" s="1"/>
  <c r="U164" i="2"/>
  <c r="S164" i="2"/>
  <c r="T164" i="2" s="1"/>
  <c r="O164" i="2"/>
  <c r="L164" i="2"/>
  <c r="K164" i="2"/>
  <c r="H164" i="2"/>
  <c r="AV163" i="2"/>
  <c r="AU163" i="2"/>
  <c r="AT163" i="2"/>
  <c r="AS163" i="2"/>
  <c r="AR163" i="2"/>
  <c r="AO163" i="2"/>
  <c r="AM163" i="2"/>
  <c r="AA163" i="2"/>
  <c r="W163" i="2"/>
  <c r="T163" i="2"/>
  <c r="S163" i="2"/>
  <c r="Q163" i="2"/>
  <c r="O163" i="2"/>
  <c r="P163" i="2" s="1"/>
  <c r="K163" i="2"/>
  <c r="L163" i="2" s="1"/>
  <c r="M163" i="2" s="1"/>
  <c r="H163" i="2"/>
  <c r="AV162" i="2"/>
  <c r="AU162" i="2"/>
  <c r="AT162" i="2"/>
  <c r="AS162" i="2"/>
  <c r="AR162" i="2"/>
  <c r="AO162" i="2"/>
  <c r="AM162" i="2"/>
  <c r="AA162" i="2"/>
  <c r="W162" i="2"/>
  <c r="T162" i="2"/>
  <c r="U162" i="2" s="1"/>
  <c r="S162" i="2"/>
  <c r="O162" i="2"/>
  <c r="P162" i="2" s="1"/>
  <c r="Q162" i="2" s="1"/>
  <c r="K162" i="2"/>
  <c r="H162" i="2"/>
  <c r="AV161" i="2"/>
  <c r="AU161" i="2"/>
  <c r="AT161" i="2"/>
  <c r="AS161" i="2"/>
  <c r="AR161" i="2"/>
  <c r="AO161" i="2"/>
  <c r="AM161" i="2"/>
  <c r="AA161" i="2"/>
  <c r="X161" i="2"/>
  <c r="W161" i="2"/>
  <c r="Y161" i="2" s="1"/>
  <c r="T161" i="2"/>
  <c r="S161" i="2"/>
  <c r="O161" i="2"/>
  <c r="P161" i="2" s="1"/>
  <c r="L161" i="2"/>
  <c r="M161" i="2" s="1"/>
  <c r="K161" i="2"/>
  <c r="H161" i="2"/>
  <c r="AV160" i="2"/>
  <c r="AU160" i="2"/>
  <c r="AT160" i="2"/>
  <c r="AS160" i="2"/>
  <c r="AR160" i="2"/>
  <c r="AM160" i="2"/>
  <c r="AO160" i="2" s="1"/>
  <c r="AA160" i="2"/>
  <c r="AB160" i="2" s="1"/>
  <c r="W160" i="2"/>
  <c r="X160" i="2" s="1"/>
  <c r="S160" i="2"/>
  <c r="O160" i="2"/>
  <c r="P160" i="2" s="1"/>
  <c r="K160" i="2"/>
  <c r="L160" i="2" s="1"/>
  <c r="H160" i="2"/>
  <c r="AV159" i="2"/>
  <c r="AU159" i="2"/>
  <c r="AT159" i="2"/>
  <c r="AS159" i="2"/>
  <c r="AR159" i="2"/>
  <c r="AO159" i="2"/>
  <c r="AM159" i="2"/>
  <c r="AA159" i="2"/>
  <c r="AB159" i="2" s="1"/>
  <c r="AC159" i="2" s="1"/>
  <c r="W159" i="2"/>
  <c r="X159" i="2" s="1"/>
  <c r="Y159" i="2" s="1"/>
  <c r="S159" i="2"/>
  <c r="O159" i="2"/>
  <c r="L159" i="2"/>
  <c r="K159" i="2"/>
  <c r="M159" i="2" s="1"/>
  <c r="H159" i="2"/>
  <c r="AV158" i="2"/>
  <c r="AU158" i="2"/>
  <c r="AT158" i="2"/>
  <c r="AS158" i="2"/>
  <c r="AR158" i="2"/>
  <c r="AM158" i="2"/>
  <c r="AO158" i="2" s="1"/>
  <c r="AA158" i="2"/>
  <c r="W158" i="2"/>
  <c r="X158" i="2" s="1"/>
  <c r="S158" i="2"/>
  <c r="T158" i="2" s="1"/>
  <c r="U158" i="2" s="1"/>
  <c r="P158" i="2"/>
  <c r="Q158" i="2" s="1"/>
  <c r="O158" i="2"/>
  <c r="K158" i="2"/>
  <c r="H158" i="2"/>
  <c r="AV157" i="2"/>
  <c r="AU157" i="2"/>
  <c r="AT157" i="2"/>
  <c r="AS157" i="2"/>
  <c r="AR157" i="2"/>
  <c r="AO157" i="2"/>
  <c r="AM157" i="2"/>
  <c r="AB157" i="2"/>
  <c r="AC157" i="2" s="1"/>
  <c r="AA157" i="2"/>
  <c r="W157" i="2"/>
  <c r="X157" i="2" s="1"/>
  <c r="S157" i="2"/>
  <c r="O157" i="2"/>
  <c r="P157" i="2" s="1"/>
  <c r="L157" i="2"/>
  <c r="M157" i="2" s="1"/>
  <c r="K157" i="2"/>
  <c r="H157" i="2"/>
  <c r="AV156" i="2"/>
  <c r="AU156" i="2"/>
  <c r="AT156" i="2"/>
  <c r="AS156" i="2"/>
  <c r="AR156" i="2"/>
  <c r="AM156" i="2"/>
  <c r="AO156" i="2" s="1"/>
  <c r="AA156" i="2"/>
  <c r="AB156" i="2" s="1"/>
  <c r="W156" i="2"/>
  <c r="T156" i="2"/>
  <c r="S156" i="2"/>
  <c r="U156" i="2" s="1"/>
  <c r="P156" i="2"/>
  <c r="Q156" i="2" s="1"/>
  <c r="O156" i="2"/>
  <c r="K156" i="2"/>
  <c r="L156" i="2" s="1"/>
  <c r="H156" i="2"/>
  <c r="AV155" i="2"/>
  <c r="AU155" i="2"/>
  <c r="AT155" i="2"/>
  <c r="AS155" i="2"/>
  <c r="AR155" i="2"/>
  <c r="AO155" i="2"/>
  <c r="AM155" i="2"/>
  <c r="AB155" i="2"/>
  <c r="AC155" i="2" s="1"/>
  <c r="AA155" i="2"/>
  <c r="X155" i="2"/>
  <c r="Y155" i="2" s="1"/>
  <c r="W155" i="2"/>
  <c r="T155" i="2"/>
  <c r="U155" i="2" s="1"/>
  <c r="S155" i="2"/>
  <c r="O155" i="2"/>
  <c r="P155" i="2" s="1"/>
  <c r="K155" i="2"/>
  <c r="H155" i="2"/>
  <c r="AV154" i="2"/>
  <c r="AU154" i="2"/>
  <c r="AT154" i="2"/>
  <c r="AS154" i="2"/>
  <c r="AR154" i="2"/>
  <c r="AO154" i="2"/>
  <c r="AM154" i="2"/>
  <c r="AA154" i="2"/>
  <c r="AB154" i="2" s="1"/>
  <c r="AC154" i="2" s="1"/>
  <c r="W154" i="2"/>
  <c r="X154" i="2" s="1"/>
  <c r="S154" i="2"/>
  <c r="T154" i="2" s="1"/>
  <c r="U154" i="2" s="1"/>
  <c r="O154" i="2"/>
  <c r="P154" i="2" s="1"/>
  <c r="Q154" i="2" s="1"/>
  <c r="L154" i="2"/>
  <c r="M154" i="2" s="1"/>
  <c r="K154" i="2"/>
  <c r="H154" i="2"/>
  <c r="AV153" i="2"/>
  <c r="AU153" i="2"/>
  <c r="AT153" i="2"/>
  <c r="AS153" i="2"/>
  <c r="AR153" i="2"/>
  <c r="AM153" i="2"/>
  <c r="AO153" i="2" s="1"/>
  <c r="AA153" i="2"/>
  <c r="W153" i="2"/>
  <c r="X153" i="2" s="1"/>
  <c r="Y153" i="2" s="1"/>
  <c r="S153" i="2"/>
  <c r="T153" i="2" s="1"/>
  <c r="U153" i="2" s="1"/>
  <c r="O153" i="2"/>
  <c r="P153" i="2" s="1"/>
  <c r="Q153" i="2" s="1"/>
  <c r="K153" i="2"/>
  <c r="H153" i="2"/>
  <c r="AV152" i="2"/>
  <c r="AU152" i="2"/>
  <c r="AT152" i="2"/>
  <c r="AS152" i="2"/>
  <c r="AR152" i="2"/>
  <c r="AM152" i="2"/>
  <c r="AO152" i="2" s="1"/>
  <c r="AA152" i="2"/>
  <c r="W152" i="2"/>
  <c r="X152" i="2" s="1"/>
  <c r="Y152" i="2" s="1"/>
  <c r="S152" i="2"/>
  <c r="P152" i="2"/>
  <c r="Q152" i="2" s="1"/>
  <c r="O152" i="2"/>
  <c r="K152" i="2"/>
  <c r="L152" i="2" s="1"/>
  <c r="H152" i="2"/>
  <c r="AV151" i="2"/>
  <c r="AU151" i="2"/>
  <c r="AT151" i="2"/>
  <c r="AS151" i="2"/>
  <c r="AR151" i="2"/>
  <c r="AO151" i="2"/>
  <c r="AM151" i="2"/>
  <c r="AA151" i="2"/>
  <c r="W151" i="2"/>
  <c r="U151" i="2"/>
  <c r="S151" i="2"/>
  <c r="T151" i="2" s="1"/>
  <c r="P151" i="2"/>
  <c r="O151" i="2"/>
  <c r="K151" i="2"/>
  <c r="H151" i="2"/>
  <c r="AV150" i="2"/>
  <c r="AU150" i="2"/>
  <c r="AT150" i="2"/>
  <c r="AS150" i="2"/>
  <c r="AR150" i="2"/>
  <c r="AM150" i="2"/>
  <c r="AO150" i="2" s="1"/>
  <c r="AA150" i="2"/>
  <c r="AB150" i="2" s="1"/>
  <c r="AC150" i="2" s="1"/>
  <c r="X150" i="2"/>
  <c r="W150" i="2"/>
  <c r="S150" i="2"/>
  <c r="T150" i="2" s="1"/>
  <c r="U150" i="2" s="1"/>
  <c r="O150" i="2"/>
  <c r="P150" i="2" s="1"/>
  <c r="Q150" i="2" s="1"/>
  <c r="K150" i="2"/>
  <c r="L150" i="2" s="1"/>
  <c r="H150" i="2"/>
  <c r="AV149" i="2"/>
  <c r="AU149" i="2"/>
  <c r="AT149" i="2"/>
  <c r="AS149" i="2"/>
  <c r="AR149" i="2"/>
  <c r="AM149" i="2"/>
  <c r="AO149" i="2" s="1"/>
  <c r="AA149" i="2"/>
  <c r="AB149" i="2" s="1"/>
  <c r="AC149" i="2" s="1"/>
  <c r="W149" i="2"/>
  <c r="X149" i="2" s="1"/>
  <c r="Y149" i="2" s="1"/>
  <c r="T149" i="2"/>
  <c r="S149" i="2"/>
  <c r="U149" i="2" s="1"/>
  <c r="O149" i="2"/>
  <c r="K149" i="2"/>
  <c r="H149" i="2"/>
  <c r="AV148" i="2"/>
  <c r="AU148" i="2"/>
  <c r="AT148" i="2"/>
  <c r="AS148" i="2"/>
  <c r="AR148" i="2"/>
  <c r="AM148" i="2"/>
  <c r="AO148" i="2" s="1"/>
  <c r="AA148" i="2"/>
  <c r="AB148" i="2" s="1"/>
  <c r="AC148" i="2" s="1"/>
  <c r="W148" i="2"/>
  <c r="X148" i="2" s="1"/>
  <c r="Y148" i="2" s="1"/>
  <c r="S148" i="2"/>
  <c r="O148" i="2"/>
  <c r="P148" i="2" s="1"/>
  <c r="Q148" i="2" s="1"/>
  <c r="K148" i="2"/>
  <c r="L148" i="2" s="1"/>
  <c r="M148" i="2" s="1"/>
  <c r="H148" i="2"/>
  <c r="AV147" i="2"/>
  <c r="AU147" i="2"/>
  <c r="AT147" i="2"/>
  <c r="AS147" i="2"/>
  <c r="AR147" i="2"/>
  <c r="AM147" i="2"/>
  <c r="AO147" i="2" s="1"/>
  <c r="AA147" i="2"/>
  <c r="W147" i="2"/>
  <c r="S147" i="2"/>
  <c r="O147" i="2"/>
  <c r="K147" i="2"/>
  <c r="H147" i="2"/>
  <c r="AV146" i="2"/>
  <c r="AU146" i="2"/>
  <c r="AT146" i="2"/>
  <c r="AS146" i="2"/>
  <c r="AR146" i="2"/>
  <c r="AO146" i="2"/>
  <c r="AM146" i="2"/>
  <c r="AA146" i="2"/>
  <c r="AB146" i="2" s="1"/>
  <c r="AC146" i="2" s="1"/>
  <c r="W146" i="2"/>
  <c r="S146" i="2"/>
  <c r="P146" i="2"/>
  <c r="Q146" i="2" s="1"/>
  <c r="O146" i="2"/>
  <c r="K146" i="2"/>
  <c r="H146" i="2"/>
  <c r="AV145" i="2"/>
  <c r="AU145" i="2"/>
  <c r="AT145" i="2"/>
  <c r="AS145" i="2"/>
  <c r="AR145" i="2"/>
  <c r="AM145" i="2"/>
  <c r="AO145" i="2" s="1"/>
  <c r="AA145" i="2"/>
  <c r="AB145" i="2" s="1"/>
  <c r="AC145" i="2" s="1"/>
  <c r="W145" i="2"/>
  <c r="X145" i="2" s="1"/>
  <c r="Y145" i="2" s="1"/>
  <c r="S145" i="2"/>
  <c r="O145" i="2"/>
  <c r="P145" i="2" s="1"/>
  <c r="Q145" i="2" s="1"/>
  <c r="K145" i="2"/>
  <c r="H145" i="2"/>
  <c r="AV144" i="2"/>
  <c r="AU144" i="2"/>
  <c r="AT144" i="2"/>
  <c r="AS144" i="2"/>
  <c r="AR144" i="2"/>
  <c r="AM144" i="2"/>
  <c r="AO144" i="2" s="1"/>
  <c r="AA144" i="2"/>
  <c r="X144" i="2"/>
  <c r="Y144" i="2" s="1"/>
  <c r="W144" i="2"/>
  <c r="S144" i="2"/>
  <c r="T144" i="2" s="1"/>
  <c r="O144" i="2"/>
  <c r="K144" i="2"/>
  <c r="L144" i="2" s="1"/>
  <c r="H144" i="2"/>
  <c r="AV143" i="2"/>
  <c r="AU143" i="2"/>
  <c r="AT143" i="2"/>
  <c r="AS143" i="2"/>
  <c r="AR143" i="2"/>
  <c r="AM143" i="2"/>
  <c r="AO143" i="2" s="1"/>
  <c r="AA143" i="2"/>
  <c r="W143" i="2"/>
  <c r="X143" i="2" s="1"/>
  <c r="Y143" i="2" s="1"/>
  <c r="S143" i="2"/>
  <c r="T143" i="2" s="1"/>
  <c r="O143" i="2"/>
  <c r="K143" i="2"/>
  <c r="H143" i="2"/>
  <c r="AV142" i="2"/>
  <c r="AU142" i="2"/>
  <c r="AT142" i="2"/>
  <c r="AS142" i="2"/>
  <c r="AR142" i="2"/>
  <c r="AM142" i="2"/>
  <c r="AO142" i="2" s="1"/>
  <c r="AA142" i="2"/>
  <c r="W142" i="2"/>
  <c r="X142" i="2" s="1"/>
  <c r="S142" i="2"/>
  <c r="O142" i="2"/>
  <c r="K142" i="2"/>
  <c r="L142" i="2" s="1"/>
  <c r="M142" i="2" s="1"/>
  <c r="H142" i="2"/>
  <c r="AV141" i="2"/>
  <c r="AU141" i="2"/>
  <c r="AT141" i="2"/>
  <c r="AS141" i="2"/>
  <c r="AR141" i="2"/>
  <c r="AM141" i="2"/>
  <c r="AO141" i="2" s="1"/>
  <c r="AA141" i="2"/>
  <c r="AB141" i="2" s="1"/>
  <c r="AC141" i="2" s="1"/>
  <c r="X141" i="2"/>
  <c r="Y141" i="2" s="1"/>
  <c r="W141" i="2"/>
  <c r="S141" i="2"/>
  <c r="T141" i="2" s="1"/>
  <c r="U141" i="2" s="1"/>
  <c r="O141" i="2"/>
  <c r="M141" i="2"/>
  <c r="K141" i="2"/>
  <c r="L141" i="2" s="1"/>
  <c r="H141" i="2"/>
  <c r="AV140" i="2"/>
  <c r="AU140" i="2"/>
  <c r="AT140" i="2"/>
  <c r="AS140" i="2"/>
  <c r="AR140" i="2"/>
  <c r="AM140" i="2"/>
  <c r="AO140" i="2" s="1"/>
  <c r="AA140" i="2"/>
  <c r="AB140" i="2" s="1"/>
  <c r="AC140" i="2" s="1"/>
  <c r="W140" i="2"/>
  <c r="X140" i="2" s="1"/>
  <c r="Y140" i="2" s="1"/>
  <c r="S140" i="2"/>
  <c r="T140" i="2" s="1"/>
  <c r="P140" i="2"/>
  <c r="Q140" i="2" s="1"/>
  <c r="O140" i="2"/>
  <c r="L140" i="2"/>
  <c r="M140" i="2" s="1"/>
  <c r="K140" i="2"/>
  <c r="H140" i="2"/>
  <c r="AV139" i="2"/>
  <c r="AU139" i="2"/>
  <c r="AT139" i="2"/>
  <c r="AS139" i="2"/>
  <c r="AR139" i="2"/>
  <c r="AM139" i="2"/>
  <c r="AO139" i="2" s="1"/>
  <c r="AA139" i="2"/>
  <c r="AB139" i="2" s="1"/>
  <c r="W139" i="2"/>
  <c r="X139" i="2" s="1"/>
  <c r="S139" i="2"/>
  <c r="T139" i="2" s="1"/>
  <c r="U139" i="2" s="1"/>
  <c r="O139" i="2"/>
  <c r="K139" i="2"/>
  <c r="L139" i="2" s="1"/>
  <c r="H139" i="2"/>
  <c r="AV138" i="2"/>
  <c r="AU138" i="2"/>
  <c r="AT138" i="2"/>
  <c r="AS138" i="2"/>
  <c r="AR138" i="2"/>
  <c r="AM138" i="2"/>
  <c r="AO138" i="2" s="1"/>
  <c r="AA138" i="2"/>
  <c r="W138" i="2"/>
  <c r="S138" i="2"/>
  <c r="O138" i="2"/>
  <c r="P138" i="2" s="1"/>
  <c r="Q138" i="2" s="1"/>
  <c r="K138" i="2"/>
  <c r="L138" i="2" s="1"/>
  <c r="M138" i="2" s="1"/>
  <c r="H138" i="2"/>
  <c r="AV137" i="2"/>
  <c r="AU137" i="2"/>
  <c r="AT137" i="2"/>
  <c r="AS137" i="2"/>
  <c r="AR137" i="2"/>
  <c r="AM137" i="2"/>
  <c r="AO137" i="2" s="1"/>
  <c r="AB137" i="2"/>
  <c r="AC137" i="2" s="1"/>
  <c r="AA137" i="2"/>
  <c r="W137" i="2"/>
  <c r="T137" i="2"/>
  <c r="U137" i="2" s="1"/>
  <c r="S137" i="2"/>
  <c r="O137" i="2"/>
  <c r="P137" i="2" s="1"/>
  <c r="Q137" i="2" s="1"/>
  <c r="K137" i="2"/>
  <c r="L137" i="2" s="1"/>
  <c r="H137" i="2"/>
  <c r="AV136" i="2"/>
  <c r="AU136" i="2"/>
  <c r="AT136" i="2"/>
  <c r="AS136" i="2"/>
  <c r="AR136" i="2"/>
  <c r="AM136" i="2"/>
  <c r="AO136" i="2" s="1"/>
  <c r="AB136" i="2"/>
  <c r="AC136" i="2" s="1"/>
  <c r="AA136" i="2"/>
  <c r="W136" i="2"/>
  <c r="X136" i="2" s="1"/>
  <c r="Y136" i="2" s="1"/>
  <c r="S136" i="2"/>
  <c r="Q136" i="2"/>
  <c r="O136" i="2"/>
  <c r="P136" i="2" s="1"/>
  <c r="K136" i="2"/>
  <c r="H136" i="2"/>
  <c r="AV135" i="2"/>
  <c r="AU135" i="2"/>
  <c r="AT135" i="2"/>
  <c r="AS135" i="2"/>
  <c r="AR135" i="2"/>
  <c r="AO135" i="2"/>
  <c r="AM135" i="2"/>
  <c r="AA135" i="2"/>
  <c r="Y135" i="2"/>
  <c r="W135" i="2"/>
  <c r="X135" i="2" s="1"/>
  <c r="S135" i="2"/>
  <c r="Q135" i="2"/>
  <c r="P135" i="2"/>
  <c r="O135" i="2"/>
  <c r="L135" i="2"/>
  <c r="M135" i="2" s="1"/>
  <c r="K135" i="2"/>
  <c r="H135" i="2"/>
  <c r="AV134" i="2"/>
  <c r="AU134" i="2"/>
  <c r="AT134" i="2"/>
  <c r="AS134" i="2"/>
  <c r="AR134" i="2"/>
  <c r="AM134" i="2"/>
  <c r="AO134" i="2" s="1"/>
  <c r="AB134" i="2"/>
  <c r="AA134" i="2"/>
  <c r="W134" i="2"/>
  <c r="T134" i="2"/>
  <c r="U134" i="2" s="1"/>
  <c r="S134" i="2"/>
  <c r="O134" i="2"/>
  <c r="L134" i="2"/>
  <c r="K134" i="2"/>
  <c r="M134" i="2" s="1"/>
  <c r="H134" i="2"/>
  <c r="AV133" i="2"/>
  <c r="AU133" i="2"/>
  <c r="AT133" i="2"/>
  <c r="AS133" i="2"/>
  <c r="AR133" i="2"/>
  <c r="AM133" i="2"/>
  <c r="AO133" i="2" s="1"/>
  <c r="AB133" i="2"/>
  <c r="AC133" i="2" s="1"/>
  <c r="AA133" i="2"/>
  <c r="W133" i="2"/>
  <c r="S133" i="2"/>
  <c r="T133" i="2" s="1"/>
  <c r="U133" i="2" s="1"/>
  <c r="O133" i="2"/>
  <c r="P133" i="2" s="1"/>
  <c r="K133" i="2"/>
  <c r="L133" i="2" s="1"/>
  <c r="H133" i="2"/>
  <c r="AV132" i="2"/>
  <c r="AU132" i="2"/>
  <c r="AT132" i="2"/>
  <c r="AS132" i="2"/>
  <c r="AR132" i="2"/>
  <c r="AM132" i="2"/>
  <c r="AO132" i="2" s="1"/>
  <c r="AB132" i="2"/>
  <c r="AC132" i="2" s="1"/>
  <c r="AA132" i="2"/>
  <c r="W132" i="2"/>
  <c r="X132" i="2" s="1"/>
  <c r="T132" i="2"/>
  <c r="S132" i="2"/>
  <c r="U132" i="2" s="1"/>
  <c r="O132" i="2"/>
  <c r="K132" i="2"/>
  <c r="H132" i="2"/>
  <c r="AV131" i="2"/>
  <c r="AU131" i="2"/>
  <c r="AT131" i="2"/>
  <c r="AS131" i="2"/>
  <c r="AR131" i="2"/>
  <c r="AM131" i="2"/>
  <c r="AO131" i="2" s="1"/>
  <c r="AB131" i="2"/>
  <c r="AA131" i="2"/>
  <c r="W131" i="2"/>
  <c r="X131" i="2" s="1"/>
  <c r="S131" i="2"/>
  <c r="T131" i="2" s="1"/>
  <c r="O131" i="2"/>
  <c r="K131" i="2"/>
  <c r="L131" i="2" s="1"/>
  <c r="M131" i="2" s="1"/>
  <c r="H131" i="2"/>
  <c r="AV130" i="2"/>
  <c r="AU130" i="2"/>
  <c r="AT130" i="2"/>
  <c r="AS130" i="2"/>
  <c r="AR130" i="2"/>
  <c r="AO130" i="2"/>
  <c r="AM130" i="2"/>
  <c r="AA130" i="2"/>
  <c r="X130" i="2"/>
  <c r="W130" i="2"/>
  <c r="Y130" i="2" s="1"/>
  <c r="S130" i="2"/>
  <c r="O130" i="2"/>
  <c r="M130" i="2"/>
  <c r="K130" i="2"/>
  <c r="L130" i="2" s="1"/>
  <c r="H130" i="2"/>
  <c r="AV129" i="2"/>
  <c r="AU129" i="2"/>
  <c r="AT129" i="2"/>
  <c r="AS129" i="2"/>
  <c r="AR129" i="2"/>
  <c r="AM129" i="2"/>
  <c r="AO129" i="2" s="1"/>
  <c r="AB129" i="2"/>
  <c r="AA129" i="2"/>
  <c r="AC129" i="2" s="1"/>
  <c r="W129" i="2"/>
  <c r="U129" i="2"/>
  <c r="S129" i="2"/>
  <c r="T129" i="2" s="1"/>
  <c r="O129" i="2"/>
  <c r="P129" i="2" s="1"/>
  <c r="K129" i="2"/>
  <c r="L129" i="2" s="1"/>
  <c r="H129" i="2"/>
  <c r="AV128" i="2"/>
  <c r="AU128" i="2"/>
  <c r="AT128" i="2"/>
  <c r="AS128" i="2"/>
  <c r="AR128" i="2"/>
  <c r="AM128" i="2"/>
  <c r="AO128" i="2" s="1"/>
  <c r="AA128" i="2"/>
  <c r="AB128" i="2" s="1"/>
  <c r="Y128" i="2"/>
  <c r="W128" i="2"/>
  <c r="X128" i="2" s="1"/>
  <c r="T128" i="2"/>
  <c r="U128" i="2" s="1"/>
  <c r="S128" i="2"/>
  <c r="Q128" i="2"/>
  <c r="O128" i="2"/>
  <c r="P128" i="2" s="1"/>
  <c r="K128" i="2"/>
  <c r="L128" i="2" s="1"/>
  <c r="H128" i="2"/>
  <c r="AV127" i="2"/>
  <c r="AU127" i="2"/>
  <c r="AT127" i="2"/>
  <c r="AS127" i="2"/>
  <c r="AR127" i="2"/>
  <c r="AM127" i="2"/>
  <c r="AO127" i="2" s="1"/>
  <c r="AA127" i="2"/>
  <c r="AB127" i="2" s="1"/>
  <c r="AC127" i="2" s="1"/>
  <c r="W127" i="2"/>
  <c r="S127" i="2"/>
  <c r="O127" i="2"/>
  <c r="L127" i="2"/>
  <c r="M127" i="2" s="1"/>
  <c r="K127" i="2"/>
  <c r="H127" i="2"/>
  <c r="AV126" i="2"/>
  <c r="AU126" i="2"/>
  <c r="AT126" i="2"/>
  <c r="AS126" i="2"/>
  <c r="AR126" i="2"/>
  <c r="AM126" i="2"/>
  <c r="AO126" i="2" s="1"/>
  <c r="AB126" i="2"/>
  <c r="AA126" i="2"/>
  <c r="X126" i="2"/>
  <c r="Y126" i="2" s="1"/>
  <c r="W126" i="2"/>
  <c r="S126" i="2"/>
  <c r="T126" i="2" s="1"/>
  <c r="O126" i="2"/>
  <c r="K126" i="2"/>
  <c r="L126" i="2" s="1"/>
  <c r="M126" i="2" s="1"/>
  <c r="H126" i="2"/>
  <c r="AV125" i="2"/>
  <c r="AU125" i="2"/>
  <c r="AT125" i="2"/>
  <c r="AS125" i="2"/>
  <c r="AR125" i="2"/>
  <c r="AM125" i="2"/>
  <c r="AO125" i="2" s="1"/>
  <c r="AA125" i="2"/>
  <c r="X125" i="2"/>
  <c r="W125" i="2"/>
  <c r="S125" i="2"/>
  <c r="T125" i="2" s="1"/>
  <c r="U125" i="2" s="1"/>
  <c r="O125" i="2"/>
  <c r="P125" i="2" s="1"/>
  <c r="K125" i="2"/>
  <c r="H125" i="2"/>
  <c r="AV124" i="2"/>
  <c r="AU124" i="2"/>
  <c r="AT124" i="2"/>
  <c r="AS124" i="2"/>
  <c r="AR124" i="2"/>
  <c r="AO124" i="2"/>
  <c r="AM124" i="2"/>
  <c r="AB124" i="2"/>
  <c r="AA124" i="2"/>
  <c r="W124" i="2"/>
  <c r="X124" i="2" s="1"/>
  <c r="S124" i="2"/>
  <c r="T124" i="2" s="1"/>
  <c r="U124" i="2" s="1"/>
  <c r="O124" i="2"/>
  <c r="L124" i="2"/>
  <c r="K124" i="2"/>
  <c r="H124" i="2"/>
  <c r="AV123" i="2"/>
  <c r="AU123" i="2"/>
  <c r="AT123" i="2"/>
  <c r="AS123" i="2"/>
  <c r="AR123" i="2"/>
  <c r="AM123" i="2"/>
  <c r="AO123" i="2" s="1"/>
  <c r="AB123" i="2"/>
  <c r="AC123" i="2" s="1"/>
  <c r="AA123" i="2"/>
  <c r="W123" i="2"/>
  <c r="S123" i="2"/>
  <c r="T123" i="2" s="1"/>
  <c r="P123" i="2"/>
  <c r="Q123" i="2" s="1"/>
  <c r="O123" i="2"/>
  <c r="K123" i="2"/>
  <c r="H123" i="2"/>
  <c r="AV122" i="2"/>
  <c r="AU122" i="2"/>
  <c r="AT122" i="2"/>
  <c r="AS122" i="2"/>
  <c r="AR122" i="2"/>
  <c r="AM122" i="2"/>
  <c r="AO122" i="2" s="1"/>
  <c r="AA122" i="2"/>
  <c r="AB122" i="2" s="1"/>
  <c r="W122" i="2"/>
  <c r="X122" i="2" s="1"/>
  <c r="Y122" i="2" s="1"/>
  <c r="T122" i="2"/>
  <c r="S122" i="2"/>
  <c r="U122" i="2" s="1"/>
  <c r="O122" i="2"/>
  <c r="M122" i="2"/>
  <c r="K122" i="2"/>
  <c r="L122" i="2" s="1"/>
  <c r="H122" i="2"/>
  <c r="AV121" i="2"/>
  <c r="AU121" i="2"/>
  <c r="AT121" i="2"/>
  <c r="AS121" i="2"/>
  <c r="AR121" i="2"/>
  <c r="AM121" i="2"/>
  <c r="AO121" i="2" s="1"/>
  <c r="AB121" i="2"/>
  <c r="AA121" i="2"/>
  <c r="AC121" i="2" s="1"/>
  <c r="W121" i="2"/>
  <c r="X121" i="2" s="1"/>
  <c r="T121" i="2"/>
  <c r="U121" i="2" s="1"/>
  <c r="S121" i="2"/>
  <c r="O121" i="2"/>
  <c r="K121" i="2"/>
  <c r="H121" i="2"/>
  <c r="AV120" i="2"/>
  <c r="AU120" i="2"/>
  <c r="AT120" i="2"/>
  <c r="AS120" i="2"/>
  <c r="AR120" i="2"/>
  <c r="AO120" i="2"/>
  <c r="AM120" i="2"/>
  <c r="AA120" i="2"/>
  <c r="W120" i="2"/>
  <c r="S120" i="2"/>
  <c r="P120" i="2"/>
  <c r="Q120" i="2" s="1"/>
  <c r="O120" i="2"/>
  <c r="L120" i="2"/>
  <c r="K120" i="2"/>
  <c r="H120" i="2"/>
  <c r="AV119" i="2"/>
  <c r="AU119" i="2"/>
  <c r="AT119" i="2"/>
  <c r="AS119" i="2"/>
  <c r="AR119" i="2"/>
  <c r="AM119" i="2"/>
  <c r="AO119" i="2" s="1"/>
  <c r="AA119" i="2"/>
  <c r="Y119" i="2"/>
  <c r="X119" i="2"/>
  <c r="W119" i="2"/>
  <c r="T119" i="2"/>
  <c r="S119" i="2"/>
  <c r="P119" i="2"/>
  <c r="Q119" i="2" s="1"/>
  <c r="O119" i="2"/>
  <c r="L119" i="2"/>
  <c r="K119" i="2"/>
  <c r="H119" i="2"/>
  <c r="AV118" i="2"/>
  <c r="AU118" i="2"/>
  <c r="AT118" i="2"/>
  <c r="AS118" i="2"/>
  <c r="AR118" i="2"/>
  <c r="AO118" i="2"/>
  <c r="AM118" i="2"/>
  <c r="AA118" i="2"/>
  <c r="X118" i="2"/>
  <c r="W118" i="2"/>
  <c r="Y118" i="2" s="1"/>
  <c r="S118" i="2"/>
  <c r="T118" i="2" s="1"/>
  <c r="O118" i="2"/>
  <c r="P118" i="2" s="1"/>
  <c r="K118" i="2"/>
  <c r="L118" i="2" s="1"/>
  <c r="M118" i="2" s="1"/>
  <c r="H118" i="2"/>
  <c r="AV117" i="2"/>
  <c r="AU117" i="2"/>
  <c r="AT117" i="2"/>
  <c r="AS117" i="2"/>
  <c r="AR117" i="2"/>
  <c r="AM117" i="2"/>
  <c r="AO117" i="2" s="1"/>
  <c r="AA117" i="2"/>
  <c r="W117" i="2"/>
  <c r="X117" i="2" s="1"/>
  <c r="S117" i="2"/>
  <c r="T117" i="2" s="1"/>
  <c r="U117" i="2" s="1"/>
  <c r="O117" i="2"/>
  <c r="K117" i="2"/>
  <c r="L117" i="2" s="1"/>
  <c r="H117" i="2"/>
  <c r="AV116" i="2"/>
  <c r="AU116" i="2"/>
  <c r="AT116" i="2"/>
  <c r="AS116" i="2"/>
  <c r="AR116" i="2"/>
  <c r="AO116" i="2"/>
  <c r="AM116" i="2"/>
  <c r="AA116" i="2"/>
  <c r="W116" i="2"/>
  <c r="S116" i="2"/>
  <c r="T116" i="2" s="1"/>
  <c r="O116" i="2"/>
  <c r="P116" i="2" s="1"/>
  <c r="Q116" i="2" s="1"/>
  <c r="K116" i="2"/>
  <c r="L116" i="2" s="1"/>
  <c r="H116" i="2"/>
  <c r="AV115" i="2"/>
  <c r="AU115" i="2"/>
  <c r="AT115" i="2"/>
  <c r="AS115" i="2"/>
  <c r="AR115" i="2"/>
  <c r="AM115" i="2"/>
  <c r="AO115" i="2" s="1"/>
  <c r="AA115" i="2"/>
  <c r="W115" i="2"/>
  <c r="X115" i="2" s="1"/>
  <c r="Y115" i="2" s="1"/>
  <c r="S115" i="2"/>
  <c r="O115" i="2"/>
  <c r="L115" i="2"/>
  <c r="K115" i="2"/>
  <c r="H115" i="2"/>
  <c r="AV12" i="2"/>
  <c r="AU12" i="2"/>
  <c r="AT12" i="2"/>
  <c r="AS12" i="2"/>
  <c r="AR12" i="2"/>
  <c r="AM12" i="2"/>
  <c r="AO12" i="2" s="1"/>
  <c r="AA12" i="2"/>
  <c r="AB12" i="2" s="1"/>
  <c r="W12" i="2"/>
  <c r="S12" i="2"/>
  <c r="T12" i="2" s="1"/>
  <c r="U12" i="2" s="1"/>
  <c r="Q12" i="2"/>
  <c r="O12" i="2"/>
  <c r="P12" i="2" s="1"/>
  <c r="K12" i="2"/>
  <c r="L12" i="2" s="1"/>
  <c r="H12" i="2"/>
  <c r="AV11" i="2"/>
  <c r="AU11" i="2"/>
  <c r="AT11" i="2"/>
  <c r="AS11" i="2"/>
  <c r="AR11" i="2"/>
  <c r="AM11" i="2"/>
  <c r="AO11" i="2" s="1"/>
  <c r="AA11" i="2"/>
  <c r="AB11" i="2" s="1"/>
  <c r="AC11" i="2" s="1"/>
  <c r="W11" i="2"/>
  <c r="S11" i="2"/>
  <c r="O11" i="2"/>
  <c r="P11" i="2" s="1"/>
  <c r="K11" i="2"/>
  <c r="L11" i="2" s="1"/>
  <c r="M11" i="2" s="1"/>
  <c r="H11" i="2"/>
  <c r="AV10" i="2"/>
  <c r="AU10" i="2"/>
  <c r="AT10" i="2"/>
  <c r="AS10" i="2"/>
  <c r="AR10" i="2"/>
  <c r="AM10" i="2"/>
  <c r="AO10" i="2" s="1"/>
  <c r="AA10" i="2"/>
  <c r="W10" i="2"/>
  <c r="X10" i="2" s="1"/>
  <c r="S10" i="2"/>
  <c r="T10" i="2" s="1"/>
  <c r="U10" i="2" s="1"/>
  <c r="O10" i="2"/>
  <c r="K10" i="2"/>
  <c r="L10" i="2" s="1"/>
  <c r="H10" i="2"/>
  <c r="AF33" i="2" l="1"/>
  <c r="BA33" i="2" s="1"/>
  <c r="BC33" i="2" s="1"/>
  <c r="BB33" i="2" s="1"/>
  <c r="AF17" i="2"/>
  <c r="AW20" i="2"/>
  <c r="Y23" i="2"/>
  <c r="AW24" i="2"/>
  <c r="AW25" i="2"/>
  <c r="M30" i="2"/>
  <c r="U38" i="2"/>
  <c r="AF43" i="2"/>
  <c r="BA43" i="2" s="1"/>
  <c r="BC43" i="2" s="1"/>
  <c r="BB43" i="2" s="1"/>
  <c r="Y48" i="2"/>
  <c r="P56" i="2"/>
  <c r="Q56" i="2" s="1"/>
  <c r="AF56" i="2" s="1"/>
  <c r="P59" i="2"/>
  <c r="Q59" i="2" s="1"/>
  <c r="AF59" i="2" s="1"/>
  <c r="AF65" i="2"/>
  <c r="L54" i="2"/>
  <c r="M54" i="2" s="1"/>
  <c r="AF54" i="2" s="1"/>
  <c r="X15" i="2"/>
  <c r="Y15" i="2" s="1"/>
  <c r="P20" i="2"/>
  <c r="Q20" i="2" s="1"/>
  <c r="L23" i="2"/>
  <c r="M23" i="2" s="1"/>
  <c r="AF23" i="2" s="1"/>
  <c r="AC25" i="2"/>
  <c r="AF25" i="2" s="1"/>
  <c r="Y27" i="2"/>
  <c r="AW28" i="2"/>
  <c r="T57" i="2"/>
  <c r="U57" i="2" s="1"/>
  <c r="AF57" i="2" s="1"/>
  <c r="AF79" i="2"/>
  <c r="BA79" i="2" s="1"/>
  <c r="BC79" i="2" s="1"/>
  <c r="BB79" i="2" s="1"/>
  <c r="Y14" i="2"/>
  <c r="X14" i="2"/>
  <c r="AB37" i="2"/>
  <c r="AC37" i="2" s="1"/>
  <c r="AF37" i="2" s="1"/>
  <c r="U62" i="2"/>
  <c r="AB13" i="2"/>
  <c r="AC13" i="2" s="1"/>
  <c r="L15" i="2"/>
  <c r="M15" i="2" s="1"/>
  <c r="U18" i="2"/>
  <c r="X19" i="2"/>
  <c r="Y19" i="2" s="1"/>
  <c r="AB20" i="2"/>
  <c r="AC20" i="2" s="1"/>
  <c r="AW21" i="2"/>
  <c r="Q23" i="2"/>
  <c r="P23" i="2"/>
  <c r="Q24" i="2"/>
  <c r="AF24" i="2" s="1"/>
  <c r="AB25" i="2"/>
  <c r="U26" i="2"/>
  <c r="AF28" i="2"/>
  <c r="X35" i="2"/>
  <c r="Y35" i="2" s="1"/>
  <c r="AB44" i="2"/>
  <c r="AC44" i="2" s="1"/>
  <c r="X47" i="2"/>
  <c r="Y47" i="2" s="1"/>
  <c r="X51" i="2"/>
  <c r="Y51" i="2" s="1"/>
  <c r="P79" i="2"/>
  <c r="Q79" i="2"/>
  <c r="AC16" i="2"/>
  <c r="AF16" i="2" s="1"/>
  <c r="M14" i="2"/>
  <c r="M22" i="2"/>
  <c r="Y22" i="2"/>
  <c r="X22" i="2"/>
  <c r="P13" i="2"/>
  <c r="Q13" i="2" s="1"/>
  <c r="AW17" i="2"/>
  <c r="M18" i="2"/>
  <c r="X18" i="2"/>
  <c r="Y18" i="2" s="1"/>
  <c r="L27" i="2"/>
  <c r="M27" i="2" s="1"/>
  <c r="AF27" i="2" s="1"/>
  <c r="AC28" i="2"/>
  <c r="AC29" i="2"/>
  <c r="AF29" i="2" s="1"/>
  <c r="AW32" i="2"/>
  <c r="Q36" i="2"/>
  <c r="AF36" i="2" s="1"/>
  <c r="P36" i="2"/>
  <c r="AW38" i="2"/>
  <c r="P63" i="2"/>
  <c r="Q63" i="2"/>
  <c r="AW13" i="2"/>
  <c r="Q15" i="2"/>
  <c r="P15" i="2"/>
  <c r="X26" i="2"/>
  <c r="Y26" i="2" s="1"/>
  <c r="Q27" i="2"/>
  <c r="P27" i="2"/>
  <c r="X39" i="2"/>
  <c r="Y39" i="2" s="1"/>
  <c r="P44" i="2"/>
  <c r="Q44" i="2" s="1"/>
  <c r="AF44" i="2" s="1"/>
  <c r="L46" i="2"/>
  <c r="M46" i="2" s="1"/>
  <c r="AF46" i="2" s="1"/>
  <c r="Y52" i="2"/>
  <c r="X52" i="2"/>
  <c r="X58" i="2"/>
  <c r="Y58" i="2"/>
  <c r="AB62" i="2"/>
  <c r="AC62" i="2" s="1"/>
  <c r="AB16" i="2"/>
  <c r="T13" i="2"/>
  <c r="U13" i="2" s="1"/>
  <c r="P19" i="2"/>
  <c r="Q19" i="2" s="1"/>
  <c r="AF19" i="2" s="1"/>
  <c r="M26" i="2"/>
  <c r="T30" i="2"/>
  <c r="U30" i="2" s="1"/>
  <c r="L31" i="2"/>
  <c r="M31" i="2" s="1"/>
  <c r="AC32" i="2"/>
  <c r="AF32" i="2" s="1"/>
  <c r="AC33" i="2"/>
  <c r="U34" i="2"/>
  <c r="L35" i="2"/>
  <c r="M35" i="2" s="1"/>
  <c r="P40" i="2"/>
  <c r="Q40" i="2" s="1"/>
  <c r="AF40" i="2" s="1"/>
  <c r="L47" i="2"/>
  <c r="M47" i="2" s="1"/>
  <c r="L51" i="2"/>
  <c r="M51" i="2" s="1"/>
  <c r="AF51" i="2" s="1"/>
  <c r="X53" i="2"/>
  <c r="Y53" i="2"/>
  <c r="P67" i="2"/>
  <c r="Q67" i="2" s="1"/>
  <c r="U17" i="2"/>
  <c r="U21" i="2"/>
  <c r="AF21" i="2" s="1"/>
  <c r="Y30" i="2"/>
  <c r="X30" i="2"/>
  <c r="P31" i="2"/>
  <c r="Q31" i="2" s="1"/>
  <c r="M39" i="2"/>
  <c r="AC41" i="2"/>
  <c r="AF41" i="2" s="1"/>
  <c r="AB41" i="2"/>
  <c r="AW52" i="2"/>
  <c r="L66" i="2"/>
  <c r="M66" i="2" s="1"/>
  <c r="AF66" i="2" s="1"/>
  <c r="L75" i="2"/>
  <c r="M75" i="2" s="1"/>
  <c r="AF75" i="2" s="1"/>
  <c r="AC108" i="2"/>
  <c r="AB108" i="2"/>
  <c r="L42" i="2"/>
  <c r="M42" i="2" s="1"/>
  <c r="AF42" i="2" s="1"/>
  <c r="Y42" i="2"/>
  <c r="AB45" i="2"/>
  <c r="AC45" i="2" s="1"/>
  <c r="T49" i="2"/>
  <c r="U49" i="2" s="1"/>
  <c r="AC51" i="2"/>
  <c r="M53" i="2"/>
  <c r="Q54" i="2"/>
  <c r="U55" i="2"/>
  <c r="Y57" i="2"/>
  <c r="AC58" i="2"/>
  <c r="M60" i="2"/>
  <c r="Y65" i="2"/>
  <c r="U67" i="2"/>
  <c r="Q78" i="2"/>
  <c r="AB81" i="2"/>
  <c r="AC81" i="2" s="1"/>
  <c r="P84" i="2"/>
  <c r="Q84" i="2" s="1"/>
  <c r="AF84" i="2" s="1"/>
  <c r="L58" i="2"/>
  <c r="M58" i="2" s="1"/>
  <c r="U78" i="2"/>
  <c r="T78" i="2"/>
  <c r="X34" i="2"/>
  <c r="Y34" i="2" s="1"/>
  <c r="P35" i="2"/>
  <c r="Q35" i="2" s="1"/>
  <c r="X38" i="2"/>
  <c r="Y38" i="2" s="1"/>
  <c r="P39" i="2"/>
  <c r="Q39" i="2" s="1"/>
  <c r="Q47" i="2"/>
  <c r="X48" i="2"/>
  <c r="AW48" i="2"/>
  <c r="Y49" i="2"/>
  <c r="Q52" i="2"/>
  <c r="AF52" i="2" s="1"/>
  <c r="T54" i="2"/>
  <c r="U54" i="2" s="1"/>
  <c r="X55" i="2"/>
  <c r="Y55" i="2" s="1"/>
  <c r="AC57" i="2"/>
  <c r="Y59" i="2"/>
  <c r="AW59" i="2"/>
  <c r="T62" i="2"/>
  <c r="AW64" i="2"/>
  <c r="AC65" i="2"/>
  <c r="AB65" i="2"/>
  <c r="X67" i="2"/>
  <c r="Y67" i="2" s="1"/>
  <c r="T74" i="2"/>
  <c r="U74" i="2" s="1"/>
  <c r="L76" i="2"/>
  <c r="M76" i="2"/>
  <c r="Q105" i="2"/>
  <c r="P105" i="2"/>
  <c r="M50" i="2"/>
  <c r="AF50" i="2" s="1"/>
  <c r="BA50" i="2" s="1"/>
  <c r="BC50" i="2" s="1"/>
  <c r="BB50" i="2" s="1"/>
  <c r="L50" i="2"/>
  <c r="AB52" i="2"/>
  <c r="AC52" i="2" s="1"/>
  <c r="P60" i="2"/>
  <c r="Q60" i="2" s="1"/>
  <c r="U77" i="2"/>
  <c r="AF77" i="2" s="1"/>
  <c r="T77" i="2"/>
  <c r="Q42" i="2"/>
  <c r="AC43" i="2"/>
  <c r="U45" i="2"/>
  <c r="AF45" i="2" s="1"/>
  <c r="M49" i="2"/>
  <c r="AW56" i="2"/>
  <c r="U61" i="2"/>
  <c r="AF64" i="2"/>
  <c r="BA64" i="2" s="1"/>
  <c r="BC64" i="2" s="1"/>
  <c r="BB64" i="2" s="1"/>
  <c r="AC68" i="2"/>
  <c r="AF68" i="2" s="1"/>
  <c r="AC72" i="2"/>
  <c r="AB72" i="2"/>
  <c r="Y75" i="2"/>
  <c r="AP91" i="2"/>
  <c r="BA91" i="2"/>
  <c r="BC91" i="2" s="1"/>
  <c r="BB91" i="2" s="1"/>
  <c r="Y96" i="2"/>
  <c r="AF96" i="2" s="1"/>
  <c r="X96" i="2"/>
  <c r="AB48" i="2"/>
  <c r="AC48" i="2" s="1"/>
  <c r="U52" i="2"/>
  <c r="M63" i="2"/>
  <c r="L70" i="2"/>
  <c r="M70" i="2" s="1"/>
  <c r="AF70" i="2" s="1"/>
  <c r="T71" i="2"/>
  <c r="U71" i="2" s="1"/>
  <c r="AF71" i="2" s="1"/>
  <c r="T82" i="2"/>
  <c r="U82" i="2" s="1"/>
  <c r="AW44" i="2"/>
  <c r="T53" i="2"/>
  <c r="U53" i="2" s="1"/>
  <c r="AC56" i="2"/>
  <c r="T58" i="2"/>
  <c r="U58" i="2" s="1"/>
  <c r="X61" i="2"/>
  <c r="Y61" i="2" s="1"/>
  <c r="AF61" i="2" s="1"/>
  <c r="AC64" i="2"/>
  <c r="L67" i="2"/>
  <c r="M67" i="2" s="1"/>
  <c r="AF67" i="2" s="1"/>
  <c r="Q70" i="2"/>
  <c r="AC70" i="2"/>
  <c r="Q72" i="2"/>
  <c r="AW76" i="2"/>
  <c r="U109" i="2"/>
  <c r="T109" i="2"/>
  <c r="AB84" i="2"/>
  <c r="AC84" i="2" s="1"/>
  <c r="AB100" i="2"/>
  <c r="AC100" i="2" s="1"/>
  <c r="L106" i="2"/>
  <c r="M106" i="2" s="1"/>
  <c r="AF106" i="2" s="1"/>
  <c r="L107" i="2"/>
  <c r="M107" i="2"/>
  <c r="AF107" i="2" s="1"/>
  <c r="BA107" i="2" s="1"/>
  <c r="BC107" i="2" s="1"/>
  <c r="BB107" i="2" s="1"/>
  <c r="Y80" i="2"/>
  <c r="AP83" i="2"/>
  <c r="L102" i="2"/>
  <c r="M102" i="2" s="1"/>
  <c r="AF102" i="2" s="1"/>
  <c r="AW105" i="2"/>
  <c r="AC60" i="2"/>
  <c r="T73" i="2"/>
  <c r="U73" i="2" s="1"/>
  <c r="AF73" i="2" s="1"/>
  <c r="X78" i="2"/>
  <c r="Y78" i="2"/>
  <c r="X80" i="2"/>
  <c r="AW84" i="2"/>
  <c r="L86" i="2"/>
  <c r="M86" i="2" s="1"/>
  <c r="AF86" i="2" s="1"/>
  <c r="AW86" i="2"/>
  <c r="P101" i="2"/>
  <c r="Q101" i="2" s="1"/>
  <c r="U105" i="2"/>
  <c r="AF105" i="2" s="1"/>
  <c r="T105" i="2"/>
  <c r="T114" i="2"/>
  <c r="U114" i="2"/>
  <c r="Q55" i="2"/>
  <c r="AF55" i="2" s="1"/>
  <c r="AW57" i="2"/>
  <c r="U59" i="2"/>
  <c r="AW61" i="2"/>
  <c r="M62" i="2"/>
  <c r="Q66" i="2"/>
  <c r="U69" i="2"/>
  <c r="AF69" i="2" s="1"/>
  <c r="Y71" i="2"/>
  <c r="Y73" i="2"/>
  <c r="Q76" i="2"/>
  <c r="AB76" i="2"/>
  <c r="AC76" i="2" s="1"/>
  <c r="AW94" i="2"/>
  <c r="AF103" i="2"/>
  <c r="BA103" i="2" s="1"/>
  <c r="BC103" i="2" s="1"/>
  <c r="BB103" i="2" s="1"/>
  <c r="L110" i="2"/>
  <c r="M110" i="2" s="1"/>
  <c r="AF110" i="2" s="1"/>
  <c r="AW73" i="2"/>
  <c r="L74" i="2"/>
  <c r="M74" i="2" s="1"/>
  <c r="AF74" i="2" s="1"/>
  <c r="AF80" i="2"/>
  <c r="U86" i="2"/>
  <c r="X92" i="2"/>
  <c r="Y92" i="2" s="1"/>
  <c r="AF92" i="2" s="1"/>
  <c r="Y100" i="2"/>
  <c r="AC104" i="2"/>
  <c r="AF104" i="2" s="1"/>
  <c r="AB104" i="2"/>
  <c r="M111" i="2"/>
  <c r="AF111" i="2" s="1"/>
  <c r="BA111" i="2" s="1"/>
  <c r="BC111" i="2" s="1"/>
  <c r="BB111" i="2" s="1"/>
  <c r="Q62" i="2"/>
  <c r="U65" i="2"/>
  <c r="Y69" i="2"/>
  <c r="M72" i="2"/>
  <c r="AF72" i="2" s="1"/>
  <c r="AY72" i="2" s="1"/>
  <c r="Q74" i="2"/>
  <c r="AC74" i="2"/>
  <c r="U81" i="2"/>
  <c r="AF81" i="2" s="1"/>
  <c r="U90" i="2"/>
  <c r="AW90" i="2"/>
  <c r="Q97" i="2"/>
  <c r="P97" i="2"/>
  <c r="AF99" i="2"/>
  <c r="AY99" i="2" s="1"/>
  <c r="X100" i="2"/>
  <c r="AW80" i="2"/>
  <c r="AY83" i="2"/>
  <c r="Y88" i="2"/>
  <c r="Q93" i="2"/>
  <c r="AC96" i="2"/>
  <c r="AB96" i="2"/>
  <c r="M98" i="2"/>
  <c r="AF98" i="2" s="1"/>
  <c r="BA98" i="2" s="1"/>
  <c r="BC98" i="2" s="1"/>
  <c r="BB98" i="2" s="1"/>
  <c r="L98" i="2"/>
  <c r="T101" i="2"/>
  <c r="U101" i="2" s="1"/>
  <c r="AW101" i="2"/>
  <c r="AC80" i="2"/>
  <c r="Y81" i="2"/>
  <c r="AW81" i="2"/>
  <c r="M82" i="2"/>
  <c r="Y82" i="2"/>
  <c r="Q86" i="2"/>
  <c r="Q89" i="2"/>
  <c r="AF89" i="2" s="1"/>
  <c r="AB92" i="2"/>
  <c r="AC92" i="2" s="1"/>
  <c r="L94" i="2"/>
  <c r="M94" i="2" s="1"/>
  <c r="AF94" i="2" s="1"/>
  <c r="T97" i="2"/>
  <c r="U97" i="2" s="1"/>
  <c r="AB88" i="2"/>
  <c r="AC88" i="2" s="1"/>
  <c r="L90" i="2"/>
  <c r="M90" i="2" s="1"/>
  <c r="AF90" i="2" s="1"/>
  <c r="AY91" i="2"/>
  <c r="T93" i="2"/>
  <c r="U93" i="2" s="1"/>
  <c r="Q113" i="2"/>
  <c r="M78" i="2"/>
  <c r="AF78" i="2" s="1"/>
  <c r="BA78" i="2" s="1"/>
  <c r="BC78" i="2" s="1"/>
  <c r="BB78" i="2" s="1"/>
  <c r="T86" i="2"/>
  <c r="T89" i="2"/>
  <c r="U89" i="2" s="1"/>
  <c r="AW89" i="2"/>
  <c r="M95" i="2"/>
  <c r="AF95" i="2" s="1"/>
  <c r="AY95" i="2" s="1"/>
  <c r="U102" i="2"/>
  <c r="AC105" i="2"/>
  <c r="Y108" i="2"/>
  <c r="AF108" i="2" s="1"/>
  <c r="AF109" i="2"/>
  <c r="BA109" i="2" s="1"/>
  <c r="BC109" i="2" s="1"/>
  <c r="BB109" i="2" s="1"/>
  <c r="X112" i="2"/>
  <c r="Y112" i="2" s="1"/>
  <c r="AF112" i="2" s="1"/>
  <c r="P113" i="2"/>
  <c r="L114" i="2"/>
  <c r="M114" i="2" s="1"/>
  <c r="AF114" i="2" s="1"/>
  <c r="L78" i="2"/>
  <c r="Q82" i="2"/>
  <c r="U85" i="2"/>
  <c r="AF85" i="2" s="1"/>
  <c r="M87" i="2"/>
  <c r="AF87" i="2" s="1"/>
  <c r="BA87" i="2" s="1"/>
  <c r="BC87" i="2" s="1"/>
  <c r="BB87" i="2" s="1"/>
  <c r="Y104" i="2"/>
  <c r="Q109" i="2"/>
  <c r="AC112" i="2"/>
  <c r="AB112" i="2"/>
  <c r="T113" i="2"/>
  <c r="U113" i="2" s="1"/>
  <c r="AF113" i="2" s="1"/>
  <c r="AW113" i="2"/>
  <c r="AC124" i="2"/>
  <c r="U130" i="2"/>
  <c r="U146" i="2"/>
  <c r="P159" i="2"/>
  <c r="Q159" i="2" s="1"/>
  <c r="AC205" i="2"/>
  <c r="X156" i="2"/>
  <c r="Y156" i="2"/>
  <c r="X129" i="2"/>
  <c r="Y129" i="2"/>
  <c r="M191" i="2"/>
  <c r="AB161" i="2"/>
  <c r="AC161" i="2"/>
  <c r="X11" i="2"/>
  <c r="Y11" i="2" s="1"/>
  <c r="M115" i="2"/>
  <c r="M119" i="2"/>
  <c r="AB116" i="2"/>
  <c r="AC116" i="2" s="1"/>
  <c r="U118" i="2"/>
  <c r="Q149" i="2"/>
  <c r="AB163" i="2"/>
  <c r="AC163" i="2" s="1"/>
  <c r="T166" i="2"/>
  <c r="U166" i="2" s="1"/>
  <c r="AB142" i="2"/>
  <c r="AC142" i="2"/>
  <c r="AC197" i="2"/>
  <c r="U126" i="2"/>
  <c r="Q127" i="2"/>
  <c r="P127" i="2"/>
  <c r="P122" i="2"/>
  <c r="Q122" i="2"/>
  <c r="Y125" i="2"/>
  <c r="Y134" i="2"/>
  <c r="X134" i="2"/>
  <c r="T147" i="2"/>
  <c r="U147" i="2"/>
  <c r="Q170" i="2"/>
  <c r="AC171" i="2"/>
  <c r="U176" i="2"/>
  <c r="Y213" i="2"/>
  <c r="T145" i="2"/>
  <c r="U145" i="2" s="1"/>
  <c r="T146" i="2"/>
  <c r="M152" i="2"/>
  <c r="Q161" i="2"/>
  <c r="Y164" i="2"/>
  <c r="X165" i="2"/>
  <c r="Y165" i="2" s="1"/>
  <c r="Q168" i="2"/>
  <c r="L169" i="2"/>
  <c r="M169" i="2" s="1"/>
  <c r="T170" i="2"/>
  <c r="U170" i="2" s="1"/>
  <c r="Q178" i="2"/>
  <c r="L179" i="2"/>
  <c r="M179" i="2" s="1"/>
  <c r="T186" i="2"/>
  <c r="U186" i="2" s="1"/>
  <c r="AB197" i="2"/>
  <c r="Y204" i="2"/>
  <c r="X213" i="2"/>
  <c r="AB117" i="2"/>
  <c r="AC117" i="2" s="1"/>
  <c r="M120" i="2"/>
  <c r="AB120" i="2"/>
  <c r="AC120" i="2" s="1"/>
  <c r="L123" i="2"/>
  <c r="M123" i="2" s="1"/>
  <c r="X123" i="2"/>
  <c r="Y123" i="2" s="1"/>
  <c r="P124" i="2"/>
  <c r="Q124" i="2" s="1"/>
  <c r="L125" i="2"/>
  <c r="M125" i="2" s="1"/>
  <c r="AB125" i="2"/>
  <c r="AC125" i="2" s="1"/>
  <c r="T130" i="2"/>
  <c r="Q133" i="2"/>
  <c r="AC134" i="2"/>
  <c r="AB138" i="2"/>
  <c r="AC138" i="2" s="1"/>
  <c r="P142" i="2"/>
  <c r="Q142" i="2" s="1"/>
  <c r="L143" i="2"/>
  <c r="M143" i="2" s="1"/>
  <c r="P149" i="2"/>
  <c r="T160" i="2"/>
  <c r="U160" i="2" s="1"/>
  <c r="X173" i="2"/>
  <c r="Y173" i="2" s="1"/>
  <c r="P174" i="2"/>
  <c r="Q174" i="2" s="1"/>
  <c r="T182" i="2"/>
  <c r="U182" i="2" s="1"/>
  <c r="Q183" i="2"/>
  <c r="Y185" i="2"/>
  <c r="L191" i="2"/>
  <c r="AB205" i="2"/>
  <c r="U115" i="2"/>
  <c r="T115" i="2"/>
  <c r="Q125" i="2"/>
  <c r="Q129" i="2"/>
  <c r="Q169" i="2"/>
  <c r="Y175" i="2"/>
  <c r="Q179" i="2"/>
  <c r="AC118" i="2"/>
  <c r="AB118" i="2"/>
  <c r="AB153" i="2"/>
  <c r="AC153" i="2" s="1"/>
  <c r="Q157" i="2"/>
  <c r="Y188" i="2"/>
  <c r="Y189" i="2"/>
  <c r="Q205" i="2"/>
  <c r="Y10" i="2"/>
  <c r="Q11" i="2"/>
  <c r="AC12" i="2"/>
  <c r="P126" i="2"/>
  <c r="Q126" i="2" s="1"/>
  <c r="X133" i="2"/>
  <c r="Y133" i="2" s="1"/>
  <c r="L132" i="2"/>
  <c r="M132" i="2" s="1"/>
  <c r="P115" i="2"/>
  <c r="Q115" i="2" s="1"/>
  <c r="P10" i="2"/>
  <c r="Q10" i="2" s="1"/>
  <c r="AC10" i="2"/>
  <c r="M10" i="2"/>
  <c r="AB115" i="2"/>
  <c r="AC115" i="2" s="1"/>
  <c r="X146" i="2"/>
  <c r="Y146" i="2" s="1"/>
  <c r="T127" i="2"/>
  <c r="U127" i="2" s="1"/>
  <c r="P131" i="2"/>
  <c r="Q131" i="2" s="1"/>
  <c r="P132" i="2"/>
  <c r="Q132" i="2"/>
  <c r="P143" i="2"/>
  <c r="Q143" i="2" s="1"/>
  <c r="L145" i="2"/>
  <c r="M145" i="2" s="1"/>
  <c r="Y117" i="2"/>
  <c r="M124" i="2"/>
  <c r="Y124" i="2"/>
  <c r="X127" i="2"/>
  <c r="Y127" i="2" s="1"/>
  <c r="AC128" i="2"/>
  <c r="M133" i="2"/>
  <c r="X137" i="2"/>
  <c r="Y137" i="2" s="1"/>
  <c r="T148" i="2"/>
  <c r="U148" i="2" s="1"/>
  <c r="T159" i="2"/>
  <c r="U159" i="2" s="1"/>
  <c r="Y121" i="2"/>
  <c r="M129" i="2"/>
  <c r="AB143" i="2"/>
  <c r="AC143" i="2" s="1"/>
  <c r="AC164" i="2"/>
  <c r="AB164" i="2"/>
  <c r="AB10" i="2"/>
  <c r="X116" i="2"/>
  <c r="Y116" i="2" s="1"/>
  <c r="P117" i="2"/>
  <c r="Q117" i="2" s="1"/>
  <c r="Q118" i="2"/>
  <c r="AB119" i="2"/>
  <c r="AC119" i="2" s="1"/>
  <c r="M121" i="2"/>
  <c r="AB130" i="2"/>
  <c r="AC130" i="2" s="1"/>
  <c r="Y131" i="2"/>
  <c r="M117" i="2"/>
  <c r="T11" i="2"/>
  <c r="U11" i="2" s="1"/>
  <c r="M12" i="2"/>
  <c r="X12" i="2"/>
  <c r="Y12" i="2" s="1"/>
  <c r="M116" i="2"/>
  <c r="T120" i="2"/>
  <c r="U120" i="2" s="1"/>
  <c r="L121" i="2"/>
  <c r="AC122" i="2"/>
  <c r="P130" i="2"/>
  <c r="Q130" i="2" s="1"/>
  <c r="AC131" i="2"/>
  <c r="Y132" i="2"/>
  <c r="X147" i="2"/>
  <c r="Y147" i="2" s="1"/>
  <c r="U116" i="2"/>
  <c r="U119" i="2"/>
  <c r="X120" i="2"/>
  <c r="Y120" i="2" s="1"/>
  <c r="P121" i="2"/>
  <c r="Q121" i="2" s="1"/>
  <c r="L155" i="2"/>
  <c r="M155" i="2" s="1"/>
  <c r="U123" i="2"/>
  <c r="AC126" i="2"/>
  <c r="M137" i="2"/>
  <c r="Y139" i="2"/>
  <c r="L162" i="2"/>
  <c r="M162" i="2" s="1"/>
  <c r="T173" i="2"/>
  <c r="U173" i="2" s="1"/>
  <c r="AC174" i="2"/>
  <c r="AB174" i="2"/>
  <c r="AC135" i="2"/>
  <c r="Y150" i="2"/>
  <c r="Y151" i="2"/>
  <c r="AB135" i="2"/>
  <c r="T136" i="2"/>
  <c r="U136" i="2" s="1"/>
  <c r="M144" i="2"/>
  <c r="L146" i="2"/>
  <c r="M146" i="2" s="1"/>
  <c r="X151" i="2"/>
  <c r="P164" i="2"/>
  <c r="Q164" i="2" s="1"/>
  <c r="X167" i="2"/>
  <c r="Y167" i="2" s="1"/>
  <c r="U169" i="2"/>
  <c r="P175" i="2"/>
  <c r="Q175" i="2" s="1"/>
  <c r="U131" i="2"/>
  <c r="M139" i="2"/>
  <c r="T175" i="2"/>
  <c r="U175" i="2" s="1"/>
  <c r="M128" i="2"/>
  <c r="P134" i="2"/>
  <c r="Q134" i="2" s="1"/>
  <c r="T142" i="2"/>
  <c r="U142" i="2" s="1"/>
  <c r="M147" i="2"/>
  <c r="M150" i="2"/>
  <c r="L151" i="2"/>
  <c r="M151" i="2" s="1"/>
  <c r="L153" i="2"/>
  <c r="M153" i="2" s="1"/>
  <c r="Q160" i="2"/>
  <c r="X163" i="2"/>
  <c r="Y163" i="2" s="1"/>
  <c r="Q165" i="2"/>
  <c r="U152" i="2"/>
  <c r="T152" i="2"/>
  <c r="Y154" i="2"/>
  <c r="M156" i="2"/>
  <c r="AC160" i="2"/>
  <c r="AC172" i="2"/>
  <c r="L149" i="2"/>
  <c r="M149" i="2" s="1"/>
  <c r="AB166" i="2"/>
  <c r="AC166" i="2" s="1"/>
  <c r="Y176" i="2"/>
  <c r="AC180" i="2"/>
  <c r="AB180" i="2"/>
  <c r="T205" i="2"/>
  <c r="U205" i="2" s="1"/>
  <c r="T135" i="2"/>
  <c r="U135" i="2" s="1"/>
  <c r="L136" i="2"/>
  <c r="M136" i="2" s="1"/>
  <c r="T138" i="2"/>
  <c r="U138" i="2" s="1"/>
  <c r="U140" i="2"/>
  <c r="P141" i="2"/>
  <c r="Q141" i="2" s="1"/>
  <c r="P144" i="2"/>
  <c r="Q144" i="2" s="1"/>
  <c r="AB144" i="2"/>
  <c r="AC144" i="2" s="1"/>
  <c r="L147" i="2"/>
  <c r="AB151" i="2"/>
  <c r="AC151" i="2" s="1"/>
  <c r="T157" i="2"/>
  <c r="U157" i="2" s="1"/>
  <c r="L166" i="2"/>
  <c r="M166" i="2" s="1"/>
  <c r="P171" i="2"/>
  <c r="Q171" i="2" s="1"/>
  <c r="X176" i="2"/>
  <c r="P139" i="2"/>
  <c r="Q139" i="2" s="1"/>
  <c r="AC139" i="2"/>
  <c r="Y142" i="2"/>
  <c r="U143" i="2"/>
  <c r="AB147" i="2"/>
  <c r="AC147" i="2" s="1"/>
  <c r="Q151" i="2"/>
  <c r="AB152" i="2"/>
  <c r="AC152" i="2" s="1"/>
  <c r="Q155" i="2"/>
  <c r="Y157" i="2"/>
  <c r="P166" i="2"/>
  <c r="Q166" i="2" s="1"/>
  <c r="U171" i="2"/>
  <c r="AC176" i="2"/>
  <c r="X162" i="2"/>
  <c r="Y162" i="2" s="1"/>
  <c r="L198" i="2"/>
  <c r="M198" i="2" s="1"/>
  <c r="X138" i="2"/>
  <c r="Y138" i="2" s="1"/>
  <c r="U144" i="2"/>
  <c r="P147" i="2"/>
  <c r="Q147" i="2" s="1"/>
  <c r="AB158" i="2"/>
  <c r="AC158" i="2" s="1"/>
  <c r="M160" i="2"/>
  <c r="Y160" i="2"/>
  <c r="U163" i="2"/>
  <c r="X171" i="2"/>
  <c r="Y171" i="2" s="1"/>
  <c r="X186" i="2"/>
  <c r="Y186" i="2"/>
  <c r="AB204" i="2"/>
  <c r="AC204" i="2" s="1"/>
  <c r="X182" i="2"/>
  <c r="Y182" i="2" s="1"/>
  <c r="X184" i="2"/>
  <c r="Y184" i="2" s="1"/>
  <c r="L190" i="2"/>
  <c r="M190" i="2" s="1"/>
  <c r="AC156" i="2"/>
  <c r="U165" i="2"/>
  <c r="M168" i="2"/>
  <c r="X187" i="2"/>
  <c r="Y187" i="2" s="1"/>
  <c r="P200" i="2"/>
  <c r="Q200" i="2" s="1"/>
  <c r="M158" i="2"/>
  <c r="L158" i="2"/>
  <c r="Y158" i="2"/>
  <c r="U161" i="2"/>
  <c r="AB162" i="2"/>
  <c r="AC162" i="2" s="1"/>
  <c r="M164" i="2"/>
  <c r="Q167" i="2"/>
  <c r="AC168" i="2"/>
  <c r="M170" i="2"/>
  <c r="X170" i="2"/>
  <c r="Y170" i="2" s="1"/>
  <c r="M172" i="2"/>
  <c r="P181" i="2"/>
  <c r="Q181" i="2" s="1"/>
  <c r="T185" i="2"/>
  <c r="U185" i="2" s="1"/>
  <c r="P186" i="2"/>
  <c r="Q186" i="2"/>
  <c r="T189" i="2"/>
  <c r="U189" i="2" s="1"/>
  <c r="Y199" i="2"/>
  <c r="U167" i="2"/>
  <c r="AC170" i="2"/>
  <c r="M174" i="2"/>
  <c r="X174" i="2"/>
  <c r="Y174" i="2" s="1"/>
  <c r="Y177" i="2"/>
  <c r="M178" i="2"/>
  <c r="AB188" i="2"/>
  <c r="AC188" i="2" s="1"/>
  <c r="U177" i="2"/>
  <c r="M186" i="2"/>
  <c r="Q188" i="2"/>
  <c r="U193" i="2"/>
  <c r="T193" i="2"/>
  <c r="Y203" i="2"/>
  <c r="T209" i="2"/>
  <c r="U209" i="2" s="1"/>
  <c r="U181" i="2"/>
  <c r="AB192" i="2"/>
  <c r="AC192" i="2" s="1"/>
  <c r="M202" i="2"/>
  <c r="L202" i="2"/>
  <c r="Q204" i="2"/>
  <c r="AB208" i="2"/>
  <c r="AC208" i="2" s="1"/>
  <c r="Y191" i="2"/>
  <c r="T197" i="2"/>
  <c r="U197" i="2" s="1"/>
  <c r="T213" i="2"/>
  <c r="U213" i="2" s="1"/>
  <c r="Q187" i="2"/>
  <c r="X191" i="2"/>
  <c r="AB196" i="2"/>
  <c r="AC196" i="2" s="1"/>
  <c r="L206" i="2"/>
  <c r="M206" i="2" s="1"/>
  <c r="X207" i="2"/>
  <c r="Y207" i="2" s="1"/>
  <c r="AB212" i="2"/>
  <c r="AC212" i="2" s="1"/>
  <c r="Y181" i="2"/>
  <c r="L182" i="2"/>
  <c r="M182" i="2" s="1"/>
  <c r="AC184" i="2"/>
  <c r="P192" i="2"/>
  <c r="Q192" i="2" s="1"/>
  <c r="Y195" i="2"/>
  <c r="T201" i="2"/>
  <c r="U201" i="2" s="1"/>
  <c r="P208" i="2"/>
  <c r="Q208" i="2" s="1"/>
  <c r="Y211" i="2"/>
  <c r="Q212" i="2"/>
  <c r="L194" i="2"/>
  <c r="M194" i="2" s="1"/>
  <c r="Q196" i="2"/>
  <c r="AB200" i="2"/>
  <c r="AC200" i="2" s="1"/>
  <c r="L210" i="2"/>
  <c r="M210" i="2" s="1"/>
  <c r="X193" i="2"/>
  <c r="Y193" i="2" s="1"/>
  <c r="P194" i="2"/>
  <c r="Q194" i="2" s="1"/>
  <c r="X197" i="2"/>
  <c r="Y197" i="2" s="1"/>
  <c r="P198" i="2"/>
  <c r="Q198" i="2" s="1"/>
  <c r="X201" i="2"/>
  <c r="Y201" i="2" s="1"/>
  <c r="P202" i="2"/>
  <c r="Q202" i="2" s="1"/>
  <c r="X205" i="2"/>
  <c r="Y205" i="2" s="1"/>
  <c r="P206" i="2"/>
  <c r="Q206" i="2" s="1"/>
  <c r="X209" i="2"/>
  <c r="Y209" i="2" s="1"/>
  <c r="P210" i="2"/>
  <c r="Q210" i="2" s="1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AY79" i="2" l="1"/>
  <c r="AY109" i="2"/>
  <c r="AY43" i="2"/>
  <c r="AY98" i="2"/>
  <c r="AP50" i="2"/>
  <c r="AP111" i="2"/>
  <c r="AP87" i="2"/>
  <c r="AY87" i="2"/>
  <c r="AY103" i="2"/>
  <c r="BA69" i="2"/>
  <c r="BC69" i="2" s="1"/>
  <c r="BB69" i="2" s="1"/>
  <c r="AP69" i="2"/>
  <c r="AY69" i="2"/>
  <c r="BA19" i="2"/>
  <c r="BC19" i="2" s="1"/>
  <c r="BB19" i="2" s="1"/>
  <c r="AP19" i="2"/>
  <c r="AY19" i="2"/>
  <c r="BA74" i="2"/>
  <c r="BC74" i="2" s="1"/>
  <c r="BB74" i="2" s="1"/>
  <c r="AY74" i="2"/>
  <c r="AP74" i="2"/>
  <c r="BA86" i="2"/>
  <c r="BC86" i="2" s="1"/>
  <c r="BB86" i="2" s="1"/>
  <c r="AP86" i="2"/>
  <c r="AY86" i="2"/>
  <c r="AP108" i="2"/>
  <c r="BA108" i="2"/>
  <c r="BC108" i="2" s="1"/>
  <c r="BB108" i="2" s="1"/>
  <c r="AY108" i="2"/>
  <c r="AF88" i="2"/>
  <c r="BA71" i="2"/>
  <c r="BC71" i="2" s="1"/>
  <c r="BB71" i="2" s="1"/>
  <c r="AP71" i="2"/>
  <c r="AY71" i="2"/>
  <c r="AY75" i="2"/>
  <c r="AP75" i="2"/>
  <c r="BA75" i="2"/>
  <c r="BC75" i="2" s="1"/>
  <c r="BB75" i="2" s="1"/>
  <c r="AF47" i="2"/>
  <c r="BA29" i="2"/>
  <c r="BC29" i="2" s="1"/>
  <c r="BB29" i="2" s="1"/>
  <c r="AP29" i="2"/>
  <c r="AY29" i="2"/>
  <c r="AF20" i="2"/>
  <c r="AY61" i="2"/>
  <c r="BA61" i="2"/>
  <c r="BC61" i="2" s="1"/>
  <c r="BB61" i="2" s="1"/>
  <c r="AP61" i="2"/>
  <c r="BA46" i="2"/>
  <c r="BC46" i="2" s="1"/>
  <c r="BB46" i="2" s="1"/>
  <c r="AP46" i="2"/>
  <c r="AY46" i="2"/>
  <c r="AY44" i="2"/>
  <c r="BA44" i="2"/>
  <c r="BC44" i="2" s="1"/>
  <c r="BB44" i="2" s="1"/>
  <c r="AP44" i="2"/>
  <c r="BA81" i="2"/>
  <c r="BC81" i="2" s="1"/>
  <c r="BB81" i="2" s="1"/>
  <c r="AY81" i="2"/>
  <c r="AP81" i="2"/>
  <c r="BA66" i="2"/>
  <c r="BC66" i="2" s="1"/>
  <c r="BB66" i="2" s="1"/>
  <c r="AP66" i="2"/>
  <c r="AY66" i="2"/>
  <c r="AF35" i="2"/>
  <c r="BA54" i="2"/>
  <c r="BC54" i="2" s="1"/>
  <c r="BB54" i="2" s="1"/>
  <c r="AP54" i="2"/>
  <c r="AY54" i="2"/>
  <c r="BA113" i="2"/>
  <c r="BC113" i="2" s="1"/>
  <c r="BB113" i="2" s="1"/>
  <c r="AP113" i="2"/>
  <c r="AY113" i="2"/>
  <c r="BA90" i="2"/>
  <c r="BC90" i="2" s="1"/>
  <c r="BB90" i="2" s="1"/>
  <c r="AY90" i="2"/>
  <c r="AP90" i="2"/>
  <c r="AF100" i="2"/>
  <c r="AF34" i="2"/>
  <c r="BA16" i="2"/>
  <c r="BC16" i="2" s="1"/>
  <c r="BB16" i="2" s="1"/>
  <c r="AP16" i="2"/>
  <c r="AY16" i="2"/>
  <c r="BA57" i="2"/>
  <c r="BC57" i="2" s="1"/>
  <c r="BB57" i="2" s="1"/>
  <c r="AP57" i="2"/>
  <c r="AY57" i="2"/>
  <c r="BA89" i="2"/>
  <c r="BC89" i="2" s="1"/>
  <c r="BB89" i="2" s="1"/>
  <c r="AY89" i="2"/>
  <c r="AP89" i="2"/>
  <c r="BA45" i="2"/>
  <c r="BC45" i="2" s="1"/>
  <c r="BB45" i="2" s="1"/>
  <c r="AP45" i="2"/>
  <c r="AY45" i="2"/>
  <c r="BA21" i="2"/>
  <c r="BC21" i="2" s="1"/>
  <c r="BB21" i="2" s="1"/>
  <c r="AY21" i="2"/>
  <c r="AP21" i="2"/>
  <c r="BA27" i="2"/>
  <c r="BC27" i="2" s="1"/>
  <c r="BB27" i="2" s="1"/>
  <c r="AP27" i="2"/>
  <c r="AY27" i="2"/>
  <c r="BA114" i="2"/>
  <c r="BC114" i="2" s="1"/>
  <c r="BB114" i="2" s="1"/>
  <c r="AY114" i="2"/>
  <c r="AP114" i="2"/>
  <c r="AP92" i="2"/>
  <c r="BA92" i="2"/>
  <c r="BC92" i="2" s="1"/>
  <c r="BB92" i="2" s="1"/>
  <c r="AY92" i="2"/>
  <c r="BA105" i="2"/>
  <c r="BC105" i="2" s="1"/>
  <c r="BB105" i="2" s="1"/>
  <c r="AP105" i="2"/>
  <c r="AY105" i="2"/>
  <c r="AP73" i="2"/>
  <c r="BA73" i="2"/>
  <c r="BC73" i="2" s="1"/>
  <c r="BB73" i="2" s="1"/>
  <c r="AY73" i="2"/>
  <c r="BA68" i="2"/>
  <c r="BC68" i="2" s="1"/>
  <c r="BB68" i="2" s="1"/>
  <c r="AY68" i="2"/>
  <c r="AP68" i="2"/>
  <c r="AF58" i="2"/>
  <c r="AF15" i="2"/>
  <c r="AY59" i="2"/>
  <c r="BA59" i="2"/>
  <c r="BC59" i="2" s="1"/>
  <c r="BB59" i="2" s="1"/>
  <c r="AP59" i="2"/>
  <c r="BA110" i="2"/>
  <c r="BC110" i="2" s="1"/>
  <c r="BB110" i="2" s="1"/>
  <c r="AY110" i="2"/>
  <c r="AP110" i="2"/>
  <c r="AY40" i="2"/>
  <c r="AP40" i="2"/>
  <c r="BA40" i="2"/>
  <c r="BC40" i="2" s="1"/>
  <c r="BB40" i="2" s="1"/>
  <c r="BA106" i="2"/>
  <c r="BC106" i="2" s="1"/>
  <c r="BB106" i="2" s="1"/>
  <c r="AP106" i="2"/>
  <c r="AY106" i="2"/>
  <c r="BA84" i="2"/>
  <c r="BC84" i="2" s="1"/>
  <c r="BB84" i="2" s="1"/>
  <c r="AY84" i="2"/>
  <c r="AP84" i="2"/>
  <c r="BA42" i="2"/>
  <c r="BC42" i="2" s="1"/>
  <c r="BB42" i="2" s="1"/>
  <c r="AY42" i="2"/>
  <c r="AP42" i="2"/>
  <c r="BA41" i="2"/>
  <c r="BC41" i="2" s="1"/>
  <c r="BB41" i="2" s="1"/>
  <c r="AY41" i="2"/>
  <c r="AP41" i="2"/>
  <c r="AY32" i="2"/>
  <c r="AP32" i="2"/>
  <c r="BA32" i="2"/>
  <c r="BC32" i="2" s="1"/>
  <c r="BB32" i="2" s="1"/>
  <c r="AY24" i="2"/>
  <c r="AP24" i="2"/>
  <c r="BA24" i="2"/>
  <c r="BC24" i="2" s="1"/>
  <c r="BB24" i="2" s="1"/>
  <c r="AP56" i="2"/>
  <c r="BA56" i="2"/>
  <c r="BC56" i="2" s="1"/>
  <c r="BB56" i="2" s="1"/>
  <c r="AY56" i="2"/>
  <c r="BA70" i="2"/>
  <c r="BC70" i="2" s="1"/>
  <c r="BB70" i="2" s="1"/>
  <c r="AY70" i="2"/>
  <c r="AP70" i="2"/>
  <c r="AP104" i="2"/>
  <c r="BA104" i="2"/>
  <c r="BC104" i="2" s="1"/>
  <c r="BB104" i="2" s="1"/>
  <c r="AY104" i="2"/>
  <c r="AF101" i="2"/>
  <c r="BA77" i="2"/>
  <c r="BC77" i="2" s="1"/>
  <c r="BB77" i="2" s="1"/>
  <c r="AY77" i="2"/>
  <c r="AP77" i="2"/>
  <c r="BA112" i="2"/>
  <c r="BC112" i="2" s="1"/>
  <c r="BB112" i="2" s="1"/>
  <c r="AY112" i="2"/>
  <c r="AP112" i="2"/>
  <c r="AF97" i="2"/>
  <c r="AP96" i="2"/>
  <c r="BA96" i="2"/>
  <c r="BC96" i="2" s="1"/>
  <c r="BB96" i="2" s="1"/>
  <c r="AY96" i="2"/>
  <c r="AF31" i="2"/>
  <c r="AY36" i="2"/>
  <c r="AP36" i="2"/>
  <c r="BA36" i="2"/>
  <c r="BC36" i="2" s="1"/>
  <c r="BB36" i="2" s="1"/>
  <c r="AF13" i="2"/>
  <c r="BA25" i="2"/>
  <c r="BC25" i="2" s="1"/>
  <c r="BB25" i="2" s="1"/>
  <c r="AP25" i="2"/>
  <c r="AY25" i="2"/>
  <c r="AF48" i="2"/>
  <c r="BA85" i="2"/>
  <c r="BC85" i="2" s="1"/>
  <c r="BB85" i="2" s="1"/>
  <c r="AY85" i="2"/>
  <c r="AP85" i="2"/>
  <c r="BA52" i="2"/>
  <c r="BC52" i="2" s="1"/>
  <c r="BB52" i="2" s="1"/>
  <c r="AY52" i="2"/>
  <c r="AP52" i="2"/>
  <c r="BA94" i="2"/>
  <c r="BC94" i="2" s="1"/>
  <c r="BB94" i="2" s="1"/>
  <c r="AY94" i="2"/>
  <c r="AP94" i="2"/>
  <c r="AF93" i="2"/>
  <c r="BA55" i="2"/>
  <c r="BC55" i="2" s="1"/>
  <c r="BB55" i="2" s="1"/>
  <c r="AP55" i="2"/>
  <c r="AY55" i="2"/>
  <c r="BA102" i="2"/>
  <c r="BC102" i="2" s="1"/>
  <c r="BB102" i="2" s="1"/>
  <c r="AP102" i="2"/>
  <c r="AY102" i="2"/>
  <c r="BA67" i="2"/>
  <c r="BC67" i="2" s="1"/>
  <c r="BB67" i="2" s="1"/>
  <c r="AP67" i="2"/>
  <c r="AY67" i="2"/>
  <c r="BA51" i="2"/>
  <c r="BC51" i="2" s="1"/>
  <c r="BB51" i="2" s="1"/>
  <c r="AY51" i="2"/>
  <c r="AP51" i="2"/>
  <c r="BA37" i="2"/>
  <c r="BC37" i="2" s="1"/>
  <c r="BB37" i="2" s="1"/>
  <c r="AP37" i="2"/>
  <c r="AY37" i="2"/>
  <c r="BA23" i="2"/>
  <c r="BC23" i="2" s="1"/>
  <c r="BB23" i="2" s="1"/>
  <c r="AY23" i="2"/>
  <c r="AP23" i="2"/>
  <c r="AP109" i="2"/>
  <c r="AP78" i="2"/>
  <c r="BA80" i="2"/>
  <c r="BC80" i="2" s="1"/>
  <c r="BB80" i="2" s="1"/>
  <c r="AP80" i="2"/>
  <c r="AY80" i="2"/>
  <c r="AP103" i="2"/>
  <c r="AY50" i="2"/>
  <c r="AP64" i="2"/>
  <c r="AF18" i="2"/>
  <c r="AF14" i="2"/>
  <c r="AF30" i="2"/>
  <c r="AP17" i="2"/>
  <c r="BA17" i="2"/>
  <c r="BC17" i="2" s="1"/>
  <c r="BB17" i="2" s="1"/>
  <c r="BA65" i="2"/>
  <c r="BC65" i="2" s="1"/>
  <c r="BB65" i="2" s="1"/>
  <c r="AP65" i="2"/>
  <c r="AP107" i="2"/>
  <c r="BA72" i="2"/>
  <c r="BC72" i="2" s="1"/>
  <c r="BB72" i="2" s="1"/>
  <c r="AP72" i="2"/>
  <c r="AP79" i="2"/>
  <c r="AF63" i="2"/>
  <c r="AF39" i="2"/>
  <c r="AF26" i="2"/>
  <c r="AY28" i="2"/>
  <c r="BA28" i="2"/>
  <c r="BC28" i="2" s="1"/>
  <c r="BB28" i="2" s="1"/>
  <c r="AP28" i="2"/>
  <c r="AF38" i="2"/>
  <c r="AF60" i="2"/>
  <c r="AF82" i="2"/>
  <c r="AY107" i="2"/>
  <c r="AY33" i="2"/>
  <c r="AF76" i="2"/>
  <c r="AY17" i="2"/>
  <c r="AP95" i="2"/>
  <c r="BA95" i="2"/>
  <c r="BC95" i="2" s="1"/>
  <c r="BB95" i="2" s="1"/>
  <c r="AY64" i="2"/>
  <c r="AF62" i="2"/>
  <c r="AF49" i="2"/>
  <c r="AF53" i="2"/>
  <c r="AY65" i="2"/>
  <c r="AP43" i="2"/>
  <c r="AP33" i="2"/>
  <c r="BA99" i="2"/>
  <c r="BC99" i="2" s="1"/>
  <c r="BB99" i="2" s="1"/>
  <c r="AP99" i="2"/>
  <c r="AY78" i="2"/>
  <c r="AP98" i="2"/>
  <c r="AY111" i="2"/>
  <c r="AF22" i="2"/>
  <c r="G139" i="3"/>
  <c r="B139" i="3"/>
  <c r="G73" i="3"/>
  <c r="B73" i="3"/>
  <c r="BA58" i="2" l="1"/>
  <c r="BC58" i="2" s="1"/>
  <c r="BB58" i="2" s="1"/>
  <c r="AY58" i="2"/>
  <c r="AP58" i="2"/>
  <c r="BA88" i="2"/>
  <c r="BC88" i="2" s="1"/>
  <c r="BB88" i="2" s="1"/>
  <c r="AP88" i="2"/>
  <c r="AY88" i="2"/>
  <c r="BA38" i="2"/>
  <c r="BC38" i="2" s="1"/>
  <c r="BB38" i="2" s="1"/>
  <c r="AY38" i="2"/>
  <c r="AP38" i="2"/>
  <c r="BA47" i="2"/>
  <c r="BC47" i="2" s="1"/>
  <c r="BB47" i="2" s="1"/>
  <c r="AP47" i="2"/>
  <c r="AY47" i="2"/>
  <c r="BA18" i="2"/>
  <c r="BC18" i="2" s="1"/>
  <c r="BB18" i="2" s="1"/>
  <c r="AY18" i="2"/>
  <c r="AP18" i="2"/>
  <c r="BA101" i="2"/>
  <c r="BC101" i="2" s="1"/>
  <c r="BB101" i="2" s="1"/>
  <c r="AP101" i="2"/>
  <c r="AY101" i="2"/>
  <c r="BA34" i="2"/>
  <c r="BC34" i="2" s="1"/>
  <c r="BB34" i="2" s="1"/>
  <c r="AY34" i="2"/>
  <c r="AP34" i="2"/>
  <c r="BA30" i="2"/>
  <c r="BC30" i="2" s="1"/>
  <c r="BB30" i="2" s="1"/>
  <c r="AP30" i="2"/>
  <c r="AY30" i="2"/>
  <c r="BA13" i="2"/>
  <c r="BC13" i="2" s="1"/>
  <c r="BB13" i="2" s="1"/>
  <c r="AP13" i="2"/>
  <c r="AY13" i="2"/>
  <c r="BA97" i="2"/>
  <c r="BC97" i="2" s="1"/>
  <c r="BB97" i="2" s="1"/>
  <c r="AP97" i="2"/>
  <c r="AY97" i="2"/>
  <c r="AP100" i="2"/>
  <c r="BA100" i="2"/>
  <c r="BC100" i="2" s="1"/>
  <c r="BB100" i="2" s="1"/>
  <c r="AY100" i="2"/>
  <c r="BA60" i="2"/>
  <c r="BC60" i="2" s="1"/>
  <c r="BB60" i="2" s="1"/>
  <c r="AY60" i="2"/>
  <c r="AP60" i="2"/>
  <c r="BA14" i="2"/>
  <c r="BC14" i="2" s="1"/>
  <c r="BB14" i="2" s="1"/>
  <c r="AY14" i="2"/>
  <c r="AP14" i="2"/>
  <c r="BA76" i="2"/>
  <c r="BC76" i="2" s="1"/>
  <c r="BB76" i="2" s="1"/>
  <c r="AP76" i="2"/>
  <c r="AY76" i="2"/>
  <c r="BA22" i="2"/>
  <c r="BC22" i="2" s="1"/>
  <c r="BB22" i="2" s="1"/>
  <c r="AP22" i="2"/>
  <c r="AY22" i="2"/>
  <c r="BA53" i="2"/>
  <c r="BC53" i="2" s="1"/>
  <c r="BB53" i="2" s="1"/>
  <c r="AY53" i="2"/>
  <c r="AP53" i="2"/>
  <c r="BA26" i="2"/>
  <c r="BC26" i="2" s="1"/>
  <c r="BB26" i="2" s="1"/>
  <c r="AY26" i="2"/>
  <c r="AP26" i="2"/>
  <c r="BA93" i="2"/>
  <c r="BC93" i="2" s="1"/>
  <c r="BB93" i="2" s="1"/>
  <c r="AP93" i="2"/>
  <c r="AY93" i="2"/>
  <c r="BA35" i="2"/>
  <c r="BC35" i="2" s="1"/>
  <c r="BB35" i="2" s="1"/>
  <c r="AP35" i="2"/>
  <c r="AY35" i="2"/>
  <c r="AP20" i="2"/>
  <c r="BA20" i="2"/>
  <c r="BC20" i="2" s="1"/>
  <c r="BB20" i="2" s="1"/>
  <c r="AY20" i="2"/>
  <c r="BA39" i="2"/>
  <c r="BC39" i="2" s="1"/>
  <c r="BB39" i="2" s="1"/>
  <c r="AP39" i="2"/>
  <c r="AY39" i="2"/>
  <c r="BA49" i="2"/>
  <c r="BC49" i="2" s="1"/>
  <c r="BB49" i="2" s="1"/>
  <c r="AY49" i="2"/>
  <c r="AP49" i="2"/>
  <c r="BA62" i="2"/>
  <c r="BC62" i="2" s="1"/>
  <c r="BB62" i="2" s="1"/>
  <c r="AY62" i="2"/>
  <c r="AP62" i="2"/>
  <c r="BA82" i="2"/>
  <c r="BC82" i="2" s="1"/>
  <c r="BB82" i="2" s="1"/>
  <c r="AY82" i="2"/>
  <c r="AP82" i="2"/>
  <c r="BA63" i="2"/>
  <c r="BC63" i="2" s="1"/>
  <c r="BB63" i="2" s="1"/>
  <c r="AP63" i="2"/>
  <c r="AY63" i="2"/>
  <c r="BA48" i="2"/>
  <c r="BC48" i="2" s="1"/>
  <c r="BB48" i="2" s="1"/>
  <c r="AY48" i="2"/>
  <c r="AP48" i="2"/>
  <c r="BA31" i="2"/>
  <c r="BC31" i="2" s="1"/>
  <c r="BB31" i="2" s="1"/>
  <c r="AP31" i="2"/>
  <c r="AY31" i="2"/>
  <c r="BA15" i="2"/>
  <c r="BC15" i="2" s="1"/>
  <c r="BB15" i="2" s="1"/>
  <c r="AY15" i="2"/>
  <c r="AP15" i="2"/>
  <c r="AV216" i="2"/>
  <c r="AU216" i="2"/>
  <c r="AT216" i="2"/>
  <c r="AS216" i="2"/>
  <c r="AR216" i="2"/>
  <c r="AV215" i="2"/>
  <c r="AU215" i="2"/>
  <c r="AT215" i="2"/>
  <c r="AS215" i="2"/>
  <c r="AR215" i="2"/>
  <c r="AV214" i="2"/>
  <c r="AU214" i="2"/>
  <c r="AT214" i="2"/>
  <c r="AS214" i="2"/>
  <c r="AR214" i="2"/>
  <c r="AR9" i="2"/>
  <c r="AU9" i="2"/>
  <c r="AT9" i="2"/>
  <c r="AS9" i="2"/>
  <c r="AU217" i="2" l="1"/>
  <c r="AR217" i="2"/>
  <c r="AS217" i="2"/>
  <c r="AT217" i="2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09" i="3"/>
  <c r="H208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E305" i="3" s="1"/>
  <c r="G304" i="3"/>
  <c r="E304" i="3" s="1"/>
  <c r="G303" i="3"/>
  <c r="E303" i="3" s="1"/>
  <c r="G302" i="3"/>
  <c r="E302" i="3" s="1"/>
  <c r="G301" i="3"/>
  <c r="E301" i="3" s="1"/>
  <c r="G300" i="3"/>
  <c r="E300" i="3" s="1"/>
  <c r="G299" i="3"/>
  <c r="E299" i="3" s="1"/>
  <c r="G298" i="3"/>
  <c r="E298" i="3" s="1"/>
  <c r="G297" i="3"/>
  <c r="E297" i="3" s="1"/>
  <c r="G296" i="3"/>
  <c r="E296" i="3" s="1"/>
  <c r="G295" i="3"/>
  <c r="E295" i="3" s="1"/>
  <c r="G294" i="3"/>
  <c r="E294" i="3" s="1"/>
  <c r="G293" i="3"/>
  <c r="E293" i="3" s="1"/>
  <c r="G292" i="3"/>
  <c r="E292" i="3" s="1"/>
  <c r="G291" i="3"/>
  <c r="E291" i="3" s="1"/>
  <c r="G290" i="3"/>
  <c r="E290" i="3" s="1"/>
  <c r="G289" i="3"/>
  <c r="E289" i="3" s="1"/>
  <c r="G288" i="3"/>
  <c r="E288" i="3" s="1"/>
  <c r="G287" i="3"/>
  <c r="E287" i="3" s="1"/>
  <c r="G286" i="3"/>
  <c r="E286" i="3" s="1"/>
  <c r="G285" i="3"/>
  <c r="E285" i="3" s="1"/>
  <c r="G284" i="3"/>
  <c r="E284" i="3" s="1"/>
  <c r="G283" i="3"/>
  <c r="E283" i="3" s="1"/>
  <c r="G282" i="3"/>
  <c r="E282" i="3" s="1"/>
  <c r="G281" i="3"/>
  <c r="E281" i="3" s="1"/>
  <c r="G280" i="3"/>
  <c r="E280" i="3" s="1"/>
  <c r="G279" i="3"/>
  <c r="E279" i="3" s="1"/>
  <c r="G278" i="3"/>
  <c r="E278" i="3" s="1"/>
  <c r="G277" i="3"/>
  <c r="E277" i="3" s="1"/>
  <c r="AV9" i="2" l="1"/>
  <c r="AV217" i="2" s="1"/>
  <c r="AM216" i="2" l="1"/>
  <c r="AM215" i="2"/>
  <c r="AM214" i="2"/>
  <c r="AM9" i="2"/>
  <c r="AO9" i="2" s="1"/>
  <c r="AU6" i="2" l="1"/>
  <c r="AT6" i="2"/>
  <c r="AS6" i="2"/>
  <c r="AR6" i="2"/>
  <c r="AW182" i="2" l="1"/>
  <c r="AW170" i="2"/>
  <c r="AW121" i="2"/>
  <c r="AW10" i="2"/>
  <c r="AW198" i="2"/>
  <c r="AW158" i="2"/>
  <c r="AW206" i="2"/>
  <c r="AW172" i="2"/>
  <c r="AW142" i="2"/>
  <c r="AW150" i="2"/>
  <c r="AW133" i="2"/>
  <c r="AW118" i="2"/>
  <c r="AW122" i="2"/>
  <c r="AW161" i="2"/>
  <c r="AW147" i="2"/>
  <c r="AW11" i="2"/>
  <c r="AW197" i="2"/>
  <c r="AW115" i="2"/>
  <c r="AW144" i="2"/>
  <c r="AW148" i="2"/>
  <c r="AW196" i="2"/>
  <c r="AW171" i="2"/>
  <c r="AW191" i="2"/>
  <c r="AW204" i="2"/>
  <c r="AW194" i="2"/>
  <c r="AW173" i="2"/>
  <c r="AW181" i="2"/>
  <c r="AW187" i="2"/>
  <c r="AW131" i="2"/>
  <c r="AW199" i="2"/>
  <c r="AW126" i="2"/>
  <c r="AW134" i="2"/>
  <c r="AW169" i="2"/>
  <c r="AW177" i="2"/>
  <c r="AW183" i="2"/>
  <c r="AW193" i="2"/>
  <c r="AW179" i="2"/>
  <c r="AW128" i="2"/>
  <c r="AW212" i="2"/>
  <c r="AW140" i="2"/>
  <c r="AW175" i="2"/>
  <c r="AW153" i="2"/>
  <c r="AW149" i="2"/>
  <c r="AW211" i="2"/>
  <c r="AW139" i="2"/>
  <c r="AW137" i="2"/>
  <c r="AW119" i="2"/>
  <c r="AW143" i="2"/>
  <c r="AW159" i="2"/>
  <c r="AW189" i="2"/>
  <c r="AW185" i="2"/>
  <c r="AW201" i="2"/>
  <c r="AW184" i="2"/>
  <c r="AW146" i="2"/>
  <c r="AW154" i="2"/>
  <c r="AW200" i="2"/>
  <c r="AW127" i="2"/>
  <c r="AW129" i="2"/>
  <c r="AW12" i="2"/>
  <c r="AW202" i="2"/>
  <c r="AW125" i="2"/>
  <c r="AW151" i="2"/>
  <c r="AW178" i="2"/>
  <c r="AW156" i="2"/>
  <c r="AW152" i="2"/>
  <c r="AW136" i="2"/>
  <c r="AW123" i="2"/>
  <c r="AW155" i="2"/>
  <c r="AW162" i="2"/>
  <c r="AW190" i="2"/>
  <c r="AW180" i="2"/>
  <c r="AW145" i="2"/>
  <c r="AW117" i="2"/>
  <c r="AW138" i="2"/>
  <c r="AW157" i="2"/>
  <c r="AW167" i="2"/>
  <c r="AW135" i="2"/>
  <c r="AW205" i="2"/>
  <c r="AW195" i="2"/>
  <c r="AW124" i="2"/>
  <c r="AW174" i="2"/>
  <c r="AW176" i="2"/>
  <c r="AW207" i="2"/>
  <c r="AW130" i="2"/>
  <c r="AW116" i="2"/>
  <c r="AW120" i="2"/>
  <c r="AW141" i="2"/>
  <c r="AW160" i="2"/>
  <c r="AW165" i="2"/>
  <c r="AW166" i="2"/>
  <c r="AW188" i="2"/>
  <c r="AW210" i="2"/>
  <c r="AW132" i="2"/>
  <c r="AW168" i="2"/>
  <c r="AW164" i="2"/>
  <c r="AW203" i="2"/>
  <c r="AW192" i="2"/>
  <c r="AW208" i="2"/>
  <c r="AW213" i="2"/>
  <c r="AW186" i="2"/>
  <c r="AW209" i="2"/>
  <c r="AW163" i="2"/>
  <c r="AW216" i="2"/>
  <c r="AW9" i="2"/>
  <c r="AW215" i="2"/>
  <c r="AW214" i="2"/>
  <c r="AC8" i="2"/>
  <c r="Y8" i="2"/>
  <c r="U8" i="2"/>
  <c r="Q8" i="2"/>
  <c r="M8" i="2"/>
  <c r="AA216" i="2"/>
  <c r="AA215" i="2"/>
  <c r="AA214" i="2"/>
  <c r="W216" i="2"/>
  <c r="W215" i="2"/>
  <c r="W214" i="2"/>
  <c r="S216" i="2"/>
  <c r="S215" i="2"/>
  <c r="S214" i="2"/>
  <c r="O216" i="2"/>
  <c r="P216" i="2" s="1"/>
  <c r="O215" i="2"/>
  <c r="P215" i="2" s="1"/>
  <c r="O214" i="2"/>
  <c r="P214" i="2" s="1"/>
  <c r="K216" i="2"/>
  <c r="K215" i="2"/>
  <c r="K214" i="2"/>
  <c r="Z7" i="2"/>
  <c r="V7" i="2"/>
  <c r="R7" i="2"/>
  <c r="N7" i="2"/>
  <c r="J7" i="2"/>
  <c r="Z220" i="2"/>
  <c r="V220" i="2"/>
  <c r="N220" i="2"/>
  <c r="R220" i="2"/>
  <c r="AY223" i="2"/>
  <c r="J220" i="2"/>
  <c r="H216" i="2"/>
  <c r="H215" i="2"/>
  <c r="H214" i="2"/>
  <c r="H9" i="2"/>
  <c r="B34" i="3"/>
  <c r="G36" i="3" s="1"/>
  <c r="C32" i="3"/>
  <c r="C31" i="3"/>
  <c r="C30" i="3"/>
  <c r="D27" i="3"/>
  <c r="C27" i="3"/>
  <c r="B27" i="3"/>
  <c r="I29" i="3" s="1"/>
  <c r="C25" i="3"/>
  <c r="C24" i="3"/>
  <c r="C23" i="3"/>
  <c r="D20" i="3"/>
  <c r="C20" i="3"/>
  <c r="B20" i="3"/>
  <c r="A24" i="3" s="1"/>
  <c r="C18" i="3"/>
  <c r="C39" i="3" s="1"/>
  <c r="C17" i="3"/>
  <c r="C38" i="3" s="1"/>
  <c r="C16" i="3"/>
  <c r="C37" i="3" s="1"/>
  <c r="D13" i="3"/>
  <c r="D34" i="3" s="1"/>
  <c r="C13" i="3"/>
  <c r="C34" i="3" s="1"/>
  <c r="B13" i="3"/>
  <c r="A15" i="3" s="1"/>
  <c r="B6" i="3"/>
  <c r="A10" i="3" s="1"/>
  <c r="AF183" i="2" l="1"/>
  <c r="AF169" i="2"/>
  <c r="AF199" i="2"/>
  <c r="AF179" i="2"/>
  <c r="AF195" i="2"/>
  <c r="AF131" i="2"/>
  <c r="AF207" i="2"/>
  <c r="AF165" i="2"/>
  <c r="AF163" i="2"/>
  <c r="AF125" i="2"/>
  <c r="AF203" i="2"/>
  <c r="AF189" i="2"/>
  <c r="AF167" i="2"/>
  <c r="AF190" i="2"/>
  <c r="AF146" i="2"/>
  <c r="AF181" i="2"/>
  <c r="AF132" i="2"/>
  <c r="AF135" i="2"/>
  <c r="AF150" i="2"/>
  <c r="AF127" i="2"/>
  <c r="AF151" i="2"/>
  <c r="AF130" i="2"/>
  <c r="AF139" i="2"/>
  <c r="AF160" i="2"/>
  <c r="AF10" i="2"/>
  <c r="AF188" i="2"/>
  <c r="AF120" i="2"/>
  <c r="AF137" i="2"/>
  <c r="AF164" i="2"/>
  <c r="AF115" i="2"/>
  <c r="AF168" i="2"/>
  <c r="AF209" i="2"/>
  <c r="AF145" i="2"/>
  <c r="AF140" i="2"/>
  <c r="AF122" i="2"/>
  <c r="AF180" i="2"/>
  <c r="AF198" i="2"/>
  <c r="AF154" i="2"/>
  <c r="AF191" i="2"/>
  <c r="AF175" i="2"/>
  <c r="AF11" i="2"/>
  <c r="AF204" i="2"/>
  <c r="AF12" i="2"/>
  <c r="AF171" i="2"/>
  <c r="AF147" i="2"/>
  <c r="AF206" i="2"/>
  <c r="AF143" i="2"/>
  <c r="AF128" i="2"/>
  <c r="AF157" i="2"/>
  <c r="AF134" i="2"/>
  <c r="AF202" i="2"/>
  <c r="AF196" i="2"/>
  <c r="AF159" i="2"/>
  <c r="AF161" i="2"/>
  <c r="AF129" i="2"/>
  <c r="AF141" i="2"/>
  <c r="AF136" i="2"/>
  <c r="AF133" i="2"/>
  <c r="AF119" i="2"/>
  <c r="AF182" i="2"/>
  <c r="AF138" i="2"/>
  <c r="AF158" i="2"/>
  <c r="AF144" i="2"/>
  <c r="AF116" i="2"/>
  <c r="AF211" i="2"/>
  <c r="AF194" i="2"/>
  <c r="AF172" i="2"/>
  <c r="AF148" i="2"/>
  <c r="AF173" i="2"/>
  <c r="AF176" i="2"/>
  <c r="AF155" i="2"/>
  <c r="AF153" i="2"/>
  <c r="AF192" i="2"/>
  <c r="AF185" i="2"/>
  <c r="AF174" i="2"/>
  <c r="AF212" i="2"/>
  <c r="AF118" i="2"/>
  <c r="AF201" i="2"/>
  <c r="AF213" i="2"/>
  <c r="AF117" i="2"/>
  <c r="AF177" i="2"/>
  <c r="AF142" i="2"/>
  <c r="AF197" i="2"/>
  <c r="AF186" i="2"/>
  <c r="AF184" i="2"/>
  <c r="AF210" i="2"/>
  <c r="AF123" i="2"/>
  <c r="AF205" i="2"/>
  <c r="AF178" i="2"/>
  <c r="AF124" i="2"/>
  <c r="AF152" i="2"/>
  <c r="AF200" i="2"/>
  <c r="AF162" i="2"/>
  <c r="AF170" i="2"/>
  <c r="AF187" i="2"/>
  <c r="AF208" i="2"/>
  <c r="AF126" i="2"/>
  <c r="AF166" i="2"/>
  <c r="AF121" i="2"/>
  <c r="AF149" i="2"/>
  <c r="AF193" i="2"/>
  <c r="AF156" i="2"/>
  <c r="AY183" i="2"/>
  <c r="G15" i="3"/>
  <c r="A11" i="3"/>
  <c r="H22" i="3"/>
  <c r="A25" i="3"/>
  <c r="J22" i="3"/>
  <c r="A39" i="3"/>
  <c r="A30" i="3"/>
  <c r="H29" i="3"/>
  <c r="A32" i="3"/>
  <c r="F36" i="3"/>
  <c r="A35" i="3"/>
  <c r="J36" i="3"/>
  <c r="A28" i="3"/>
  <c r="A37" i="3"/>
  <c r="F22" i="3"/>
  <c r="A21" i="3"/>
  <c r="H8" i="3"/>
  <c r="A7" i="3"/>
  <c r="I15" i="3"/>
  <c r="E15" i="3"/>
  <c r="A16" i="3"/>
  <c r="E8" i="3"/>
  <c r="I8" i="3"/>
  <c r="H15" i="3"/>
  <c r="E22" i="3"/>
  <c r="I22" i="3"/>
  <c r="J29" i="3"/>
  <c r="A8" i="3"/>
  <c r="A13" i="3"/>
  <c r="A17" i="3"/>
  <c r="A22" i="3"/>
  <c r="A27" i="3"/>
  <c r="A31" i="3"/>
  <c r="A36" i="3"/>
  <c r="F8" i="3"/>
  <c r="J8" i="3"/>
  <c r="A9" i="3"/>
  <c r="A14" i="3"/>
  <c r="A18" i="3"/>
  <c r="A23" i="3"/>
  <c r="G8" i="3"/>
  <c r="F15" i="3"/>
  <c r="J15" i="3"/>
  <c r="G22" i="3"/>
  <c r="F29" i="3"/>
  <c r="H36" i="3"/>
  <c r="A6" i="3"/>
  <c r="A20" i="3"/>
  <c r="A29" i="3"/>
  <c r="A34" i="3"/>
  <c r="A38" i="3"/>
  <c r="Z218" i="2"/>
  <c r="J218" i="2"/>
  <c r="G29" i="3"/>
  <c r="E36" i="3"/>
  <c r="I36" i="3"/>
  <c r="E29" i="3"/>
  <c r="AY156" i="2" l="1"/>
  <c r="AP156" i="2"/>
  <c r="BA156" i="2"/>
  <c r="BC156" i="2" s="1"/>
  <c r="BB156" i="2" s="1"/>
  <c r="AY196" i="2"/>
  <c r="BA196" i="2"/>
  <c r="BC196" i="2" s="1"/>
  <c r="BB196" i="2" s="1"/>
  <c r="AP196" i="2"/>
  <c r="BA181" i="2"/>
  <c r="BC181" i="2" s="1"/>
  <c r="BB181" i="2" s="1"/>
  <c r="AY181" i="2"/>
  <c r="AP181" i="2"/>
  <c r="AY187" i="2"/>
  <c r="BA187" i="2"/>
  <c r="BC187" i="2" s="1"/>
  <c r="BB187" i="2" s="1"/>
  <c r="AP187" i="2"/>
  <c r="AP173" i="2"/>
  <c r="AY173" i="2"/>
  <c r="BA173" i="2"/>
  <c r="BC173" i="2" s="1"/>
  <c r="BB173" i="2" s="1"/>
  <c r="AY12" i="2"/>
  <c r="BA12" i="2"/>
  <c r="BC12" i="2" s="1"/>
  <c r="BB12" i="2" s="1"/>
  <c r="AP12" i="2"/>
  <c r="BA122" i="2"/>
  <c r="BC122" i="2" s="1"/>
  <c r="BB122" i="2" s="1"/>
  <c r="AY122" i="2"/>
  <c r="AP122" i="2"/>
  <c r="AY137" i="2"/>
  <c r="AP137" i="2"/>
  <c r="BA137" i="2"/>
  <c r="BC137" i="2" s="1"/>
  <c r="BB137" i="2" s="1"/>
  <c r="BA151" i="2"/>
  <c r="BC151" i="2" s="1"/>
  <c r="BB151" i="2" s="1"/>
  <c r="AP151" i="2"/>
  <c r="AY151" i="2"/>
  <c r="BA146" i="2"/>
  <c r="BC146" i="2" s="1"/>
  <c r="BB146" i="2" s="1"/>
  <c r="AP146" i="2"/>
  <c r="AY146" i="2"/>
  <c r="BA207" i="2"/>
  <c r="BC207" i="2" s="1"/>
  <c r="BB207" i="2" s="1"/>
  <c r="AY207" i="2"/>
  <c r="AP207" i="2"/>
  <c r="AP170" i="2"/>
  <c r="BA170" i="2"/>
  <c r="BC170" i="2" s="1"/>
  <c r="BB170" i="2" s="1"/>
  <c r="AY170" i="2"/>
  <c r="AY205" i="2"/>
  <c r="BA205" i="2"/>
  <c r="BC205" i="2" s="1"/>
  <c r="BB205" i="2" s="1"/>
  <c r="AP205" i="2"/>
  <c r="AY201" i="2"/>
  <c r="AP201" i="2"/>
  <c r="BA201" i="2"/>
  <c r="BC201" i="2" s="1"/>
  <c r="BB201" i="2" s="1"/>
  <c r="AP192" i="2"/>
  <c r="BA192" i="2"/>
  <c r="BC192" i="2" s="1"/>
  <c r="BB192" i="2" s="1"/>
  <c r="AY192" i="2"/>
  <c r="BA148" i="2"/>
  <c r="BC148" i="2" s="1"/>
  <c r="BB148" i="2" s="1"/>
  <c r="AP148" i="2"/>
  <c r="AY148" i="2"/>
  <c r="BA158" i="2"/>
  <c r="BC158" i="2" s="1"/>
  <c r="BB158" i="2" s="1"/>
  <c r="AY158" i="2"/>
  <c r="AP158" i="2"/>
  <c r="BA134" i="2"/>
  <c r="BC134" i="2" s="1"/>
  <c r="BB134" i="2" s="1"/>
  <c r="AY134" i="2"/>
  <c r="AP134" i="2"/>
  <c r="AY204" i="2"/>
  <c r="BA204" i="2"/>
  <c r="BC204" i="2" s="1"/>
  <c r="BB204" i="2" s="1"/>
  <c r="AP204" i="2"/>
  <c r="AP140" i="2"/>
  <c r="AY140" i="2"/>
  <c r="BA140" i="2"/>
  <c r="BC140" i="2" s="1"/>
  <c r="BB140" i="2" s="1"/>
  <c r="BA120" i="2"/>
  <c r="BC120" i="2" s="1"/>
  <c r="BB120" i="2" s="1"/>
  <c r="AP120" i="2"/>
  <c r="AY120" i="2"/>
  <c r="AP127" i="2"/>
  <c r="BA127" i="2"/>
  <c r="BC127" i="2" s="1"/>
  <c r="BB127" i="2" s="1"/>
  <c r="AY127" i="2"/>
  <c r="AP190" i="2"/>
  <c r="BA190" i="2"/>
  <c r="BC190" i="2" s="1"/>
  <c r="BB190" i="2" s="1"/>
  <c r="AY190" i="2"/>
  <c r="BA131" i="2"/>
  <c r="BC131" i="2" s="1"/>
  <c r="BB131" i="2" s="1"/>
  <c r="AP131" i="2"/>
  <c r="AY131" i="2"/>
  <c r="BA136" i="2"/>
  <c r="BC136" i="2" s="1"/>
  <c r="BB136" i="2" s="1"/>
  <c r="AP136" i="2"/>
  <c r="AY136" i="2"/>
  <c r="AY164" i="2"/>
  <c r="AP164" i="2"/>
  <c r="BA164" i="2"/>
  <c r="BC164" i="2" s="1"/>
  <c r="BB164" i="2" s="1"/>
  <c r="AP178" i="2"/>
  <c r="AY178" i="2"/>
  <c r="BA178" i="2"/>
  <c r="BC178" i="2" s="1"/>
  <c r="BB178" i="2" s="1"/>
  <c r="AP141" i="2"/>
  <c r="AY141" i="2"/>
  <c r="BA141" i="2"/>
  <c r="BC141" i="2" s="1"/>
  <c r="BB141" i="2" s="1"/>
  <c r="AP129" i="2"/>
  <c r="AY129" i="2"/>
  <c r="BA129" i="2"/>
  <c r="BC129" i="2" s="1"/>
  <c r="BB129" i="2" s="1"/>
  <c r="BA11" i="2"/>
  <c r="BC11" i="2" s="1"/>
  <c r="BB11" i="2" s="1"/>
  <c r="AY11" i="2"/>
  <c r="AP11" i="2"/>
  <c r="AP195" i="2"/>
  <c r="BA195" i="2"/>
  <c r="BC195" i="2" s="1"/>
  <c r="BB195" i="2" s="1"/>
  <c r="AY195" i="2"/>
  <c r="BA121" i="2"/>
  <c r="BC121" i="2" s="1"/>
  <c r="BB121" i="2" s="1"/>
  <c r="AY121" i="2"/>
  <c r="AP121" i="2"/>
  <c r="AY177" i="2"/>
  <c r="BA177" i="2"/>
  <c r="BC177" i="2" s="1"/>
  <c r="BB177" i="2" s="1"/>
  <c r="AP177" i="2"/>
  <c r="AY212" i="2"/>
  <c r="BA212" i="2"/>
  <c r="BC212" i="2" s="1"/>
  <c r="BB212" i="2" s="1"/>
  <c r="AP212" i="2"/>
  <c r="BA153" i="2"/>
  <c r="BC153" i="2" s="1"/>
  <c r="BB153" i="2" s="1"/>
  <c r="AY153" i="2"/>
  <c r="AP153" i="2"/>
  <c r="BA194" i="2"/>
  <c r="BC194" i="2" s="1"/>
  <c r="BB194" i="2" s="1"/>
  <c r="AY194" i="2"/>
  <c r="AP194" i="2"/>
  <c r="BA182" i="2"/>
  <c r="BC182" i="2" s="1"/>
  <c r="BB182" i="2" s="1"/>
  <c r="AP182" i="2"/>
  <c r="AY182" i="2"/>
  <c r="BA161" i="2"/>
  <c r="BC161" i="2" s="1"/>
  <c r="BB161" i="2" s="1"/>
  <c r="AY161" i="2"/>
  <c r="AP161" i="2"/>
  <c r="BA128" i="2"/>
  <c r="BC128" i="2" s="1"/>
  <c r="BB128" i="2" s="1"/>
  <c r="AP128" i="2"/>
  <c r="AY128" i="2"/>
  <c r="AY175" i="2"/>
  <c r="BA175" i="2"/>
  <c r="BC175" i="2" s="1"/>
  <c r="BB175" i="2" s="1"/>
  <c r="AP175" i="2"/>
  <c r="AY145" i="2"/>
  <c r="BA145" i="2"/>
  <c r="BC145" i="2" s="1"/>
  <c r="BB145" i="2" s="1"/>
  <c r="AP145" i="2"/>
  <c r="BA188" i="2"/>
  <c r="BC188" i="2" s="1"/>
  <c r="BB188" i="2" s="1"/>
  <c r="AP188" i="2"/>
  <c r="AY188" i="2"/>
  <c r="BA150" i="2"/>
  <c r="BC150" i="2" s="1"/>
  <c r="BB150" i="2" s="1"/>
  <c r="AP150" i="2"/>
  <c r="AY150" i="2"/>
  <c r="AY189" i="2"/>
  <c r="BA189" i="2"/>
  <c r="BC189" i="2" s="1"/>
  <c r="BB189" i="2" s="1"/>
  <c r="AP189" i="2"/>
  <c r="BA179" i="2"/>
  <c r="BC179" i="2" s="1"/>
  <c r="BB179" i="2" s="1"/>
  <c r="AP179" i="2"/>
  <c r="AY179" i="2"/>
  <c r="BA186" i="2"/>
  <c r="BC186" i="2" s="1"/>
  <c r="BB186" i="2" s="1"/>
  <c r="AY186" i="2"/>
  <c r="AP186" i="2"/>
  <c r="BA116" i="2"/>
  <c r="BC116" i="2" s="1"/>
  <c r="BB116" i="2" s="1"/>
  <c r="AY116" i="2"/>
  <c r="AP116" i="2"/>
  <c r="BA130" i="2"/>
  <c r="BC130" i="2" s="1"/>
  <c r="BB130" i="2" s="1"/>
  <c r="AY130" i="2"/>
  <c r="AP130" i="2"/>
  <c r="AY197" i="2"/>
  <c r="BA197" i="2"/>
  <c r="BC197" i="2" s="1"/>
  <c r="BB197" i="2" s="1"/>
  <c r="AP197" i="2"/>
  <c r="BA144" i="2"/>
  <c r="BC144" i="2" s="1"/>
  <c r="BB144" i="2" s="1"/>
  <c r="AY144" i="2"/>
  <c r="AP144" i="2"/>
  <c r="BA123" i="2"/>
  <c r="BC123" i="2" s="1"/>
  <c r="BB123" i="2" s="1"/>
  <c r="AY123" i="2"/>
  <c r="AP123" i="2"/>
  <c r="AP172" i="2"/>
  <c r="BA172" i="2"/>
  <c r="BC172" i="2" s="1"/>
  <c r="BB172" i="2" s="1"/>
  <c r="AY172" i="2"/>
  <c r="BA157" i="2"/>
  <c r="BC157" i="2" s="1"/>
  <c r="BB157" i="2" s="1"/>
  <c r="AP157" i="2"/>
  <c r="AY157" i="2"/>
  <c r="AY167" i="2"/>
  <c r="BA167" i="2"/>
  <c r="BC167" i="2" s="1"/>
  <c r="BB167" i="2" s="1"/>
  <c r="AP167" i="2"/>
  <c r="BA166" i="2"/>
  <c r="BC166" i="2" s="1"/>
  <c r="BB166" i="2" s="1"/>
  <c r="AY166" i="2"/>
  <c r="AP166" i="2"/>
  <c r="BA162" i="2"/>
  <c r="BC162" i="2" s="1"/>
  <c r="BB162" i="2" s="1"/>
  <c r="AP162" i="2"/>
  <c r="AY162" i="2"/>
  <c r="AY117" i="2"/>
  <c r="AP117" i="2"/>
  <c r="BA117" i="2"/>
  <c r="BC117" i="2" s="1"/>
  <c r="BB117" i="2" s="1"/>
  <c r="BA174" i="2"/>
  <c r="BC174" i="2" s="1"/>
  <c r="BB174" i="2" s="1"/>
  <c r="AY174" i="2"/>
  <c r="AP174" i="2"/>
  <c r="BA155" i="2"/>
  <c r="BC155" i="2" s="1"/>
  <c r="BB155" i="2" s="1"/>
  <c r="AP155" i="2"/>
  <c r="AY155" i="2"/>
  <c r="AP119" i="2"/>
  <c r="BA119" i="2"/>
  <c r="BC119" i="2" s="1"/>
  <c r="BB119" i="2" s="1"/>
  <c r="AY119" i="2"/>
  <c r="AY143" i="2"/>
  <c r="AP143" i="2"/>
  <c r="BA143" i="2"/>
  <c r="BC143" i="2" s="1"/>
  <c r="BB143" i="2" s="1"/>
  <c r="AY191" i="2"/>
  <c r="BA191" i="2"/>
  <c r="BC191" i="2" s="1"/>
  <c r="BB191" i="2" s="1"/>
  <c r="AP191" i="2"/>
  <c r="AP209" i="2"/>
  <c r="BA209" i="2"/>
  <c r="BC209" i="2" s="1"/>
  <c r="BB209" i="2" s="1"/>
  <c r="AY209" i="2"/>
  <c r="BA10" i="2"/>
  <c r="BC10" i="2" s="1"/>
  <c r="BB10" i="2" s="1"/>
  <c r="AY10" i="2"/>
  <c r="AP10" i="2"/>
  <c r="BA203" i="2"/>
  <c r="BC203" i="2" s="1"/>
  <c r="BB203" i="2" s="1"/>
  <c r="AP203" i="2"/>
  <c r="AY203" i="2"/>
  <c r="BA199" i="2"/>
  <c r="BC199" i="2" s="1"/>
  <c r="BB199" i="2" s="1"/>
  <c r="AP199" i="2"/>
  <c r="AY199" i="2"/>
  <c r="AY185" i="2"/>
  <c r="AP185" i="2"/>
  <c r="BA185" i="2"/>
  <c r="BC185" i="2" s="1"/>
  <c r="BB185" i="2" s="1"/>
  <c r="BA171" i="2"/>
  <c r="BC171" i="2" s="1"/>
  <c r="BB171" i="2" s="1"/>
  <c r="AY171" i="2"/>
  <c r="AP171" i="2"/>
  <c r="AY165" i="2"/>
  <c r="AP165" i="2"/>
  <c r="BA165" i="2"/>
  <c r="BC165" i="2" s="1"/>
  <c r="BB165" i="2" s="1"/>
  <c r="BA202" i="2"/>
  <c r="BC202" i="2" s="1"/>
  <c r="BB202" i="2" s="1"/>
  <c r="AY202" i="2"/>
  <c r="AP202" i="2"/>
  <c r="BA142" i="2"/>
  <c r="BC142" i="2" s="1"/>
  <c r="BB142" i="2" s="1"/>
  <c r="AP142" i="2"/>
  <c r="AY142" i="2"/>
  <c r="AY138" i="2"/>
  <c r="BA138" i="2"/>
  <c r="BC138" i="2" s="1"/>
  <c r="BB138" i="2" s="1"/>
  <c r="AP138" i="2"/>
  <c r="AP126" i="2"/>
  <c r="AY126" i="2"/>
  <c r="BA126" i="2"/>
  <c r="BC126" i="2" s="1"/>
  <c r="BB126" i="2" s="1"/>
  <c r="BA200" i="2"/>
  <c r="BC200" i="2" s="1"/>
  <c r="BB200" i="2" s="1"/>
  <c r="AP200" i="2"/>
  <c r="AY200" i="2"/>
  <c r="BA210" i="2"/>
  <c r="BC210" i="2" s="1"/>
  <c r="BB210" i="2" s="1"/>
  <c r="AY210" i="2"/>
  <c r="AP210" i="2"/>
  <c r="AP211" i="2"/>
  <c r="BA211" i="2"/>
  <c r="BC211" i="2" s="1"/>
  <c r="BB211" i="2" s="1"/>
  <c r="AY211" i="2"/>
  <c r="BA133" i="2"/>
  <c r="BC133" i="2" s="1"/>
  <c r="BB133" i="2" s="1"/>
  <c r="AP133" i="2"/>
  <c r="AY133" i="2"/>
  <c r="BA206" i="2"/>
  <c r="BC206" i="2" s="1"/>
  <c r="BB206" i="2" s="1"/>
  <c r="AP206" i="2"/>
  <c r="AY206" i="2"/>
  <c r="BA154" i="2"/>
  <c r="BC154" i="2" s="1"/>
  <c r="BB154" i="2" s="1"/>
  <c r="AY154" i="2"/>
  <c r="AP154" i="2"/>
  <c r="BA168" i="2"/>
  <c r="BC168" i="2" s="1"/>
  <c r="BB168" i="2" s="1"/>
  <c r="AP168" i="2"/>
  <c r="AY168" i="2"/>
  <c r="BA160" i="2"/>
  <c r="BC160" i="2" s="1"/>
  <c r="BB160" i="2" s="1"/>
  <c r="AY160" i="2"/>
  <c r="AP160" i="2"/>
  <c r="AY135" i="2"/>
  <c r="AP135" i="2"/>
  <c r="BA135" i="2"/>
  <c r="BC135" i="2" s="1"/>
  <c r="BB135" i="2" s="1"/>
  <c r="AY125" i="2"/>
  <c r="BA125" i="2"/>
  <c r="BC125" i="2" s="1"/>
  <c r="BB125" i="2" s="1"/>
  <c r="AP125" i="2"/>
  <c r="AY169" i="2"/>
  <c r="AP169" i="2"/>
  <c r="BA169" i="2"/>
  <c r="BC169" i="2" s="1"/>
  <c r="BB169" i="2" s="1"/>
  <c r="BA124" i="2"/>
  <c r="BC124" i="2" s="1"/>
  <c r="BB124" i="2" s="1"/>
  <c r="AP124" i="2"/>
  <c r="AY124" i="2"/>
  <c r="AY176" i="2"/>
  <c r="BA176" i="2"/>
  <c r="BC176" i="2" s="1"/>
  <c r="BB176" i="2" s="1"/>
  <c r="AP176" i="2"/>
  <c r="AP180" i="2"/>
  <c r="AY180" i="2"/>
  <c r="BA180" i="2"/>
  <c r="BC180" i="2" s="1"/>
  <c r="BB180" i="2" s="1"/>
  <c r="AP193" i="2"/>
  <c r="BA193" i="2"/>
  <c r="BC193" i="2" s="1"/>
  <c r="BB193" i="2" s="1"/>
  <c r="AY193" i="2"/>
  <c r="BA149" i="2"/>
  <c r="BC149" i="2" s="1"/>
  <c r="BB149" i="2" s="1"/>
  <c r="AY149" i="2"/>
  <c r="AP149" i="2"/>
  <c r="AY118" i="2"/>
  <c r="BA118" i="2"/>
  <c r="BC118" i="2" s="1"/>
  <c r="BB118" i="2" s="1"/>
  <c r="AP118" i="2"/>
  <c r="BA208" i="2"/>
  <c r="BC208" i="2" s="1"/>
  <c r="BB208" i="2" s="1"/>
  <c r="AP208" i="2"/>
  <c r="AY208" i="2"/>
  <c r="AY152" i="2"/>
  <c r="BA152" i="2"/>
  <c r="BC152" i="2" s="1"/>
  <c r="BB152" i="2" s="1"/>
  <c r="AP152" i="2"/>
  <c r="BA184" i="2"/>
  <c r="BC184" i="2" s="1"/>
  <c r="BB184" i="2" s="1"/>
  <c r="AY184" i="2"/>
  <c r="AP184" i="2"/>
  <c r="AY213" i="2"/>
  <c r="BA213" i="2"/>
  <c r="BC213" i="2" s="1"/>
  <c r="BB213" i="2" s="1"/>
  <c r="AP213" i="2"/>
  <c r="BA159" i="2"/>
  <c r="BC159" i="2" s="1"/>
  <c r="BB159" i="2" s="1"/>
  <c r="AP159" i="2"/>
  <c r="AY159" i="2"/>
  <c r="AP147" i="2"/>
  <c r="AY147" i="2"/>
  <c r="BA147" i="2"/>
  <c r="BC147" i="2" s="1"/>
  <c r="BB147" i="2" s="1"/>
  <c r="AP198" i="2"/>
  <c r="AY198" i="2"/>
  <c r="BA198" i="2"/>
  <c r="BC198" i="2" s="1"/>
  <c r="BB198" i="2" s="1"/>
  <c r="BA115" i="2"/>
  <c r="BC115" i="2" s="1"/>
  <c r="BB115" i="2" s="1"/>
  <c r="AP115" i="2"/>
  <c r="AY115" i="2"/>
  <c r="AY139" i="2"/>
  <c r="AP139" i="2"/>
  <c r="BA139" i="2"/>
  <c r="BC139" i="2" s="1"/>
  <c r="BB139" i="2" s="1"/>
  <c r="AY132" i="2"/>
  <c r="BA132" i="2"/>
  <c r="BC132" i="2" s="1"/>
  <c r="BB132" i="2" s="1"/>
  <c r="AP132" i="2"/>
  <c r="BA163" i="2"/>
  <c r="BC163" i="2" s="1"/>
  <c r="BB163" i="2" s="1"/>
  <c r="AP163" i="2"/>
  <c r="AY163" i="2"/>
  <c r="BA183" i="2"/>
  <c r="BC183" i="2" s="1"/>
  <c r="BB183" i="2" s="1"/>
  <c r="AP183" i="2"/>
  <c r="X216" i="2"/>
  <c r="Y216" i="2" s="1"/>
  <c r="AB216" i="2"/>
  <c r="L214" i="2"/>
  <c r="AB214" i="2"/>
  <c r="X214" i="2"/>
  <c r="R218" i="2"/>
  <c r="V218" i="2"/>
  <c r="T216" i="2"/>
  <c r="X215" i="2"/>
  <c r="Y215" i="2" s="1"/>
  <c r="L215" i="2"/>
  <c r="T215" i="2"/>
  <c r="L216" i="2"/>
  <c r="AB215" i="2"/>
  <c r="T214" i="2"/>
  <c r="Y214" i="2"/>
  <c r="N218" i="2"/>
  <c r="O9" i="2"/>
  <c r="P9" i="2" s="1"/>
  <c r="K9" i="2"/>
  <c r="L9" i="2" s="1"/>
  <c r="AA9" i="2"/>
  <c r="AB9" i="2" s="1"/>
  <c r="W9" i="2"/>
  <c r="X9" i="2" s="1"/>
  <c r="S9" i="2"/>
  <c r="T9" i="2" s="1"/>
  <c r="Q215" i="2" l="1"/>
  <c r="Q216" i="2"/>
  <c r="U9" i="2"/>
  <c r="Y9" i="2"/>
  <c r="Q214" i="2"/>
  <c r="M216" i="2"/>
  <c r="M214" i="2"/>
  <c r="M215" i="2"/>
  <c r="M9" i="2"/>
  <c r="Q9" i="2"/>
  <c r="AF9" i="2" l="1"/>
  <c r="AY9" i="2" s="1"/>
  <c r="AC9" i="2"/>
  <c r="AC214" i="2"/>
  <c r="AF214" i="2" s="1"/>
  <c r="U214" i="2"/>
  <c r="AC215" i="2"/>
  <c r="U215" i="2"/>
  <c r="AF215" i="2" s="1"/>
  <c r="AC216" i="2"/>
  <c r="U216" i="2"/>
  <c r="AF216" i="2" s="1"/>
  <c r="S220" i="2"/>
  <c r="T220" i="2" s="1"/>
  <c r="AP9" i="2" l="1"/>
  <c r="BA9" i="2"/>
  <c r="W220" i="2"/>
  <c r="X220" i="2" s="1"/>
  <c r="O220" i="2"/>
  <c r="P220" i="2" s="1"/>
  <c r="AA220" i="2"/>
  <c r="AB220" i="2" s="1"/>
  <c r="K220" i="2"/>
  <c r="L220" i="2" s="1"/>
  <c r="AY219" i="2"/>
  <c r="AY221" i="2" l="1"/>
  <c r="BC9" i="2" l="1"/>
  <c r="BB9" i="2" s="1"/>
  <c r="AY220" i="2"/>
  <c r="AN214" i="2" l="1"/>
  <c r="AN215" i="2" l="1"/>
  <c r="AO214" i="2"/>
  <c r="BA214" i="2"/>
  <c r="BC214" i="2" s="1"/>
  <c r="BB214" i="2" s="1"/>
  <c r="AY214" i="2" l="1"/>
  <c r="AP214" i="2"/>
  <c r="BA215" i="2"/>
  <c r="BC215" i="2" s="1"/>
  <c r="BB215" i="2" s="1"/>
  <c r="AN216" i="2"/>
  <c r="AO215" i="2"/>
  <c r="BA216" i="2" l="1"/>
  <c r="BC216" i="2" s="1"/>
  <c r="BB216" i="2" s="1"/>
  <c r="AO216" i="2"/>
  <c r="AY215" i="2"/>
  <c r="AP215" i="2"/>
  <c r="AY216" i="2" l="1"/>
  <c r="AP216" i="2"/>
  <c r="AY218" i="2" l="1"/>
  <c r="AY222" i="2"/>
</calcChain>
</file>

<file path=xl/sharedStrings.xml><?xml version="1.0" encoding="utf-8"?>
<sst xmlns="http://schemas.openxmlformats.org/spreadsheetml/2006/main" count="266" uniqueCount="159">
  <si>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</si>
  <si>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</si>
  <si>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</si>
  <si>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</si>
  <si>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</si>
  <si>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</si>
  <si>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</si>
  <si>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</si>
  <si>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</si>
  <si>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</si>
  <si>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</si>
  <si>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</si>
  <si>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</si>
  <si>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</si>
  <si>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</si>
  <si>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</si>
  <si>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</si>
  <si>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</si>
  <si>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</si>
  <si>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</si>
  <si>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</si>
  <si>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</si>
  <si>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</si>
  <si>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</si>
  <si>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</si>
  <si>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</si>
  <si>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</si>
  <si>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</si>
  <si>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Eléments déclencheurs = Réclamation client Agent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</si>
  <si>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</si>
  <si>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</si>
  <si>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</si>
  <si>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</si>
  <si>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</si>
  <si>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</si>
  <si>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Toute la prime est perdue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</si>
  <si>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</si>
  <si>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</si>
  <si>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</si>
  <si>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</si>
  <si>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</si>
  <si>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</si>
  <si>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</si>
  <si>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</si>
  <si>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</si>
  <si>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</si>
  <si>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</si>
  <si>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</si>
  <si>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</si>
  <si>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</si>
  <si>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Objectif VS Statut</t>
  </si>
  <si>
    <t>Taux d'atteinte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</si>
  <si>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</si>
  <si>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</si>
  <si>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</si>
  <si>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</si>
  <si>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</si>
  <si>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</si>
  <si>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</si>
  <si>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</si>
  <si>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Super Bonus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</si>
  <si>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</si>
  <si>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</si>
  <si>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</si>
  <si>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</si>
  <si>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</si>
  <si>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</si>
  <si>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KPI1</t>
  </si>
  <si>
    <t>KPI2</t>
  </si>
  <si>
    <t>KPI3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</si>
  <si>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</si>
  <si>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</si>
  <si>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</si>
  <si>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</si>
  <si>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</si>
  <si>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</si>
  <si>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</si>
  <si>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</si>
  <si>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Projet</t>
  </si>
  <si>
    <t>Résultat</t>
  </si>
  <si>
    <t>% d'att.</t>
  </si>
  <si>
    <t>Montant total de la prime</t>
  </si>
  <si>
    <t>KPI4</t>
  </si>
  <si>
    <t>KPI5</t>
  </si>
  <si>
    <t>KPI6</t>
  </si>
  <si>
    <t>MALUS</t>
  </si>
  <si>
    <t>MAL</t>
  </si>
  <si>
    <t>Matrice des primes bonus sur l'activité</t>
  </si>
  <si>
    <t>PRIME 1</t>
  </si>
  <si>
    <t>PRIME 2</t>
  </si>
  <si>
    <t>PRIME 3</t>
  </si>
  <si>
    <t>PRIME 4</t>
  </si>
  <si>
    <t>DENOMINATION PRIME</t>
  </si>
  <si>
    <t>PRIME</t>
  </si>
  <si>
    <t>Heures produites</t>
  </si>
  <si>
    <t>MISSION</t>
  </si>
  <si>
    <t>PRIME DE LANGUE</t>
  </si>
  <si>
    <t>Grille de prime agent pour business hors télèvente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</si>
  <si>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</si>
  <si>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</si>
  <si>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</si>
  <si>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</si>
  <si>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</si>
  <si>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</si>
  <si>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</si>
  <si>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</si>
  <si>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</si>
  <si>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</si>
  <si>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</si>
  <si>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</si>
  <si>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</si>
  <si>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</si>
  <si>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</si>
  <si>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</si>
  <si>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</si>
  <si>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</si>
  <si>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</si>
  <si>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</si>
  <si>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</si>
  <si>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</si>
  <si>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</si>
  <si>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</si>
  <si>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</si>
  <si>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</si>
  <si>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</si>
  <si>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Refonte de la grille</t>
  </si>
  <si>
    <t>Hamid ABDI</t>
  </si>
  <si>
    <t>FZ FATIH</t>
  </si>
  <si>
    <t>ZAKIA SLAOUI</t>
  </si>
  <si>
    <t>FATIH FATIMA ZAHRA</t>
  </si>
  <si>
    <t>Montant Prime</t>
  </si>
  <si>
    <t>SUPER BONUS VENTES</t>
  </si>
  <si>
    <t>Commission</t>
  </si>
  <si>
    <t>Montant Cible (BRUT)</t>
  </si>
  <si>
    <t>TAUX DE CHANGE</t>
  </si>
  <si>
    <t>Tx de Prime/CA</t>
  </si>
  <si>
    <t>CA Net / RDV Net</t>
  </si>
  <si>
    <t>PRIX RDV</t>
  </si>
  <si>
    <t>BASE SUPER BONUS</t>
  </si>
  <si>
    <t>A RENSEIGNER</t>
  </si>
  <si>
    <t>Liste des bénéficiaires des différents bonus</t>
  </si>
  <si>
    <t>Réalisation</t>
  </si>
  <si>
    <t>ACTIVITE 1</t>
  </si>
  <si>
    <t>ACTIVITE 2</t>
  </si>
  <si>
    <t>INTITULE KPI1</t>
  </si>
  <si>
    <t>INTITULE KPI2</t>
  </si>
  <si>
    <t>INTITULE KPI3</t>
  </si>
  <si>
    <t>INTITULE KPI4</t>
  </si>
  <si>
    <t>INTITULE KPI5</t>
  </si>
  <si>
    <t>INTITULE KPI6</t>
  </si>
  <si>
    <t>MCC_S01_FEG-GRILLE BUSINESS HTLV_PRIMES AGENT-ACTIVITE</t>
  </si>
  <si>
    <t>Refonte de la grille: séparation des grilles activités téléventes et hors télévente</t>
  </si>
  <si>
    <t>pay plan du super bonus vente/RDV</t>
  </si>
  <si>
    <t>TEST</t>
  </si>
  <si>
    <t>SOURCE PLANILICATION</t>
  </si>
  <si>
    <t>Interne</t>
  </si>
  <si>
    <t>Ajout ligne et correction formule de la proratisation de la prime de langue ajout notion planification interne et client</t>
  </si>
  <si>
    <t>préciser si la planification des ressources se fait à notre niveau (interne) ou par le client</t>
  </si>
  <si>
    <t>Modification du malus réclamation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</si>
</sst>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[$-F400]h:mm:ss\ AM/PM"/>
    <numFmt numFmtId="172" formatCode="#,##0\ &quot;€&quot;"/>
    <numFmt numFmtId="173" formatCode="#,##0.00\ [$MAD]"/>
  </numFmts>
  <fonts count="28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sz val="1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b/>
      <u/>
      <sz val="10"/>
      <color theme="1" tint="0.14999847407452621"/>
      <name val="Sansation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CC"/>
        <bgColor theme="2"/>
      </patternFill>
    </fill>
  </fills>
  <borders count="81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/>
      <top/>
      <bottom style="hair">
        <color theme="0" tint="-0.34998626667073579"/>
      </bottom>
      <diagonal/>
    </border>
    <border>
      <left style="hair">
        <color theme="1" tint="0.2499465926084170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/>
      <top style="hair">
        <color theme="0" tint="-0.34998626667073579"/>
      </top>
      <bottom/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1" tint="0.24994659260841701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/>
      <top/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 style="hair">
        <color theme="1" tint="0.24994659260841701"/>
      </left>
      <right/>
      <top style="hair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/>
      <diagonal/>
    </border>
    <border>
      <left style="hair">
        <color rgb="FF595959"/>
      </left>
      <right style="hair">
        <color rgb="FF595959"/>
      </right>
      <top style="hair">
        <color rgb="FF595959"/>
      </top>
      <bottom/>
      <diagonal/>
    </border>
    <border>
      <left style="hair">
        <color rgb="FF595959"/>
      </left>
      <right style="medium">
        <color rgb="FF595959"/>
      </right>
      <top style="hair">
        <color rgb="FF595959"/>
      </top>
      <bottom/>
      <diagonal/>
    </border>
  </borders>
  <cellStyleXfs count="13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</cellStyleXfs>
  <cellXfs count="344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2" fillId="4" borderId="49" xfId="0" applyFont="1" applyFill="1" applyBorder="1" applyAlignment="1" applyProtection="1">
      <alignment horizontal="left" indent="1"/>
      <protection locked="0"/>
    </xf>
    <xf numFmtId="0" fontId="2" fillId="4" borderId="50" xfId="0" applyFont="1" applyFill="1" applyBorder="1" applyAlignment="1" applyProtection="1">
      <alignment horizontal="left" indent="1"/>
      <protection locked="0"/>
    </xf>
    <xf numFmtId="0" fontId="2" fillId="0" borderId="50" xfId="0" applyFont="1" applyBorder="1" applyAlignment="1" applyProtection="1">
      <alignment horizontal="left" indent="1"/>
      <protection locked="0"/>
    </xf>
    <xf numFmtId="0" fontId="2" fillId="4" borderId="50" xfId="0" applyFont="1" applyFill="1" applyBorder="1" applyAlignment="1" applyProtection="1">
      <alignment horizontal="center"/>
      <protection locked="0"/>
    </xf>
    <xf numFmtId="9" fontId="2" fillId="4" borderId="49" xfId="1" applyFont="1" applyFill="1" applyBorder="1" applyAlignment="1" applyProtection="1">
      <alignment horizontal="center"/>
      <protection locked="0"/>
    </xf>
    <xf numFmtId="0" fontId="2" fillId="4" borderId="52" xfId="0" applyFont="1" applyFill="1" applyBorder="1" applyAlignment="1" applyProtection="1">
      <alignment horizontal="left" indent="1"/>
      <protection locked="0"/>
    </xf>
    <xf numFmtId="0" fontId="2" fillId="4" borderId="53" xfId="0" applyFont="1" applyFill="1" applyBorder="1" applyAlignment="1" applyProtection="1">
      <alignment horizontal="left" indent="1"/>
      <protection locked="0"/>
    </xf>
    <xf numFmtId="0" fontId="2" fillId="0" borderId="53" xfId="0" applyFont="1" applyBorder="1" applyAlignment="1" applyProtection="1">
      <alignment horizontal="left" indent="1"/>
      <protection locked="0"/>
    </xf>
    <xf numFmtId="0" fontId="2" fillId="4" borderId="53" xfId="0" applyFont="1" applyFill="1" applyBorder="1" applyAlignment="1" applyProtection="1">
      <alignment horizontal="center"/>
      <protection locked="0"/>
    </xf>
    <xf numFmtId="9" fontId="2" fillId="4" borderId="52" xfId="1" applyFont="1" applyFill="1" applyBorder="1" applyAlignment="1" applyProtection="1">
      <alignment horizontal="center"/>
      <protection locked="0"/>
    </xf>
    <xf numFmtId="0" fontId="2" fillId="4" borderId="55" xfId="0" applyFont="1" applyFill="1" applyBorder="1" applyAlignment="1" applyProtection="1">
      <alignment horizontal="left" indent="1"/>
      <protection locked="0"/>
    </xf>
    <xf numFmtId="0" fontId="2" fillId="4" borderId="56" xfId="0" applyFont="1" applyFill="1" applyBorder="1" applyAlignment="1" applyProtection="1">
      <alignment horizontal="left" indent="1"/>
      <protection locked="0"/>
    </xf>
    <xf numFmtId="0" fontId="2" fillId="0" borderId="56" xfId="0" applyFont="1" applyBorder="1" applyAlignment="1" applyProtection="1">
      <alignment horizontal="left" indent="1"/>
      <protection locked="0"/>
    </xf>
    <xf numFmtId="0" fontId="2" fillId="4" borderId="56" xfId="0" applyFont="1" applyFill="1" applyBorder="1" applyAlignment="1" applyProtection="1">
      <alignment horizontal="center"/>
      <protection locked="0"/>
    </xf>
    <xf numFmtId="9" fontId="2" fillId="4" borderId="55" xfId="1" applyFont="1" applyFill="1" applyBorder="1" applyAlignment="1" applyProtection="1">
      <alignment horizontal="center"/>
      <protection locked="0"/>
    </xf>
    <xf numFmtId="0" fontId="17" fillId="4" borderId="53" xfId="0" applyFont="1" applyFill="1" applyBorder="1" applyAlignment="1" applyProtection="1">
      <alignment horizontal="center" vertical="center"/>
      <protection locked="0"/>
    </xf>
    <xf numFmtId="0" fontId="17" fillId="13" borderId="53" xfId="0" applyFont="1" applyFill="1" applyBorder="1" applyAlignment="1" applyProtection="1">
      <alignment horizontal="center" vertical="center" wrapText="1"/>
      <protection locked="0"/>
    </xf>
    <xf numFmtId="164" fontId="2" fillId="0" borderId="51" xfId="3" applyNumberFormat="1" applyFont="1" applyFill="1" applyBorder="1" applyAlignment="1" applyProtection="1">
      <alignment horizontal="right" indent="1"/>
      <protection locked="0"/>
    </xf>
    <xf numFmtId="164" fontId="2" fillId="0" borderId="54" xfId="3" applyNumberFormat="1" applyFont="1" applyFill="1" applyBorder="1" applyAlignment="1" applyProtection="1">
      <alignment horizontal="right" indent="1"/>
      <protection locked="0"/>
    </xf>
    <xf numFmtId="164" fontId="2" fillId="0" borderId="57" xfId="3" applyNumberFormat="1" applyFont="1" applyFill="1" applyBorder="1" applyAlignment="1" applyProtection="1">
      <alignment horizontal="right" indent="1"/>
      <protection locked="0"/>
    </xf>
    <xf numFmtId="9" fontId="13" fillId="4" borderId="53" xfId="1" applyFont="1" applyFill="1" applyBorder="1" applyAlignment="1" applyProtection="1">
      <alignment horizontal="center"/>
      <protection locked="0"/>
    </xf>
    <xf numFmtId="9" fontId="13" fillId="4" borderId="53" xfId="0" applyNumberFormat="1" applyFont="1" applyFill="1" applyBorder="1" applyAlignment="1" applyProtection="1">
      <alignment horizontal="center"/>
      <protection locked="0"/>
    </xf>
    <xf numFmtId="1" fontId="13" fillId="4" borderId="53" xfId="1" applyNumberFormat="1" applyFont="1" applyFill="1" applyBorder="1" applyAlignment="1" applyProtection="1">
      <alignment horizontal="center"/>
      <protection locked="0"/>
    </xf>
    <xf numFmtId="170" fontId="13" fillId="4" borderId="53" xfId="1" applyNumberFormat="1" applyFont="1" applyFill="1" applyBorder="1" applyAlignment="1" applyProtection="1">
      <alignment horizontal="center"/>
      <protection locked="0"/>
    </xf>
    <xf numFmtId="1" fontId="13" fillId="4" borderId="53" xfId="0" applyNumberFormat="1" applyFont="1" applyFill="1" applyBorder="1" applyAlignment="1" applyProtection="1">
      <alignment horizontal="center"/>
      <protection locked="0"/>
    </xf>
    <xf numFmtId="2" fontId="13" fillId="4" borderId="53" xfId="1" applyNumberFormat="1" applyFont="1" applyFill="1" applyBorder="1" applyAlignment="1" applyProtection="1">
      <alignment horizontal="center"/>
      <protection locked="0"/>
    </xf>
    <xf numFmtId="10" fontId="13" fillId="4" borderId="53" xfId="0" applyNumberFormat="1" applyFont="1" applyFill="1" applyBorder="1" applyAlignment="1" applyProtection="1">
      <alignment horizontal="center"/>
      <protection locked="0"/>
    </xf>
    <xf numFmtId="171" fontId="13" fillId="4" borderId="53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53" xfId="0" applyNumberFormat="1" applyFont="1" applyFill="1" applyBorder="1" applyAlignment="1" applyProtection="1">
      <alignment horizontal="left" indent="1"/>
      <protection locked="0"/>
    </xf>
    <xf numFmtId="172" fontId="13" fillId="0" borderId="53" xfId="0" applyNumberFormat="1" applyFont="1" applyFill="1" applyBorder="1" applyAlignment="1" applyProtection="1">
      <alignment horizontal="right" indent="1"/>
      <protection locked="0"/>
    </xf>
    <xf numFmtId="0" fontId="13" fillId="4" borderId="53" xfId="0" applyFont="1" applyFill="1" applyBorder="1" applyAlignment="1" applyProtection="1">
      <alignment horizontal="left"/>
      <protection locked="0"/>
    </xf>
    <xf numFmtId="0" fontId="13" fillId="4" borderId="53" xfId="0" applyFont="1" applyFill="1" applyBorder="1" applyProtection="1">
      <protection locked="0"/>
    </xf>
    <xf numFmtId="2" fontId="13" fillId="4" borderId="53" xfId="0" applyNumberFormat="1" applyFont="1" applyFill="1" applyBorder="1" applyProtection="1">
      <protection locked="0"/>
    </xf>
    <xf numFmtId="0" fontId="20" fillId="12" borderId="64" xfId="0" applyFont="1" applyFill="1" applyBorder="1" applyAlignment="1" applyProtection="1">
      <alignment horizontal="center" vertical="center" wrapText="1"/>
    </xf>
    <xf numFmtId="0" fontId="20" fillId="12" borderId="66" xfId="0" applyFont="1" applyFill="1" applyBorder="1" applyAlignment="1" applyProtection="1">
      <alignment horizontal="center" vertical="center" wrapText="1"/>
    </xf>
    <xf numFmtId="0" fontId="24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5" fillId="4" borderId="0" xfId="0" applyFont="1" applyFill="1" applyAlignment="1" applyProtection="1">
      <alignment horizontal="left" vertical="center" indent="1"/>
    </xf>
    <xf numFmtId="0" fontId="19" fillId="4" borderId="0" xfId="0" applyFont="1" applyFill="1" applyAlignment="1" applyProtection="1">
      <alignment horizontal="left"/>
    </xf>
    <xf numFmtId="0" fontId="2" fillId="4" borderId="24" xfId="0" applyFont="1" applyFill="1" applyBorder="1" applyAlignment="1" applyProtection="1">
      <alignment horizontal="center" vertical="center" wrapText="1"/>
    </xf>
    <xf numFmtId="0" fontId="2" fillId="4" borderId="32" xfId="0" applyFont="1" applyFill="1" applyBorder="1" applyAlignment="1" applyProtection="1">
      <alignment horizontal="center" vertical="center" wrapText="1"/>
    </xf>
    <xf numFmtId="0" fontId="2" fillId="4" borderId="34" xfId="1" applyNumberFormat="1" applyFont="1" applyFill="1" applyBorder="1" applyAlignment="1" applyProtection="1">
      <alignment horizontal="center" vertical="center"/>
    </xf>
    <xf numFmtId="0" fontId="2" fillId="4" borderId="35" xfId="1" applyNumberFormat="1" applyFont="1" applyFill="1" applyBorder="1" applyAlignment="1" applyProtection="1">
      <alignment horizontal="center" vertical="center"/>
    </xf>
    <xf numFmtId="164" fontId="2" fillId="0" borderId="58" xfId="3" applyNumberFormat="1" applyFont="1" applyFill="1" applyBorder="1" applyAlignment="1" applyProtection="1">
      <alignment horizontal="right" indent="1"/>
    </xf>
    <xf numFmtId="9" fontId="2" fillId="7" borderId="50" xfId="1" applyFont="1" applyFill="1" applyBorder="1" applyAlignment="1" applyProtection="1">
      <alignment horizontal="center"/>
    </xf>
    <xf numFmtId="166" fontId="23" fillId="8" borderId="50" xfId="1" applyNumberFormat="1" applyFont="1" applyFill="1" applyBorder="1" applyAlignment="1" applyProtection="1">
      <alignment horizontal="center"/>
    </xf>
    <xf numFmtId="171" fontId="2" fillId="7" borderId="50" xfId="1" applyNumberFormat="1" applyFont="1" applyFill="1" applyBorder="1" applyAlignment="1" applyProtection="1">
      <alignment horizontal="center"/>
    </xf>
    <xf numFmtId="1" fontId="2" fillId="7" borderId="50" xfId="1" applyNumberFormat="1" applyFont="1" applyFill="1" applyBorder="1" applyAlignment="1" applyProtection="1">
      <alignment horizontal="center"/>
    </xf>
    <xf numFmtId="166" fontId="23" fillId="8" borderId="51" xfId="1" applyNumberFormat="1" applyFont="1" applyFill="1" applyBorder="1" applyAlignment="1" applyProtection="1">
      <alignment horizontal="center"/>
    </xf>
    <xf numFmtId="166" fontId="23" fillId="8" borderId="51" xfId="3" applyNumberFormat="1" applyFont="1" applyFill="1" applyBorder="1" applyAlignment="1" applyProtection="1">
      <alignment horizontal="center"/>
    </xf>
    <xf numFmtId="166" fontId="23" fillId="8" borderId="58" xfId="3" applyNumberFormat="1" applyFont="1" applyFill="1" applyBorder="1" applyAlignment="1" applyProtection="1">
      <alignment horizontal="center"/>
    </xf>
    <xf numFmtId="0" fontId="2" fillId="7" borderId="53" xfId="0" applyFont="1" applyFill="1" applyBorder="1" applyAlignment="1" applyProtection="1">
      <alignment horizontal="center"/>
    </xf>
    <xf numFmtId="170" fontId="2" fillId="7" borderId="53" xfId="1" applyNumberFormat="1" applyFont="1" applyFill="1" applyBorder="1" applyAlignment="1" applyProtection="1">
      <alignment horizontal="center"/>
    </xf>
    <xf numFmtId="167" fontId="2" fillId="7" borderId="54" xfId="1" applyNumberFormat="1" applyFont="1" applyFill="1" applyBorder="1" applyAlignment="1" applyProtection="1"/>
    <xf numFmtId="0" fontId="2" fillId="4" borderId="0" xfId="0" applyFont="1" applyFill="1" applyProtection="1"/>
    <xf numFmtId="168" fontId="2" fillId="7" borderId="49" xfId="1" applyNumberFormat="1" applyFont="1" applyFill="1" applyBorder="1" applyAlignment="1" applyProtection="1">
      <alignment horizontal="left" indent="1"/>
    </xf>
    <xf numFmtId="168" fontId="2" fillId="7" borderId="50" xfId="3" applyNumberFormat="1" applyFont="1" applyFill="1" applyBorder="1" applyAlignment="1" applyProtection="1">
      <alignment horizontal="center"/>
    </xf>
    <xf numFmtId="167" fontId="2" fillId="7" borderId="51" xfId="1" applyNumberFormat="1" applyFont="1" applyFill="1" applyBorder="1" applyAlignment="1" applyProtection="1"/>
    <xf numFmtId="167" fontId="2" fillId="7" borderId="58" xfId="1" applyNumberFormat="1" applyFont="1" applyFill="1" applyBorder="1" applyAlignment="1" applyProtection="1"/>
    <xf numFmtId="166" fontId="19" fillId="7" borderId="58" xfId="3" applyNumberFormat="1" applyFont="1" applyFill="1" applyBorder="1" applyAlignment="1" applyProtection="1">
      <alignment horizontal="right" indent="1"/>
    </xf>
    <xf numFmtId="0" fontId="19" fillId="4" borderId="58" xfId="0" applyFont="1" applyFill="1" applyBorder="1" applyAlignment="1" applyProtection="1">
      <alignment horizontal="left" indent="1"/>
    </xf>
    <xf numFmtId="164" fontId="2" fillId="0" borderId="59" xfId="3" applyNumberFormat="1" applyFont="1" applyFill="1" applyBorder="1" applyAlignment="1" applyProtection="1">
      <alignment horizontal="right" indent="1"/>
    </xf>
    <xf numFmtId="9" fontId="2" fillId="7" borderId="53" xfId="1" applyFont="1" applyFill="1" applyBorder="1" applyAlignment="1" applyProtection="1">
      <alignment horizontal="center"/>
    </xf>
    <xf numFmtId="166" fontId="23" fillId="8" borderId="53" xfId="1" applyNumberFormat="1" applyFont="1" applyFill="1" applyBorder="1" applyAlignment="1" applyProtection="1">
      <alignment horizontal="center"/>
    </xf>
    <xf numFmtId="171" fontId="2" fillId="7" borderId="53" xfId="1" applyNumberFormat="1" applyFont="1" applyFill="1" applyBorder="1" applyAlignment="1" applyProtection="1">
      <alignment horizontal="center"/>
    </xf>
    <xf numFmtId="1" fontId="2" fillId="7" borderId="53" xfId="1" applyNumberFormat="1" applyFont="1" applyFill="1" applyBorder="1" applyAlignment="1" applyProtection="1">
      <alignment horizontal="center"/>
    </xf>
    <xf numFmtId="166" fontId="23" fillId="8" borderId="54" xfId="1" applyNumberFormat="1" applyFont="1" applyFill="1" applyBorder="1" applyAlignment="1" applyProtection="1">
      <alignment horizontal="center"/>
    </xf>
    <xf numFmtId="166" fontId="23" fillId="8" borderId="54" xfId="3" applyNumberFormat="1" applyFont="1" applyFill="1" applyBorder="1" applyAlignment="1" applyProtection="1">
      <alignment horizontal="center"/>
    </xf>
    <xf numFmtId="166" fontId="23" fillId="8" borderId="59" xfId="3" applyNumberFormat="1" applyFont="1" applyFill="1" applyBorder="1" applyAlignment="1" applyProtection="1">
      <alignment horizontal="center"/>
    </xf>
    <xf numFmtId="168" fontId="2" fillId="7" borderId="52" xfId="1" applyNumberFormat="1" applyFont="1" applyFill="1" applyBorder="1" applyAlignment="1" applyProtection="1">
      <alignment horizontal="left" indent="1"/>
    </xf>
    <xf numFmtId="168" fontId="2" fillId="7" borderId="53" xfId="3" applyNumberFormat="1" applyFont="1" applyFill="1" applyBorder="1" applyAlignment="1" applyProtection="1">
      <alignment horizontal="center"/>
    </xf>
    <xf numFmtId="167" fontId="2" fillId="7" borderId="59" xfId="1" applyNumberFormat="1" applyFont="1" applyFill="1" applyBorder="1" applyAlignment="1" applyProtection="1"/>
    <xf numFmtId="166" fontId="19" fillId="7" borderId="59" xfId="3" applyNumberFormat="1" applyFont="1" applyFill="1" applyBorder="1" applyAlignment="1" applyProtection="1">
      <alignment horizontal="right" indent="1"/>
    </xf>
    <xf numFmtId="0" fontId="19" fillId="4" borderId="59" xfId="0" applyFont="1" applyFill="1" applyBorder="1" applyAlignment="1" applyProtection="1">
      <alignment horizontal="left" indent="1"/>
    </xf>
    <xf numFmtId="0" fontId="19" fillId="0" borderId="59" xfId="0" applyFont="1" applyFill="1" applyBorder="1" applyAlignment="1" applyProtection="1">
      <alignment horizontal="left" indent="1"/>
    </xf>
    <xf numFmtId="164" fontId="2" fillId="0" borderId="60" xfId="3" applyNumberFormat="1" applyFont="1" applyFill="1" applyBorder="1" applyAlignment="1" applyProtection="1">
      <alignment horizontal="right" indent="1"/>
    </xf>
    <xf numFmtId="9" fontId="2" fillId="7" borderId="56" xfId="1" applyFont="1" applyFill="1" applyBorder="1" applyAlignment="1" applyProtection="1">
      <alignment horizontal="center"/>
    </xf>
    <xf numFmtId="166" fontId="23" fillId="8" borderId="56" xfId="1" applyNumberFormat="1" applyFont="1" applyFill="1" applyBorder="1" applyAlignment="1" applyProtection="1">
      <alignment horizontal="center"/>
    </xf>
    <xf numFmtId="171" fontId="2" fillId="7" borderId="56" xfId="1" applyNumberFormat="1" applyFont="1" applyFill="1" applyBorder="1" applyAlignment="1" applyProtection="1">
      <alignment horizontal="center"/>
    </xf>
    <xf numFmtId="1" fontId="2" fillId="7" borderId="56" xfId="1" applyNumberFormat="1" applyFont="1" applyFill="1" applyBorder="1" applyAlignment="1" applyProtection="1">
      <alignment horizontal="center"/>
    </xf>
    <xf numFmtId="166" fontId="23" fillId="8" borderId="57" xfId="1" applyNumberFormat="1" applyFont="1" applyFill="1" applyBorder="1" applyAlignment="1" applyProtection="1">
      <alignment horizontal="center"/>
    </xf>
    <xf numFmtId="166" fontId="23" fillId="8" borderId="57" xfId="3" applyNumberFormat="1" applyFont="1" applyFill="1" applyBorder="1" applyAlignment="1" applyProtection="1">
      <alignment horizontal="center"/>
    </xf>
    <xf numFmtId="166" fontId="23" fillId="8" borderId="60" xfId="3" applyNumberFormat="1" applyFont="1" applyFill="1" applyBorder="1" applyAlignment="1" applyProtection="1">
      <alignment horizontal="center"/>
    </xf>
    <xf numFmtId="0" fontId="2" fillId="7" borderId="56" xfId="0" applyFont="1" applyFill="1" applyBorder="1" applyAlignment="1" applyProtection="1">
      <alignment horizontal="center"/>
    </xf>
    <xf numFmtId="9" fontId="2" fillId="7" borderId="56" xfId="1" applyNumberFormat="1" applyFont="1" applyFill="1" applyBorder="1" applyAlignment="1" applyProtection="1">
      <alignment horizontal="center"/>
    </xf>
    <xf numFmtId="167" fontId="2" fillId="7" borderId="57" xfId="1" applyNumberFormat="1" applyFont="1" applyFill="1" applyBorder="1" applyAlignment="1" applyProtection="1"/>
    <xf numFmtId="168" fontId="2" fillId="7" borderId="55" xfId="1" applyNumberFormat="1" applyFont="1" applyFill="1" applyBorder="1" applyAlignment="1" applyProtection="1">
      <alignment horizontal="left" indent="1"/>
    </xf>
    <xf numFmtId="168" fontId="2" fillId="7" borderId="56" xfId="3" applyNumberFormat="1" applyFont="1" applyFill="1" applyBorder="1" applyAlignment="1" applyProtection="1">
      <alignment horizontal="center"/>
    </xf>
    <xf numFmtId="167" fontId="2" fillId="7" borderId="60" xfId="1" applyNumberFormat="1" applyFont="1" applyFill="1" applyBorder="1" applyAlignment="1" applyProtection="1"/>
    <xf numFmtId="166" fontId="19" fillId="7" borderId="60" xfId="3" applyNumberFormat="1" applyFont="1" applyFill="1" applyBorder="1" applyAlignment="1" applyProtection="1">
      <alignment horizontal="right" indent="1"/>
    </xf>
    <xf numFmtId="0" fontId="19" fillId="4" borderId="60" xfId="0" applyFont="1" applyFill="1" applyBorder="1" applyAlignment="1" applyProtection="1">
      <alignment horizontal="left" indent="1"/>
    </xf>
    <xf numFmtId="0" fontId="26" fillId="6" borderId="66" xfId="0" applyFont="1" applyFill="1" applyBorder="1" applyAlignment="1" applyProtection="1">
      <alignment horizontal="center" vertical="center"/>
    </xf>
    <xf numFmtId="0" fontId="24" fillId="6" borderId="53" xfId="0" applyFont="1" applyFill="1" applyBorder="1" applyProtection="1"/>
    <xf numFmtId="0" fontId="20" fillId="14" borderId="53" xfId="0" applyFont="1" applyFill="1" applyBorder="1" applyProtection="1"/>
    <xf numFmtId="0" fontId="26" fillId="6" borderId="53" xfId="0" applyFont="1" applyFill="1" applyBorder="1" applyAlignment="1" applyProtection="1">
      <alignment vertical="center"/>
    </xf>
    <xf numFmtId="0" fontId="26" fillId="6" borderId="72" xfId="0" applyFont="1" applyFill="1" applyBorder="1" applyAlignment="1" applyProtection="1">
      <alignment horizontal="center" vertical="center"/>
    </xf>
    <xf numFmtId="9" fontId="24" fillId="6" borderId="53" xfId="1" applyFont="1" applyFill="1" applyBorder="1" applyProtection="1"/>
    <xf numFmtId="0" fontId="26" fillId="6" borderId="0" xfId="0" applyFont="1" applyFill="1" applyBorder="1" applyAlignment="1" applyProtection="1">
      <alignment horizontal="center" vertical="center"/>
    </xf>
    <xf numFmtId="0" fontId="26" fillId="6" borderId="61" xfId="0" applyFont="1" applyFill="1" applyBorder="1" applyAlignment="1" applyProtection="1">
      <alignment horizontal="center" vertical="center"/>
    </xf>
    <xf numFmtId="167" fontId="24" fillId="6" borderId="53" xfId="0" applyNumberFormat="1" applyFont="1" applyFill="1" applyBorder="1" applyProtection="1"/>
    <xf numFmtId="0" fontId="24" fillId="6" borderId="0" xfId="0" applyFont="1" applyFill="1" applyAlignment="1" applyProtection="1">
      <alignment vertical="center"/>
    </xf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2" fillId="4" borderId="72" xfId="0" applyFont="1" applyFill="1" applyBorder="1" applyAlignment="1" applyProtection="1">
      <alignment horizontal="left"/>
    </xf>
    <xf numFmtId="0" fontId="17" fillId="4" borderId="53" xfId="0" applyFont="1" applyFill="1" applyBorder="1" applyAlignment="1" applyProtection="1">
      <alignment horizontal="center" vertical="center"/>
    </xf>
    <xf numFmtId="0" fontId="10" fillId="10" borderId="53" xfId="0" applyFont="1" applyFill="1" applyBorder="1" applyAlignment="1" applyProtection="1">
      <alignment horizontal="center"/>
    </xf>
    <xf numFmtId="0" fontId="18" fillId="8" borderId="53" xfId="0" applyFont="1" applyFill="1" applyBorder="1" applyAlignment="1" applyProtection="1">
      <alignment horizontal="center"/>
    </xf>
    <xf numFmtId="0" fontId="17" fillId="4" borderId="53" xfId="0" applyFont="1" applyFill="1" applyBorder="1" applyAlignment="1" applyProtection="1">
      <alignment horizontal="center" vertical="center" wrapText="1"/>
    </xf>
    <xf numFmtId="0" fontId="10" fillId="8" borderId="53" xfId="0" applyFont="1" applyFill="1" applyBorder="1" applyAlignment="1" applyProtection="1">
      <alignment horizontal="left" indent="1"/>
    </xf>
    <xf numFmtId="0" fontId="13" fillId="4" borderId="53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0" fillId="8" borderId="53" xfId="0" applyFont="1" applyFill="1" applyBorder="1" applyAlignment="1" applyProtection="1">
      <alignment horizontal="center"/>
    </xf>
    <xf numFmtId="0" fontId="17" fillId="13" borderId="53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indent="1"/>
    </xf>
    <xf numFmtId="0" fontId="10" fillId="10" borderId="0" xfId="0" applyFont="1" applyFill="1" applyBorder="1" applyAlignment="1" applyProtection="1">
      <alignment horizontal="center"/>
    </xf>
    <xf numFmtId="9" fontId="10" fillId="8" borderId="0" xfId="0" applyNumberFormat="1" applyFont="1" applyFill="1" applyBorder="1" applyAlignment="1" applyProtection="1">
      <alignment horizontal="center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0" fontId="13" fillId="4" borderId="53" xfId="0" applyFont="1" applyFill="1" applyBorder="1" applyAlignment="1" applyProtection="1">
      <alignment horizontal="left"/>
    </xf>
    <xf numFmtId="9" fontId="10" fillId="19" borderId="53" xfId="0" applyNumberFormat="1" applyFont="1" applyFill="1" applyBorder="1" applyAlignment="1" applyProtection="1">
      <alignment horizontal="center"/>
    </xf>
    <xf numFmtId="173" fontId="13" fillId="0" borderId="53" xfId="0" applyNumberFormat="1" applyFont="1" applyFill="1" applyBorder="1" applyAlignment="1" applyProtection="1">
      <alignment horizontal="right" indent="1"/>
    </xf>
    <xf numFmtId="9" fontId="10" fillId="17" borderId="0" xfId="0" applyNumberFormat="1" applyFont="1" applyFill="1" applyBorder="1" applyAlignment="1" applyProtection="1">
      <alignment horizontal="center"/>
    </xf>
    <xf numFmtId="9" fontId="10" fillId="19" borderId="0" xfId="0" applyNumberFormat="1" applyFont="1" applyFill="1" applyBorder="1" applyAlignment="1" applyProtection="1">
      <alignment horizontal="center"/>
    </xf>
    <xf numFmtId="0" fontId="18" fillId="9" borderId="53" xfId="0" applyFont="1" applyFill="1" applyBorder="1" applyAlignment="1" applyProtection="1">
      <alignment horizontal="center"/>
    </xf>
    <xf numFmtId="2" fontId="13" fillId="4" borderId="53" xfId="0" applyNumberFormat="1" applyFont="1" applyFill="1" applyBorder="1" applyAlignment="1" applyProtection="1">
      <alignment horizontal="left"/>
    </xf>
    <xf numFmtId="170" fontId="13" fillId="4" borderId="53" xfId="0" applyNumberFormat="1" applyFont="1" applyFill="1" applyBorder="1" applyProtection="1"/>
    <xf numFmtId="171" fontId="2" fillId="4" borderId="50" xfId="1" applyNumberFormat="1" applyFont="1" applyFill="1" applyBorder="1" applyAlignment="1" applyProtection="1">
      <alignment horizontal="center"/>
      <protection locked="0"/>
    </xf>
    <xf numFmtId="171" fontId="2" fillId="4" borderId="53" xfId="1" applyNumberFormat="1" applyFont="1" applyFill="1" applyBorder="1" applyAlignment="1" applyProtection="1">
      <alignment horizontal="center"/>
      <protection locked="0"/>
    </xf>
    <xf numFmtId="171" fontId="2" fillId="4" borderId="56" xfId="1" applyNumberFormat="1" applyFont="1" applyFill="1" applyBorder="1" applyAlignment="1" applyProtection="1">
      <alignment horizontal="center"/>
      <protection locked="0"/>
    </xf>
    <xf numFmtId="1" fontId="2" fillId="4" borderId="50" xfId="1" applyNumberFormat="1" applyFont="1" applyFill="1" applyBorder="1" applyAlignment="1" applyProtection="1">
      <alignment horizontal="center"/>
      <protection locked="0"/>
    </xf>
    <xf numFmtId="1" fontId="2" fillId="4" borderId="53" xfId="1" applyNumberFormat="1" applyFont="1" applyFill="1" applyBorder="1" applyAlignment="1" applyProtection="1">
      <alignment horizontal="center"/>
      <protection locked="0"/>
    </xf>
    <xf numFmtId="1" fontId="2" fillId="4" borderId="56" xfId="1" applyNumberFormat="1" applyFont="1" applyFill="1" applyBorder="1" applyAlignment="1" applyProtection="1">
      <alignment horizontal="center"/>
      <protection locked="0"/>
    </xf>
    <xf numFmtId="9" fontId="2" fillId="4" borderId="50" xfId="1" applyFont="1" applyFill="1" applyBorder="1" applyAlignment="1" applyProtection="1">
      <alignment horizontal="center"/>
      <protection locked="0"/>
    </xf>
    <xf numFmtId="9" fontId="2" fillId="4" borderId="53" xfId="1" applyFont="1" applyFill="1" applyBorder="1" applyAlignment="1" applyProtection="1">
      <alignment horizontal="center"/>
      <protection locked="0"/>
    </xf>
    <xf numFmtId="9" fontId="2" fillId="4" borderId="56" xfId="1" applyFont="1" applyFill="1" applyBorder="1" applyAlignment="1" applyProtection="1">
      <alignment horizontal="center"/>
      <protection locked="0"/>
    </xf>
    <xf numFmtId="0" fontId="2" fillId="4" borderId="52" xfId="0" applyFont="1" applyFill="1" applyBorder="1" applyAlignment="1" applyProtection="1">
      <alignment horizontal="center"/>
      <protection locked="0"/>
    </xf>
    <xf numFmtId="0" fontId="2" fillId="4" borderId="55" xfId="0" applyFont="1" applyFill="1" applyBorder="1" applyAlignment="1" applyProtection="1">
      <alignment horizontal="center"/>
      <protection locked="0"/>
    </xf>
    <xf numFmtId="0" fontId="2" fillId="11" borderId="53" xfId="0" applyFont="1" applyFill="1" applyBorder="1" applyAlignment="1" applyProtection="1">
      <alignment horizontal="center"/>
      <protection locked="0"/>
    </xf>
    <xf numFmtId="0" fontId="2" fillId="4" borderId="52" xfId="0" applyFont="1" applyFill="1" applyBorder="1" applyAlignment="1" applyProtection="1">
      <alignment horizontal="center"/>
      <protection locked="0"/>
    </xf>
    <xf numFmtId="0" fontId="17" fillId="13" borderId="65" xfId="0" applyFont="1" applyFill="1" applyBorder="1" applyAlignment="1" applyProtection="1">
      <alignment horizontal="center" vertical="center" wrapText="1"/>
      <protection locked="0"/>
    </xf>
    <xf numFmtId="0" fontId="17" fillId="13" borderId="64" xfId="0" applyFont="1" applyFill="1" applyBorder="1" applyAlignment="1" applyProtection="1">
      <alignment horizontal="center" vertical="center" wrapText="1"/>
      <protection locked="0"/>
    </xf>
    <xf numFmtId="0" fontId="27" fillId="6" borderId="0" xfId="0" applyFont="1" applyFill="1" applyAlignment="1" applyProtection="1">
      <alignment horizontal="center" vertical="center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3" fillId="20" borderId="0" xfId="0" applyFont="1" applyFill="1" applyProtection="1"/>
    <xf numFmtId="0" fontId="26" fillId="6" borderId="0" xfId="0" applyFont="1" applyFill="1" applyAlignment="1" applyProtection="1">
      <alignment horizontal="center" vertical="center"/>
      <protection locked="0"/>
    </xf>
    <xf numFmtId="169" fontId="10" fillId="8" borderId="53" xfId="0" applyNumberFormat="1" applyFont="1" applyFill="1" applyBorder="1" applyAlignment="1" applyProtection="1">
      <alignment horizontal="right" indent="1"/>
      <protection locked="0"/>
    </xf>
    <xf numFmtId="14" fontId="5" fillId="2" borderId="78" xfId="0" applyNumberFormat="1" applyFont="1" applyFill="1" applyBorder="1" applyAlignment="1">
      <alignment horizontal="center" vertical="center"/>
    </xf>
    <xf numFmtId="0" fontId="5" fillId="2" borderId="79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vertical="center"/>
    </xf>
    <xf numFmtId="0" fontId="5" fillId="2" borderId="79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 applyProtection="1">
      <alignment horizontal="center"/>
      <protection locked="0"/>
    </xf>
    <xf numFmtId="0" fontId="2" fillId="4" borderId="54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2" fillId="2" borderId="77" xfId="0" applyFont="1" applyFill="1" applyBorder="1" applyAlignment="1">
      <alignment horizontal="left" vertical="center"/>
    </xf>
    <xf numFmtId="0" fontId="2" fillId="2" borderId="76" xfId="0" applyFont="1" applyFill="1" applyBorder="1" applyAlignment="1">
      <alignment horizontal="left" vertical="center"/>
    </xf>
    <xf numFmtId="0" fontId="2" fillId="0" borderId="74" xfId="0" applyFont="1" applyBorder="1" applyAlignment="1">
      <alignment horizontal="left" vertical="center"/>
    </xf>
    <xf numFmtId="0" fontId="2" fillId="0" borderId="76" xfId="0" applyFont="1" applyBorder="1" applyAlignment="1">
      <alignment horizontal="left" vertical="center"/>
    </xf>
    <xf numFmtId="0" fontId="5" fillId="0" borderId="74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3" fillId="12" borderId="61" xfId="0" applyFont="1" applyFill="1" applyBorder="1" applyAlignment="1" applyProtection="1">
      <alignment horizontal="center" vertical="center" wrapText="1"/>
    </xf>
    <xf numFmtId="0" fontId="23" fillId="12" borderId="62" xfId="0" applyFont="1" applyFill="1" applyBorder="1" applyAlignment="1" applyProtection="1">
      <alignment horizontal="center" vertical="center" wrapText="1"/>
    </xf>
    <xf numFmtId="0" fontId="23" fillId="12" borderId="63" xfId="0" applyFont="1" applyFill="1" applyBorder="1" applyAlignment="1" applyProtection="1">
      <alignment horizontal="center" vertical="center" wrapText="1"/>
    </xf>
    <xf numFmtId="0" fontId="20" fillId="8" borderId="29" xfId="0" applyFont="1" applyFill="1" applyBorder="1" applyAlignment="1" applyProtection="1">
      <alignment horizontal="left" vertical="center" indent="1"/>
    </xf>
    <xf numFmtId="0" fontId="20" fillId="8" borderId="28" xfId="0" applyFont="1" applyFill="1" applyBorder="1" applyAlignment="1" applyProtection="1">
      <alignment horizontal="left" vertical="center" indent="1"/>
    </xf>
    <xf numFmtId="0" fontId="20" fillId="8" borderId="33" xfId="0" applyFont="1" applyFill="1" applyBorder="1" applyAlignment="1" applyProtection="1">
      <alignment horizontal="left" vertical="center" indent="1"/>
    </xf>
    <xf numFmtId="0" fontId="20" fillId="15" borderId="15" xfId="2" applyFont="1" applyFill="1" applyBorder="1" applyAlignment="1" applyProtection="1">
      <alignment horizontal="center" vertical="center" wrapText="1"/>
    </xf>
    <xf numFmtId="0" fontId="20" fillId="15" borderId="16" xfId="2" applyFont="1" applyFill="1" applyBorder="1" applyAlignment="1" applyProtection="1">
      <alignment horizontal="center" vertical="center" wrapText="1"/>
    </xf>
    <xf numFmtId="0" fontId="20" fillId="15" borderId="17" xfId="2" applyFont="1" applyFill="1" applyBorder="1" applyAlignment="1" applyProtection="1">
      <alignment horizontal="center" vertical="center" wrapText="1"/>
    </xf>
    <xf numFmtId="0" fontId="20" fillId="12" borderId="18" xfId="2" applyFont="1" applyFill="1" applyBorder="1" applyAlignment="1" applyProtection="1">
      <alignment horizontal="left" vertical="center" wrapText="1" indent="1"/>
    </xf>
    <xf numFmtId="0" fontId="20" fillId="12" borderId="19" xfId="2" applyFont="1" applyFill="1" applyBorder="1" applyAlignment="1" applyProtection="1">
      <alignment horizontal="left" vertical="center" wrapText="1" indent="1"/>
    </xf>
    <xf numFmtId="0" fontId="2" fillId="4" borderId="20" xfId="0" applyFont="1" applyFill="1" applyBorder="1" applyAlignment="1" applyProtection="1">
      <alignment horizontal="left" vertical="center" wrapText="1" indent="1"/>
    </xf>
    <xf numFmtId="0" fontId="2" fillId="4" borderId="21" xfId="0" applyFont="1" applyFill="1" applyBorder="1" applyAlignment="1" applyProtection="1">
      <alignment horizontal="left" vertical="center" wrapText="1" indent="1"/>
    </xf>
    <xf numFmtId="0" fontId="20" fillId="12" borderId="64" xfId="0" applyFont="1" applyFill="1" applyBorder="1" applyAlignment="1" applyProtection="1">
      <alignment horizontal="left" vertical="center" wrapText="1" indent="1"/>
    </xf>
    <xf numFmtId="0" fontId="20" fillId="12" borderId="53" xfId="0" applyFont="1" applyFill="1" applyBorder="1" applyAlignment="1" applyProtection="1">
      <alignment horizontal="left" vertical="center" wrapText="1" indent="1"/>
    </xf>
    <xf numFmtId="0" fontId="2" fillId="4" borderId="53" xfId="0" applyFont="1" applyFill="1" applyBorder="1" applyAlignment="1" applyProtection="1">
      <alignment horizontal="left" vertical="center" wrapText="1" indent="1"/>
    </xf>
    <xf numFmtId="0" fontId="2" fillId="4" borderId="65" xfId="0" applyFont="1" applyFill="1" applyBorder="1" applyAlignment="1" applyProtection="1">
      <alignment horizontal="left" vertical="center" wrapText="1" indent="1"/>
    </xf>
    <xf numFmtId="0" fontId="20" fillId="8" borderId="30" xfId="0" applyFont="1" applyFill="1" applyBorder="1" applyAlignment="1" applyProtection="1">
      <alignment horizontal="center" vertical="center"/>
    </xf>
    <xf numFmtId="0" fontId="20" fillId="8" borderId="24" xfId="0" applyFont="1" applyFill="1" applyBorder="1" applyAlignment="1" applyProtection="1">
      <alignment horizontal="center" vertical="center"/>
    </xf>
    <xf numFmtId="0" fontId="20" fillId="8" borderId="34" xfId="0" applyFont="1" applyFill="1" applyBorder="1" applyAlignment="1" applyProtection="1">
      <alignment horizontal="center" vertical="center"/>
    </xf>
    <xf numFmtId="0" fontId="20" fillId="8" borderId="30" xfId="0" applyFont="1" applyFill="1" applyBorder="1" applyAlignment="1" applyProtection="1">
      <alignment horizontal="center" vertical="center" wrapText="1"/>
    </xf>
    <xf numFmtId="0" fontId="20" fillId="8" borderId="24" xfId="0" applyFont="1" applyFill="1" applyBorder="1" applyAlignment="1" applyProtection="1">
      <alignment horizontal="center" vertical="center" wrapText="1"/>
    </xf>
    <xf numFmtId="0" fontId="20" fillId="8" borderId="34" xfId="0" applyFont="1" applyFill="1" applyBorder="1" applyAlignment="1" applyProtection="1">
      <alignment horizontal="center" vertical="center" wrapText="1"/>
    </xf>
    <xf numFmtId="0" fontId="20" fillId="8" borderId="31" xfId="0" applyFont="1" applyFill="1" applyBorder="1" applyAlignment="1" applyProtection="1">
      <alignment horizontal="center" vertical="center"/>
    </xf>
    <xf numFmtId="0" fontId="20" fillId="8" borderId="32" xfId="0" applyFont="1" applyFill="1" applyBorder="1" applyAlignment="1" applyProtection="1">
      <alignment horizontal="center" vertical="center"/>
    </xf>
    <xf numFmtId="0" fontId="20" fillId="8" borderId="35" xfId="0" applyFont="1" applyFill="1" applyBorder="1" applyAlignment="1" applyProtection="1">
      <alignment horizontal="center" vertical="center"/>
    </xf>
    <xf numFmtId="0" fontId="2" fillId="4" borderId="39" xfId="0" applyFont="1" applyFill="1" applyBorder="1" applyAlignment="1" applyProtection="1">
      <alignment horizontal="center" vertical="center" wrapText="1"/>
    </xf>
    <xf numFmtId="0" fontId="2" fillId="4" borderId="38" xfId="0" applyFont="1" applyFill="1" applyBorder="1" applyAlignment="1" applyProtection="1">
      <alignment horizontal="center" vertical="center" wrapText="1"/>
    </xf>
    <xf numFmtId="0" fontId="2" fillId="4" borderId="28" xfId="0" applyFont="1" applyFill="1" applyBorder="1" applyAlignment="1" applyProtection="1">
      <alignment horizontal="center" vertical="center" wrapText="1"/>
    </xf>
    <xf numFmtId="0" fontId="2" fillId="4" borderId="33" xfId="0" applyFont="1" applyFill="1" applyBorder="1" applyAlignment="1" applyProtection="1">
      <alignment horizontal="center" vertical="center" wrapText="1"/>
    </xf>
    <xf numFmtId="0" fontId="2" fillId="4" borderId="24" xfId="0" applyFont="1" applyFill="1" applyBorder="1" applyAlignment="1" applyProtection="1">
      <alignment horizontal="center" vertical="center" wrapText="1"/>
    </xf>
    <xf numFmtId="0" fontId="2" fillId="4" borderId="34" xfId="0" applyFont="1" applyFill="1" applyBorder="1" applyAlignment="1" applyProtection="1">
      <alignment horizontal="center" vertical="center" wrapText="1"/>
    </xf>
    <xf numFmtId="0" fontId="20" fillId="12" borderId="66" xfId="0" applyFont="1" applyFill="1" applyBorder="1" applyAlignment="1" applyProtection="1">
      <alignment horizontal="left" vertical="center" wrapText="1" indent="1"/>
    </xf>
    <xf numFmtId="0" fontId="20" fillId="12" borderId="67" xfId="0" applyFont="1" applyFill="1" applyBorder="1" applyAlignment="1" applyProtection="1">
      <alignment horizontal="left" vertical="center" wrapText="1" indent="1"/>
    </xf>
    <xf numFmtId="0" fontId="2" fillId="0" borderId="67" xfId="0" applyFont="1" applyBorder="1" applyAlignment="1" applyProtection="1">
      <alignment horizontal="left" indent="1"/>
    </xf>
    <xf numFmtId="0" fontId="2" fillId="0" borderId="68" xfId="0" applyFont="1" applyBorder="1" applyAlignment="1" applyProtection="1">
      <alignment horizontal="left" indent="1"/>
    </xf>
    <xf numFmtId="0" fontId="20" fillId="9" borderId="36" xfId="0" applyFont="1" applyFill="1" applyBorder="1" applyAlignment="1" applyProtection="1">
      <alignment horizontal="center" vertical="center" wrapText="1"/>
    </xf>
    <xf numFmtId="0" fontId="20" fillId="9" borderId="22" xfId="0" applyFont="1" applyFill="1" applyBorder="1" applyAlignment="1" applyProtection="1">
      <alignment horizontal="center" vertical="center" wrapText="1"/>
    </xf>
    <xf numFmtId="0" fontId="20" fillId="9" borderId="23" xfId="0" applyFont="1" applyFill="1" applyBorder="1" applyAlignment="1" applyProtection="1">
      <alignment horizontal="center" vertical="center" wrapText="1"/>
    </xf>
    <xf numFmtId="0" fontId="2" fillId="4" borderId="53" xfId="0" applyFont="1" applyFill="1" applyBorder="1" applyAlignment="1" applyProtection="1">
      <alignment horizontal="center" vertical="center" wrapText="1"/>
    </xf>
    <xf numFmtId="0" fontId="2" fillId="4" borderId="65" xfId="0" applyFont="1" applyFill="1" applyBorder="1" applyAlignment="1" applyProtection="1">
      <alignment horizontal="center" vertical="center" wrapText="1"/>
    </xf>
    <xf numFmtId="0" fontId="2" fillId="4" borderId="67" xfId="0" applyFont="1" applyFill="1" applyBorder="1" applyAlignment="1" applyProtection="1">
      <alignment horizontal="center" vertical="center" wrapText="1"/>
    </xf>
    <xf numFmtId="0" fontId="2" fillId="4" borderId="68" xfId="0" applyFont="1" applyFill="1" applyBorder="1" applyAlignment="1" applyProtection="1">
      <alignment horizontal="center" vertical="center" wrapText="1"/>
    </xf>
    <xf numFmtId="0" fontId="23" fillId="8" borderId="0" xfId="0" applyFont="1" applyFill="1" applyBorder="1" applyAlignment="1" applyProtection="1">
      <alignment horizontal="center" vertical="center" wrapText="1"/>
    </xf>
    <xf numFmtId="0" fontId="23" fillId="8" borderId="47" xfId="0" applyFont="1" applyFill="1" applyBorder="1" applyAlignment="1" applyProtection="1">
      <alignment horizontal="center" vertical="center" wrapText="1"/>
    </xf>
    <xf numFmtId="0" fontId="23" fillId="8" borderId="25" xfId="0" applyFont="1" applyFill="1" applyBorder="1" applyAlignment="1" applyProtection="1">
      <alignment horizontal="center" vertical="center" wrapText="1"/>
    </xf>
    <xf numFmtId="0" fontId="23" fillId="8" borderId="48" xfId="0" applyFont="1" applyFill="1" applyBorder="1" applyAlignment="1" applyProtection="1">
      <alignment horizontal="center" vertical="center" wrapText="1"/>
    </xf>
    <xf numFmtId="0" fontId="20" fillId="9" borderId="51" xfId="0" applyFont="1" applyFill="1" applyBorder="1" applyAlignment="1" applyProtection="1">
      <alignment horizontal="center" vertical="center" wrapText="1"/>
    </xf>
    <xf numFmtId="0" fontId="20" fillId="9" borderId="54" xfId="0" applyFont="1" applyFill="1" applyBorder="1" applyAlignment="1" applyProtection="1">
      <alignment horizontal="center" vertical="center" wrapText="1"/>
    </xf>
    <xf numFmtId="0" fontId="20" fillId="8" borderId="40" xfId="0" applyFont="1" applyFill="1" applyBorder="1" applyAlignment="1" applyProtection="1">
      <alignment horizontal="center" vertical="center" wrapText="1"/>
    </xf>
    <xf numFmtId="0" fontId="20" fillId="8" borderId="43" xfId="0" applyFont="1" applyFill="1" applyBorder="1" applyAlignment="1" applyProtection="1">
      <alignment horizontal="center" vertical="center" wrapText="1"/>
    </xf>
    <xf numFmtId="0" fontId="20" fillId="8" borderId="44" xfId="0" applyFont="1" applyFill="1" applyBorder="1" applyAlignment="1" applyProtection="1">
      <alignment horizontal="center" vertical="center" wrapText="1"/>
    </xf>
    <xf numFmtId="0" fontId="20" fillId="8" borderId="41" xfId="0" applyFont="1" applyFill="1" applyBorder="1" applyAlignment="1" applyProtection="1">
      <alignment horizontal="center" vertical="center" wrapText="1"/>
    </xf>
    <xf numFmtId="0" fontId="20" fillId="8" borderId="26" xfId="0" applyFont="1" applyFill="1" applyBorder="1" applyAlignment="1" applyProtection="1">
      <alignment horizontal="center" vertical="center" wrapText="1"/>
    </xf>
    <xf numFmtId="0" fontId="20" fillId="8" borderId="45" xfId="0" applyFont="1" applyFill="1" applyBorder="1" applyAlignment="1" applyProtection="1">
      <alignment horizontal="center" vertical="center" wrapText="1"/>
    </xf>
    <xf numFmtId="0" fontId="20" fillId="8" borderId="29" xfId="0" applyFont="1" applyFill="1" applyBorder="1" applyAlignment="1" applyProtection="1">
      <alignment horizontal="center" vertical="center"/>
    </xf>
    <xf numFmtId="0" fontId="20" fillId="8" borderId="37" xfId="0" applyFont="1" applyFill="1" applyBorder="1" applyAlignment="1" applyProtection="1">
      <alignment horizontal="center" vertical="center"/>
    </xf>
    <xf numFmtId="0" fontId="20" fillId="8" borderId="31" xfId="0" applyFont="1" applyFill="1" applyBorder="1" applyAlignment="1" applyProtection="1">
      <alignment horizontal="center" vertical="center" wrapText="1"/>
    </xf>
    <xf numFmtId="0" fontId="20" fillId="8" borderId="32" xfId="0" applyFont="1" applyFill="1" applyBorder="1" applyAlignment="1" applyProtection="1">
      <alignment horizontal="center" vertical="center" wrapText="1"/>
    </xf>
    <xf numFmtId="0" fontId="20" fillId="8" borderId="35" xfId="0" applyFont="1" applyFill="1" applyBorder="1" applyAlignment="1" applyProtection="1">
      <alignment horizontal="center" vertical="center" wrapText="1"/>
    </xf>
    <xf numFmtId="0" fontId="20" fillId="9" borderId="49" xfId="0" applyFont="1" applyFill="1" applyBorder="1" applyAlignment="1" applyProtection="1">
      <alignment horizontal="center" vertical="center"/>
    </xf>
    <xf numFmtId="0" fontId="20" fillId="9" borderId="50" xfId="0" applyFont="1" applyFill="1" applyBorder="1" applyAlignment="1" applyProtection="1">
      <alignment horizontal="center" vertical="center"/>
    </xf>
    <xf numFmtId="0" fontId="20" fillId="9" borderId="50" xfId="0" applyFont="1" applyFill="1" applyBorder="1" applyAlignment="1" applyProtection="1">
      <alignment horizontal="center" vertical="center" wrapText="1"/>
    </xf>
    <xf numFmtId="0" fontId="20" fillId="9" borderId="53" xfId="0" applyFont="1" applyFill="1" applyBorder="1" applyAlignment="1" applyProtection="1">
      <alignment horizontal="center" vertical="center" wrapText="1"/>
    </xf>
    <xf numFmtId="0" fontId="2" fillId="4" borderId="52" xfId="0" applyFont="1" applyFill="1" applyBorder="1" applyAlignment="1" applyProtection="1">
      <alignment horizontal="center"/>
      <protection locked="0"/>
    </xf>
    <xf numFmtId="0" fontId="2" fillId="4" borderId="54" xfId="0" applyFont="1" applyFill="1" applyBorder="1" applyAlignment="1" applyProtection="1">
      <alignment horizontal="center"/>
      <protection locked="0"/>
    </xf>
    <xf numFmtId="0" fontId="26" fillId="6" borderId="65" xfId="0" applyFont="1" applyFill="1" applyBorder="1" applyAlignment="1" applyProtection="1">
      <alignment horizontal="center" vertical="center"/>
    </xf>
    <xf numFmtId="0" fontId="26" fillId="6" borderId="69" xfId="0" applyFont="1" applyFill="1" applyBorder="1" applyAlignment="1" applyProtection="1">
      <alignment horizontal="center" vertical="center"/>
    </xf>
    <xf numFmtId="0" fontId="26" fillId="6" borderId="64" xfId="0" applyFont="1" applyFill="1" applyBorder="1" applyAlignment="1" applyProtection="1">
      <alignment horizontal="center" vertical="center"/>
    </xf>
    <xf numFmtId="0" fontId="26" fillId="6" borderId="68" xfId="0" applyFont="1" applyFill="1" applyBorder="1" applyAlignment="1" applyProtection="1">
      <alignment horizontal="center" vertical="center"/>
    </xf>
    <xf numFmtId="0" fontId="26" fillId="6" borderId="70" xfId="0" applyFont="1" applyFill="1" applyBorder="1" applyAlignment="1" applyProtection="1">
      <alignment horizontal="center" vertical="center"/>
    </xf>
    <xf numFmtId="0" fontId="26" fillId="6" borderId="66" xfId="0" applyFont="1" applyFill="1" applyBorder="1" applyAlignment="1" applyProtection="1">
      <alignment horizontal="center" vertical="center"/>
    </xf>
    <xf numFmtId="0" fontId="26" fillId="6" borderId="71" xfId="0" applyFont="1" applyFill="1" applyBorder="1" applyAlignment="1" applyProtection="1">
      <alignment horizontal="center" vertical="center"/>
    </xf>
    <xf numFmtId="0" fontId="26" fillId="6" borderId="0" xfId="0" applyFont="1" applyFill="1" applyBorder="1" applyAlignment="1" applyProtection="1">
      <alignment horizontal="center" vertical="center"/>
    </xf>
    <xf numFmtId="0" fontId="26" fillId="6" borderId="72" xfId="0" applyFont="1" applyFill="1" applyBorder="1" applyAlignment="1" applyProtection="1">
      <alignment horizontal="center" vertical="center"/>
    </xf>
    <xf numFmtId="0" fontId="26" fillId="6" borderId="63" xfId="0" applyFont="1" applyFill="1" applyBorder="1" applyAlignment="1" applyProtection="1">
      <alignment horizontal="center" vertical="center"/>
    </xf>
    <xf numFmtId="0" fontId="26" fillId="6" borderId="73" xfId="0" applyFont="1" applyFill="1" applyBorder="1" applyAlignment="1" applyProtection="1">
      <alignment horizontal="center" vertical="center"/>
    </xf>
    <xf numFmtId="0" fontId="26" fillId="6" borderId="61" xfId="0" applyFont="1" applyFill="1" applyBorder="1" applyAlignment="1" applyProtection="1">
      <alignment horizontal="center" vertical="center"/>
    </xf>
    <xf numFmtId="0" fontId="23" fillId="14" borderId="65" xfId="0" applyFont="1" applyFill="1" applyBorder="1" applyAlignment="1" applyProtection="1">
      <alignment horizontal="center" vertical="center"/>
    </xf>
    <xf numFmtId="0" fontId="23" fillId="14" borderId="69" xfId="0" applyFont="1" applyFill="1" applyBorder="1" applyAlignment="1" applyProtection="1">
      <alignment horizontal="center" vertical="center"/>
    </xf>
    <xf numFmtId="0" fontId="23" fillId="14" borderId="64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3" fillId="8" borderId="42" xfId="0" applyFont="1" applyFill="1" applyBorder="1" applyAlignment="1" applyProtection="1">
      <alignment horizontal="center" vertical="center" wrapText="1"/>
    </xf>
    <xf numFmtId="0" fontId="23" fillId="8" borderId="27" xfId="0" applyFont="1" applyFill="1" applyBorder="1" applyAlignment="1" applyProtection="1">
      <alignment horizontal="center" vertical="center" wrapText="1"/>
    </xf>
    <xf numFmtId="0" fontId="23" fillId="8" borderId="46" xfId="0" applyFont="1" applyFill="1" applyBorder="1" applyAlignment="1" applyProtection="1">
      <alignment horizontal="center" vertical="center" wrapText="1"/>
    </xf>
    <xf numFmtId="0" fontId="2" fillId="4" borderId="49" xfId="0" applyFont="1" applyFill="1" applyBorder="1" applyAlignment="1" applyProtection="1">
      <alignment horizontal="center"/>
      <protection locked="0"/>
    </xf>
    <xf numFmtId="0" fontId="2" fillId="4" borderId="51" xfId="0" applyFont="1" applyFill="1" applyBorder="1" applyAlignment="1" applyProtection="1">
      <alignment horizontal="center"/>
      <protection locked="0"/>
    </xf>
    <xf numFmtId="0" fontId="2" fillId="0" borderId="24" xfId="0" applyFont="1" applyFill="1" applyBorder="1" applyAlignment="1" applyProtection="1">
      <alignment horizontal="center" vertical="center" wrapText="1"/>
    </xf>
    <xf numFmtId="0" fontId="2" fillId="0" borderId="34" xfId="0" applyFont="1" applyFill="1" applyBorder="1" applyAlignment="1" applyProtection="1">
      <alignment horizontal="center" vertical="center" wrapText="1"/>
    </xf>
    <xf numFmtId="0" fontId="2" fillId="4" borderId="52" xfId="0" applyFont="1" applyFill="1" applyBorder="1" applyAlignment="1" applyProtection="1">
      <alignment horizontal="center" vertical="center" wrapText="1"/>
    </xf>
    <xf numFmtId="0" fontId="2" fillId="4" borderId="55" xfId="0" applyFont="1" applyFill="1" applyBorder="1" applyAlignment="1" applyProtection="1">
      <alignment horizontal="center"/>
      <protection locked="0"/>
    </xf>
    <xf numFmtId="0" fontId="2" fillId="4" borderId="57" xfId="0" applyFont="1" applyFill="1" applyBorder="1" applyAlignment="1" applyProtection="1">
      <alignment horizontal="center"/>
      <protection locked="0"/>
    </xf>
    <xf numFmtId="0" fontId="24" fillId="6" borderId="53" xfId="0" applyFont="1" applyFill="1" applyBorder="1" applyAlignment="1" applyProtection="1">
      <alignment horizontal="left" vertical="center"/>
    </xf>
    <xf numFmtId="0" fontId="21" fillId="0" borderId="53" xfId="0" applyFont="1" applyBorder="1" applyAlignment="1" applyProtection="1">
      <alignment horizontal="left" vertical="center"/>
    </xf>
    <xf numFmtId="0" fontId="24" fillId="6" borderId="65" xfId="0" applyFont="1" applyFill="1" applyBorder="1" applyAlignment="1" applyProtection="1">
      <alignment horizontal="left" vertical="center"/>
    </xf>
    <xf numFmtId="0" fontId="24" fillId="6" borderId="64" xfId="0" applyFont="1" applyFill="1" applyBorder="1" applyAlignment="1" applyProtection="1">
      <alignment horizontal="left" vertical="center"/>
    </xf>
    <xf numFmtId="0" fontId="13" fillId="4" borderId="65" xfId="0" applyFont="1" applyFill="1" applyBorder="1" applyAlignment="1" applyProtection="1">
      <alignment horizontal="center"/>
      <protection locked="0"/>
    </xf>
    <xf numFmtId="0" fontId="13" fillId="4" borderId="64" xfId="0" applyFont="1" applyFill="1" applyBorder="1" applyAlignment="1" applyProtection="1">
      <alignment horizontal="center"/>
      <protection locked="0"/>
    </xf>
    <xf numFmtId="0" fontId="18" fillId="8" borderId="0" xfId="0" applyFont="1" applyFill="1" applyBorder="1" applyAlignment="1" applyProtection="1">
      <alignment horizontal="center" vertical="center"/>
    </xf>
    <xf numFmtId="0" fontId="17" fillId="13" borderId="65" xfId="0" applyFont="1" applyFill="1" applyBorder="1" applyAlignment="1" applyProtection="1">
      <alignment horizontal="center" vertical="center" wrapText="1"/>
      <protection locked="0"/>
    </xf>
    <xf numFmtId="0" fontId="17" fillId="13" borderId="64" xfId="0" applyFont="1" applyFill="1" applyBorder="1" applyAlignment="1" applyProtection="1">
      <alignment horizontal="center" vertical="center" wrapText="1"/>
      <protection locked="0"/>
    </xf>
    <xf numFmtId="0" fontId="18" fillId="16" borderId="0" xfId="0" applyFont="1" applyFill="1" applyBorder="1" applyAlignment="1" applyProtection="1">
      <alignment horizontal="center" vertical="center"/>
    </xf>
    <xf numFmtId="0" fontId="18" fillId="18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/>
    </xf>
    <xf numFmtId="0" fontId="18" fillId="9" borderId="65" xfId="0" applyFont="1" applyFill="1" applyBorder="1" applyAlignment="1" applyProtection="1">
      <alignment horizontal="center"/>
    </xf>
    <xf numFmtId="0" fontId="18" fillId="9" borderId="64" xfId="0" applyFont="1" applyFill="1" applyBorder="1" applyAlignment="1" applyProtection="1">
      <alignment horizontal="center"/>
    </xf>
    <xf numFmtId="0" fontId="18" fillId="17" borderId="0" xfId="0" applyFont="1" applyFill="1" applyBorder="1" applyAlignment="1" applyProtection="1">
      <alignment horizontal="center" vertical="center"/>
    </xf>
    <xf numFmtId="0" fontId="10" fillId="10" borderId="0" xfId="0" applyFont="1" applyFill="1" applyBorder="1" applyAlignment="1" applyProtection="1">
      <alignment horizontal="center"/>
    </xf>
    <xf numFmtId="0" fontId="10" fillId="12" borderId="53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 vertical="center"/>
    </xf>
    <xf numFmtId="0" fontId="10" fillId="16" borderId="65" xfId="0" applyFont="1" applyFill="1" applyBorder="1" applyAlignment="1" applyProtection="1">
      <alignment horizontal="center" vertical="center"/>
    </xf>
    <xf numFmtId="0" fontId="10" fillId="16" borderId="64" xfId="0" applyFont="1" applyFill="1" applyBorder="1" applyAlignment="1" applyProtection="1">
      <alignment horizontal="center" vertical="center"/>
    </xf>
    <xf numFmtId="0" fontId="10" fillId="17" borderId="65" xfId="0" applyFont="1" applyFill="1" applyBorder="1" applyAlignment="1" applyProtection="1">
      <alignment horizontal="center" vertical="center"/>
    </xf>
    <xf numFmtId="0" fontId="10" fillId="17" borderId="64" xfId="0" applyFont="1" applyFill="1" applyBorder="1" applyAlignment="1" applyProtection="1">
      <alignment horizontal="center" vertical="center"/>
    </xf>
    <xf numFmtId="0" fontId="10" fillId="18" borderId="65" xfId="0" applyFont="1" applyFill="1" applyBorder="1" applyAlignment="1" applyProtection="1">
      <alignment horizontal="center" vertical="center"/>
    </xf>
    <xf numFmtId="0" fontId="10" fillId="18" borderId="64" xfId="0" applyFont="1" applyFill="1" applyBorder="1" applyAlignment="1" applyProtection="1">
      <alignment horizontal="center" vertical="center"/>
    </xf>
    <xf numFmtId="0" fontId="10" fillId="19" borderId="65" xfId="0" applyFont="1" applyFill="1" applyBorder="1" applyAlignment="1" applyProtection="1">
      <alignment horizontal="center" vertical="center"/>
    </xf>
    <xf numFmtId="0" fontId="10" fillId="19" borderId="64" xfId="0" applyFont="1" applyFill="1" applyBorder="1" applyAlignment="1" applyProtection="1">
      <alignment horizontal="center" vertical="center"/>
    </xf>
    <xf numFmtId="0" fontId="18" fillId="19" borderId="0" xfId="0" applyFont="1" applyFill="1" applyBorder="1" applyAlignment="1" applyProtection="1">
      <alignment horizontal="center" vertical="center"/>
    </xf>
    <xf numFmtId="0" fontId="13" fillId="4" borderId="0" xfId="0" applyFont="1" applyFill="1" applyAlignment="1" applyProtection="1">
      <alignment horizontal="center"/>
      <protection locked="0"/>
    </xf>
    <xf numFmtId="0" fontId="13" fillId="4" borderId="53" xfId="0" applyFont="1" applyFill="1" applyBorder="1" applyAlignment="1" applyProtection="1">
      <alignment horizontal="center" vertical="center"/>
    </xf>
    <xf numFmtId="0" fontId="13" fillId="0" borderId="53" xfId="0" applyFont="1" applyFill="1" applyBorder="1" applyAlignment="1" applyProtection="1">
      <alignment horizontal="left" vertical="center" indent="1"/>
    </xf>
    <xf numFmtId="0" fontId="13" fillId="0" borderId="53" xfId="0" applyFont="1" applyFill="1" applyBorder="1" applyAlignment="1" applyProtection="1">
      <alignment horizontal="center" vertical="center" wrapText="1"/>
    </xf>
    <xf numFmtId="0" fontId="18" fillId="8" borderId="53" xfId="0" applyFont="1" applyFill="1" applyBorder="1" applyAlignment="1" applyProtection="1">
      <alignment horizontal="center"/>
    </xf>
    <xf numFmtId="0" fontId="10" fillId="8" borderId="53" xfId="0" applyFont="1" applyFill="1" applyBorder="1" applyAlignment="1" applyProtection="1">
      <alignment horizontal="center"/>
    </xf>
    <xf numFmtId="0" fontId="10" fillId="10" borderId="65" xfId="0" applyFont="1" applyFill="1" applyBorder="1" applyAlignment="1" applyProtection="1">
      <alignment horizontal="center" vertical="center"/>
      <protection locked="0"/>
    </xf>
    <xf numFmtId="0" fontId="10" fillId="10" borderId="64" xfId="0" applyFont="1" applyFill="1" applyBorder="1" applyAlignment="1" applyProtection="1">
      <alignment horizontal="center" vertical="center"/>
      <protection locked="0"/>
    </xf>
  </cellXfs>
  <cellStyles count="13">
    <cellStyle name="Accent6" xfId="2" builtinId="49"/>
    <cellStyle name="Euro" xfId="4"/>
    <cellStyle name="Milliers 2" xfId="3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3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8"/>
  <sheetViews>
    <sheetView showGridLines="0" topLeftCell="A11" zoomScaleNormal="100" workbookViewId="0">
      <selection activeCell="D58" sqref="D58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204" t="s">
        <v>17</v>
      </c>
      <c r="B5" s="204"/>
      <c r="C5" s="204"/>
      <c r="D5" s="204"/>
      <c r="E5" s="204"/>
      <c r="F5" s="204"/>
    </row>
    <row r="6" spans="1:6" ht="5.25" customHeight="1" thickBot="1" x14ac:dyDescent="0.25"/>
    <row r="7" spans="1:6" ht="14.25" x14ac:dyDescent="0.2">
      <c r="A7" s="205" t="s">
        <v>0</v>
      </c>
      <c r="B7" s="206"/>
      <c r="C7" s="206"/>
      <c r="D7" s="206"/>
      <c r="E7" s="206"/>
      <c r="F7" s="207"/>
    </row>
    <row r="8" spans="1:6" x14ac:dyDescent="0.2">
      <c r="A8" s="2" t="s">
        <v>1</v>
      </c>
      <c r="B8" s="190" t="s">
        <v>150</v>
      </c>
      <c r="C8" s="190"/>
      <c r="D8" s="190"/>
      <c r="E8" s="190"/>
      <c r="F8" s="208"/>
    </row>
    <row r="9" spans="1:6" x14ac:dyDescent="0.2">
      <c r="A9" s="2" t="s">
        <v>2</v>
      </c>
      <c r="B9" s="190" t="s">
        <v>97</v>
      </c>
      <c r="C9" s="190"/>
      <c r="D9" s="190"/>
      <c r="E9" s="190"/>
      <c r="F9" s="208"/>
    </row>
    <row r="10" spans="1:6" x14ac:dyDescent="0.2">
      <c r="A10" s="2" t="s">
        <v>3</v>
      </c>
      <c r="B10" s="190" t="s">
        <v>98</v>
      </c>
      <c r="C10" s="190"/>
      <c r="D10" s="190"/>
      <c r="E10" s="190"/>
      <c r="F10" s="208"/>
    </row>
    <row r="11" spans="1:6" x14ac:dyDescent="0.2">
      <c r="A11" s="2" t="s">
        <v>4</v>
      </c>
      <c r="B11" s="190" t="s">
        <v>99</v>
      </c>
      <c r="C11" s="190"/>
      <c r="D11" s="190"/>
      <c r="E11" s="190"/>
      <c r="F11" s="208"/>
    </row>
    <row r="12" spans="1:6" x14ac:dyDescent="0.2">
      <c r="A12" s="46" t="s">
        <v>5</v>
      </c>
      <c r="B12" s="209" t="s">
        <v>101</v>
      </c>
      <c r="C12" s="209"/>
      <c r="D12" s="209"/>
      <c r="E12" s="209"/>
      <c r="F12" s="210"/>
    </row>
    <row r="13" spans="1:6" ht="13.5" thickBot="1" x14ac:dyDescent="0.25">
      <c r="A13" s="3" t="s">
        <v>6</v>
      </c>
      <c r="B13" s="195" t="s">
        <v>100</v>
      </c>
      <c r="C13" s="195"/>
      <c r="D13" s="195"/>
      <c r="E13" s="195"/>
      <c r="F13" s="211"/>
    </row>
    <row r="15" spans="1:6" ht="13.5" thickBot="1" x14ac:dyDescent="0.25"/>
    <row r="16" spans="1:6" ht="30.75" customHeight="1" x14ac:dyDescent="0.2">
      <c r="A16" s="212" t="s">
        <v>7</v>
      </c>
      <c r="B16" s="213"/>
      <c r="C16" s="214" t="s">
        <v>8</v>
      </c>
      <c r="D16" s="215"/>
      <c r="E16" s="214" t="s">
        <v>9</v>
      </c>
      <c r="F16" s="216"/>
    </row>
    <row r="17" spans="1:6" x14ac:dyDescent="0.2">
      <c r="A17" s="198" t="s">
        <v>22</v>
      </c>
      <c r="B17" s="199"/>
      <c r="C17" s="200" t="s">
        <v>103</v>
      </c>
      <c r="D17" s="201"/>
      <c r="E17" s="202" t="s">
        <v>115</v>
      </c>
      <c r="F17" s="203"/>
    </row>
    <row r="18" spans="1:6" x14ac:dyDescent="0.2">
      <c r="A18" s="198" t="s">
        <v>23</v>
      </c>
      <c r="B18" s="199"/>
      <c r="C18" s="200" t="s">
        <v>104</v>
      </c>
      <c r="D18" s="201"/>
      <c r="E18" s="202" t="s">
        <v>115</v>
      </c>
      <c r="F18" s="203"/>
    </row>
    <row r="19" spans="1:6" x14ac:dyDescent="0.2">
      <c r="A19" s="198" t="s">
        <v>21</v>
      </c>
      <c r="B19" s="199"/>
      <c r="C19" s="200" t="s">
        <v>119</v>
      </c>
      <c r="D19" s="201"/>
      <c r="E19" s="202" t="s">
        <v>120</v>
      </c>
      <c r="F19" s="203"/>
    </row>
    <row r="20" spans="1:6" x14ac:dyDescent="0.2">
      <c r="A20" s="198" t="s">
        <v>25</v>
      </c>
      <c r="B20" s="199"/>
      <c r="C20" s="200" t="s">
        <v>121</v>
      </c>
      <c r="D20" s="201"/>
      <c r="E20" s="202" t="s">
        <v>115</v>
      </c>
      <c r="F20" s="203"/>
    </row>
    <row r="21" spans="1:6" x14ac:dyDescent="0.2">
      <c r="A21" s="198" t="s">
        <v>26</v>
      </c>
      <c r="B21" s="199"/>
      <c r="C21" s="200" t="s">
        <v>105</v>
      </c>
      <c r="D21" s="201"/>
      <c r="E21" s="202" t="s">
        <v>116</v>
      </c>
      <c r="F21" s="203"/>
    </row>
    <row r="22" spans="1:6" x14ac:dyDescent="0.2">
      <c r="A22" s="198" t="s">
        <v>40</v>
      </c>
      <c r="B22" s="199"/>
      <c r="C22" s="200" t="s">
        <v>106</v>
      </c>
      <c r="D22" s="201"/>
      <c r="E22" s="202" t="s">
        <v>117</v>
      </c>
      <c r="F22" s="203"/>
    </row>
    <row r="23" spans="1:6" x14ac:dyDescent="0.2">
      <c r="A23" s="198" t="s">
        <v>41</v>
      </c>
      <c r="B23" s="199"/>
      <c r="C23" s="200" t="s">
        <v>107</v>
      </c>
      <c r="D23" s="201"/>
      <c r="E23" s="202" t="s">
        <v>117</v>
      </c>
      <c r="F23" s="203"/>
    </row>
    <row r="24" spans="1:6" x14ac:dyDescent="0.2">
      <c r="A24" s="198" t="s">
        <v>42</v>
      </c>
      <c r="B24" s="199"/>
      <c r="C24" s="200" t="s">
        <v>108</v>
      </c>
      <c r="D24" s="201"/>
      <c r="E24" s="202" t="s">
        <v>117</v>
      </c>
      <c r="F24" s="203"/>
    </row>
    <row r="25" spans="1:6" x14ac:dyDescent="0.2">
      <c r="A25" s="198" t="s">
        <v>94</v>
      </c>
      <c r="B25" s="199"/>
      <c r="C25" s="200" t="s">
        <v>122</v>
      </c>
      <c r="D25" s="201"/>
      <c r="E25" s="202" t="s">
        <v>117</v>
      </c>
      <c r="F25" s="203"/>
    </row>
    <row r="26" spans="1:6" x14ac:dyDescent="0.2">
      <c r="A26" s="198" t="s">
        <v>44</v>
      </c>
      <c r="B26" s="199"/>
      <c r="C26" s="200" t="s">
        <v>109</v>
      </c>
      <c r="D26" s="201"/>
      <c r="E26" s="202" t="s">
        <v>117</v>
      </c>
      <c r="F26" s="203"/>
    </row>
    <row r="27" spans="1:6" x14ac:dyDescent="0.2">
      <c r="A27" s="198" t="s">
        <v>45</v>
      </c>
      <c r="B27" s="199"/>
      <c r="C27" s="200" t="s">
        <v>110</v>
      </c>
      <c r="D27" s="201"/>
      <c r="E27" s="202" t="s">
        <v>118</v>
      </c>
      <c r="F27" s="203"/>
    </row>
    <row r="28" spans="1:6" x14ac:dyDescent="0.2">
      <c r="A28" s="198" t="s">
        <v>46</v>
      </c>
      <c r="B28" s="199"/>
      <c r="C28" s="200" t="s">
        <v>111</v>
      </c>
      <c r="D28" s="201"/>
      <c r="E28" s="202" t="s">
        <v>116</v>
      </c>
      <c r="F28" s="203"/>
    </row>
    <row r="29" spans="1:6" x14ac:dyDescent="0.2">
      <c r="A29" s="198" t="s">
        <v>123</v>
      </c>
      <c r="B29" s="199"/>
      <c r="C29" s="200" t="s">
        <v>112</v>
      </c>
      <c r="D29" s="201"/>
      <c r="E29" s="202" t="s">
        <v>116</v>
      </c>
      <c r="F29" s="203"/>
    </row>
    <row r="30" spans="1:6" x14ac:dyDescent="0.2">
      <c r="A30" s="198" t="s">
        <v>47</v>
      </c>
      <c r="B30" s="199"/>
      <c r="C30" s="200" t="s">
        <v>113</v>
      </c>
      <c r="D30" s="201"/>
      <c r="E30" s="202" t="s">
        <v>116</v>
      </c>
      <c r="F30" s="203"/>
    </row>
    <row r="31" spans="1:6" x14ac:dyDescent="0.2">
      <c r="A31" s="198" t="s">
        <v>102</v>
      </c>
      <c r="B31" s="199"/>
      <c r="C31" s="200" t="s">
        <v>114</v>
      </c>
      <c r="D31" s="201"/>
      <c r="E31" s="202" t="s">
        <v>115</v>
      </c>
      <c r="F31" s="203"/>
    </row>
    <row r="32" spans="1:6" x14ac:dyDescent="0.2">
      <c r="A32" s="198" t="s">
        <v>154</v>
      </c>
      <c r="B32" s="199"/>
      <c r="C32" s="200" t="s">
        <v>157</v>
      </c>
      <c r="D32" s="201"/>
      <c r="E32" s="202" t="s">
        <v>115</v>
      </c>
      <c r="F32" s="203"/>
    </row>
    <row r="33" spans="1:6" x14ac:dyDescent="0.2">
      <c r="A33" s="44"/>
      <c r="B33" s="45"/>
      <c r="C33" s="200"/>
      <c r="D33" s="201"/>
      <c r="E33" s="202"/>
      <c r="F33" s="203"/>
    </row>
    <row r="34" spans="1:6" x14ac:dyDescent="0.2">
      <c r="A34" s="44"/>
      <c r="B34" s="45"/>
      <c r="C34" s="200"/>
      <c r="D34" s="201"/>
      <c r="E34" s="202"/>
      <c r="F34" s="203"/>
    </row>
    <row r="35" spans="1:6" x14ac:dyDescent="0.2">
      <c r="A35" s="44"/>
      <c r="B35" s="45"/>
      <c r="C35" s="200"/>
      <c r="D35" s="201"/>
      <c r="E35" s="202"/>
      <c r="F35" s="203"/>
    </row>
    <row r="36" spans="1:6" x14ac:dyDescent="0.2">
      <c r="A36" s="44"/>
      <c r="B36" s="45"/>
      <c r="C36" s="200"/>
      <c r="D36" s="201"/>
      <c r="E36" s="202"/>
      <c r="F36" s="203"/>
    </row>
    <row r="37" spans="1:6" x14ac:dyDescent="0.2">
      <c r="A37" s="44"/>
      <c r="B37" s="45"/>
      <c r="C37" s="200"/>
      <c r="D37" s="201"/>
      <c r="E37" s="202"/>
      <c r="F37" s="203"/>
    </row>
    <row r="38" spans="1:6" x14ac:dyDescent="0.2">
      <c r="A38" s="44"/>
      <c r="B38" s="45"/>
      <c r="C38" s="200"/>
      <c r="D38" s="201"/>
      <c r="E38" s="202"/>
      <c r="F38" s="203"/>
    </row>
    <row r="39" spans="1:6" x14ac:dyDescent="0.2">
      <c r="A39" s="44"/>
      <c r="B39" s="45"/>
      <c r="C39" s="200"/>
      <c r="D39" s="201"/>
      <c r="E39" s="202"/>
      <c r="F39" s="203"/>
    </row>
    <row r="40" spans="1:6" x14ac:dyDescent="0.2">
      <c r="A40" s="44"/>
      <c r="B40" s="45"/>
      <c r="C40" s="200"/>
      <c r="D40" s="201"/>
      <c r="E40" s="202"/>
      <c r="F40" s="203"/>
    </row>
    <row r="41" spans="1:6" x14ac:dyDescent="0.2">
      <c r="A41" s="44"/>
      <c r="B41" s="45"/>
      <c r="C41" s="200"/>
      <c r="D41" s="201"/>
      <c r="E41" s="202"/>
      <c r="F41" s="203"/>
    </row>
    <row r="42" spans="1:6" x14ac:dyDescent="0.2">
      <c r="A42" s="44"/>
      <c r="B42" s="45"/>
      <c r="C42" s="200"/>
      <c r="D42" s="201"/>
      <c r="E42" s="202"/>
      <c r="F42" s="203"/>
    </row>
    <row r="43" spans="1:6" x14ac:dyDescent="0.2">
      <c r="A43" s="44"/>
      <c r="B43" s="45"/>
      <c r="C43" s="200"/>
      <c r="D43" s="201"/>
      <c r="E43" s="202"/>
      <c r="F43" s="203"/>
    </row>
    <row r="44" spans="1:6" x14ac:dyDescent="0.2">
      <c r="A44" s="44"/>
      <c r="B44" s="45"/>
      <c r="C44" s="200"/>
      <c r="D44" s="201"/>
      <c r="E44" s="202"/>
      <c r="F44" s="203"/>
    </row>
    <row r="45" spans="1:6" x14ac:dyDescent="0.2">
      <c r="A45" s="44"/>
      <c r="B45" s="45"/>
      <c r="C45" s="200"/>
      <c r="D45" s="201"/>
      <c r="E45" s="202"/>
      <c r="F45" s="203"/>
    </row>
    <row r="46" spans="1:6" x14ac:dyDescent="0.2">
      <c r="A46" s="188"/>
      <c r="B46" s="189"/>
      <c r="C46" s="190"/>
      <c r="D46" s="190"/>
      <c r="E46" s="191"/>
      <c r="F46" s="192"/>
    </row>
    <row r="47" spans="1:6" x14ac:dyDescent="0.2">
      <c r="A47" s="188"/>
      <c r="B47" s="189"/>
      <c r="C47" s="190"/>
      <c r="D47" s="190"/>
      <c r="E47" s="191"/>
      <c r="F47" s="192"/>
    </row>
    <row r="48" spans="1:6" x14ac:dyDescent="0.2">
      <c r="A48" s="188"/>
      <c r="B48" s="189"/>
      <c r="C48" s="190"/>
      <c r="D48" s="190"/>
      <c r="E48" s="191"/>
      <c r="F48" s="192"/>
    </row>
    <row r="49" spans="1:6" ht="13.5" thickBot="1" x14ac:dyDescent="0.25">
      <c r="A49" s="193"/>
      <c r="B49" s="194"/>
      <c r="C49" s="195"/>
      <c r="D49" s="195"/>
      <c r="E49" s="196"/>
      <c r="F49" s="197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x14ac:dyDescent="0.2">
      <c r="A54" s="47">
        <v>40817</v>
      </c>
      <c r="B54" s="9">
        <v>1</v>
      </c>
      <c r="C54" s="9" t="s">
        <v>124</v>
      </c>
      <c r="D54" s="10" t="s">
        <v>126</v>
      </c>
      <c r="E54" s="10" t="s">
        <v>127</v>
      </c>
      <c r="F54" s="11" t="s">
        <v>128</v>
      </c>
    </row>
    <row r="55" spans="1:6" x14ac:dyDescent="0.2">
      <c r="A55" s="47">
        <v>40857</v>
      </c>
      <c r="B55" s="9">
        <v>2</v>
      </c>
      <c r="C55" s="9" t="s">
        <v>125</v>
      </c>
      <c r="D55" s="12" t="s">
        <v>126</v>
      </c>
      <c r="E55" s="12" t="s">
        <v>127</v>
      </c>
      <c r="F55" s="13" t="s">
        <v>128</v>
      </c>
    </row>
    <row r="56" spans="1:6" ht="25.5" x14ac:dyDescent="0.2">
      <c r="A56" s="48">
        <v>44970</v>
      </c>
      <c r="B56" s="49">
        <v>3</v>
      </c>
      <c r="C56" s="50" t="s">
        <v>151</v>
      </c>
      <c r="D56" s="51" t="s">
        <v>129</v>
      </c>
      <c r="E56" s="51" t="s">
        <v>129</v>
      </c>
      <c r="F56" s="52" t="s">
        <v>129</v>
      </c>
    </row>
    <row r="57" spans="1:6" ht="25.5" x14ac:dyDescent="0.2">
      <c r="A57" s="181">
        <v>45162</v>
      </c>
      <c r="B57" s="182">
        <v>4</v>
      </c>
      <c r="C57" s="183" t="s">
        <v>156</v>
      </c>
      <c r="D57" s="184" t="s">
        <v>129</v>
      </c>
      <c r="E57" s="184" t="s">
        <v>129</v>
      </c>
      <c r="F57" s="185" t="s">
        <v>129</v>
      </c>
    </row>
    <row r="58" spans="1:6" ht="26.25" thickBot="1" x14ac:dyDescent="0.25">
      <c r="A58" s="176">
        <v>45812</v>
      </c>
      <c r="B58" s="177">
        <v>5</v>
      </c>
      <c r="C58" s="177" t="s">
        <v>158</v>
      </c>
      <c r="D58" s="14" t="s">
        <v>129</v>
      </c>
      <c r="E58" s="14" t="s">
        <v>129</v>
      </c>
      <c r="F58" s="15" t="s">
        <v>129</v>
      </c>
    </row>
  </sheetData>
  <mergeCells count="97">
    <mergeCell ref="A32:B32"/>
    <mergeCell ref="C19:D19"/>
    <mergeCell ref="A25:B25"/>
    <mergeCell ref="C25:D25"/>
    <mergeCell ref="C43:D43"/>
    <mergeCell ref="C42:D42"/>
    <mergeCell ref="C45:D45"/>
    <mergeCell ref="A24:B24"/>
    <mergeCell ref="A26:B26"/>
    <mergeCell ref="A27:B27"/>
    <mergeCell ref="A28:B28"/>
    <mergeCell ref="A29:B29"/>
    <mergeCell ref="A30:B30"/>
    <mergeCell ref="A31:B31"/>
    <mergeCell ref="C44:D44"/>
    <mergeCell ref="C35:D35"/>
    <mergeCell ref="C36:D36"/>
    <mergeCell ref="C37:D37"/>
    <mergeCell ref="C38:D38"/>
    <mergeCell ref="C39:D39"/>
    <mergeCell ref="C40:D40"/>
    <mergeCell ref="C41:D41"/>
    <mergeCell ref="A18:B18"/>
    <mergeCell ref="A20:B20"/>
    <mergeCell ref="A21:B21"/>
    <mergeCell ref="A22:B22"/>
    <mergeCell ref="A23:B23"/>
    <mergeCell ref="A19:B19"/>
    <mergeCell ref="E45:F45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E40:F40"/>
    <mergeCell ref="E41:F41"/>
    <mergeCell ref="E42:F42"/>
    <mergeCell ref="E43:F43"/>
    <mergeCell ref="E44:F44"/>
    <mergeCell ref="E35:F35"/>
    <mergeCell ref="E36:F36"/>
    <mergeCell ref="E37:F37"/>
    <mergeCell ref="E38:F38"/>
    <mergeCell ref="E39:F39"/>
    <mergeCell ref="E30:F30"/>
    <mergeCell ref="E31:F31"/>
    <mergeCell ref="E32:F32"/>
    <mergeCell ref="E33:F33"/>
    <mergeCell ref="E34:F34"/>
    <mergeCell ref="E24:F24"/>
    <mergeCell ref="E26:F26"/>
    <mergeCell ref="E27:F27"/>
    <mergeCell ref="E28:F28"/>
    <mergeCell ref="E29:F29"/>
    <mergeCell ref="E25:F25"/>
    <mergeCell ref="E18:F18"/>
    <mergeCell ref="E20:F20"/>
    <mergeCell ref="E21:F21"/>
    <mergeCell ref="E22:F22"/>
    <mergeCell ref="E23:F23"/>
    <mergeCell ref="E19:F19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23"/>
  <sheetViews>
    <sheetView showGridLines="0" zoomScale="80" zoomScaleNormal="80" workbookViewId="0">
      <selection activeCell="A11" sqref="A11"/>
    </sheetView>
  </sheetViews>
  <sheetFormatPr baseColWidth="10" defaultColWidth="11.42578125" defaultRowHeight="12.75" x14ac:dyDescent="0.2"/>
  <cols>
    <col min="1" max="1" width="29.42578125" style="61" customWidth="1"/>
    <col min="2" max="4" width="11.42578125" style="61"/>
    <col min="5" max="5" width="13.28515625" style="61" customWidth="1"/>
    <col min="6" max="6" width="11.42578125" style="61"/>
    <col min="7" max="7" width="0.42578125" style="61" customWidth="1"/>
    <col min="8" max="8" width="13.7109375" style="61" customWidth="1"/>
    <col min="9" max="9" width="1" style="61" customWidth="1"/>
    <col min="10" max="10" width="11.5703125" style="61" bestFit="1" customWidth="1"/>
    <col min="11" max="12" width="11.42578125" style="61" customWidth="1"/>
    <col min="13" max="13" width="9.5703125" style="61" customWidth="1"/>
    <col min="14" max="16" width="11.5703125" style="61" bestFit="1" customWidth="1"/>
    <col min="17" max="17" width="11.7109375" style="61" bestFit="1" customWidth="1"/>
    <col min="18" max="20" width="11.5703125" style="61" bestFit="1" customWidth="1"/>
    <col min="21" max="21" width="11.7109375" style="61" bestFit="1" customWidth="1"/>
    <col min="22" max="24" width="11.5703125" style="61" bestFit="1" customWidth="1"/>
    <col min="25" max="25" width="11.7109375" style="61" bestFit="1" customWidth="1"/>
    <col min="26" max="28" width="11.5703125" style="61" bestFit="1" customWidth="1"/>
    <col min="29" max="29" width="11.7109375" style="61" bestFit="1" customWidth="1"/>
    <col min="30" max="30" width="8.140625" style="61" customWidth="1"/>
    <col min="31" max="31" width="4.28515625" style="61" customWidth="1"/>
    <col min="32" max="32" width="11.5703125" style="61" bestFit="1" customWidth="1"/>
    <col min="33" max="33" width="1.42578125" style="61" customWidth="1"/>
    <col min="34" max="34" width="11.5703125" style="61" bestFit="1" customWidth="1"/>
    <col min="35" max="35" width="11.5703125" style="61" customWidth="1"/>
    <col min="36" max="41" width="11.5703125" style="61" bestFit="1" customWidth="1"/>
    <col min="42" max="42" width="16.140625" style="61" customWidth="1"/>
    <col min="43" max="43" width="1.28515625" style="61" customWidth="1"/>
    <col min="44" max="46" width="11.5703125" style="61" bestFit="1" customWidth="1"/>
    <col min="47" max="48" width="11.42578125" style="61"/>
    <col min="49" max="49" width="17.140625" style="61" bestFit="1" customWidth="1"/>
    <col min="50" max="50" width="1.28515625" style="61" customWidth="1"/>
    <col min="51" max="51" width="16.85546875" style="61" customWidth="1"/>
    <col min="52" max="52" width="1" style="61" customWidth="1"/>
    <col min="53" max="53" width="11.5703125" style="61" bestFit="1" customWidth="1"/>
    <col min="54" max="54" width="1.28515625" style="61" customWidth="1"/>
    <col min="55" max="55" width="39.85546875" style="61" customWidth="1"/>
    <col min="56" max="16384" width="11.42578125" style="61"/>
  </cols>
  <sheetData>
    <row r="1" spans="1:55" ht="16.5" customHeight="1" x14ac:dyDescent="0.2">
      <c r="J1" s="223" t="s">
        <v>28</v>
      </c>
      <c r="K1" s="224"/>
      <c r="L1" s="224"/>
      <c r="M1" s="224"/>
      <c r="N1" s="224"/>
      <c r="O1" s="224"/>
      <c r="P1" s="224"/>
      <c r="Q1" s="224"/>
      <c r="R1" s="224"/>
      <c r="S1" s="224"/>
      <c r="T1" s="225"/>
      <c r="U1" s="62"/>
      <c r="V1" s="63"/>
      <c r="W1" s="63"/>
      <c r="X1" s="62"/>
      <c r="Y1" s="62"/>
      <c r="Z1" s="63"/>
      <c r="AA1" s="63"/>
      <c r="AB1" s="62"/>
      <c r="AC1" s="62"/>
      <c r="AD1" s="63"/>
      <c r="AE1" s="63"/>
      <c r="AF1" s="63"/>
      <c r="AG1" s="63"/>
      <c r="AH1" s="217" t="s">
        <v>29</v>
      </c>
      <c r="AI1" s="217"/>
      <c r="AJ1" s="218"/>
      <c r="AK1" s="218"/>
      <c r="AL1" s="218"/>
      <c r="AM1" s="218"/>
      <c r="AN1" s="218"/>
      <c r="AO1" s="219"/>
      <c r="AP1" s="63"/>
      <c r="AQ1" s="63"/>
      <c r="AR1" s="217" t="s">
        <v>30</v>
      </c>
      <c r="AS1" s="218"/>
      <c r="AT1" s="218"/>
      <c r="AU1" s="218"/>
      <c r="AV1" s="219"/>
      <c r="AW1" s="219"/>
      <c r="AX1" s="63"/>
      <c r="AY1" s="63"/>
      <c r="AZ1" s="64"/>
      <c r="BA1" s="64"/>
      <c r="BB1" s="64"/>
      <c r="BC1" s="64"/>
    </row>
    <row r="2" spans="1:55" ht="15.75" customHeight="1" x14ac:dyDescent="0.2">
      <c r="A2" s="65" t="s">
        <v>18</v>
      </c>
      <c r="B2" s="298"/>
      <c r="C2" s="298"/>
      <c r="D2" s="298"/>
      <c r="J2" s="226" t="s">
        <v>31</v>
      </c>
      <c r="K2" s="227"/>
      <c r="L2" s="227"/>
      <c r="M2" s="227"/>
      <c r="N2" s="227"/>
      <c r="O2" s="228" t="s">
        <v>35</v>
      </c>
      <c r="P2" s="228"/>
      <c r="Q2" s="228"/>
      <c r="R2" s="228"/>
      <c r="S2" s="228"/>
      <c r="T2" s="229"/>
      <c r="U2" s="62"/>
      <c r="V2" s="63"/>
      <c r="W2" s="63"/>
      <c r="X2" s="62"/>
      <c r="Y2" s="62"/>
      <c r="Z2" s="63"/>
      <c r="AA2" s="63"/>
      <c r="AB2" s="62"/>
      <c r="AC2" s="62"/>
      <c r="AD2" s="63"/>
      <c r="AE2" s="63"/>
      <c r="AF2" s="63"/>
      <c r="AG2" s="63"/>
      <c r="AH2" s="230" t="s">
        <v>32</v>
      </c>
      <c r="AI2" s="230"/>
      <c r="AJ2" s="231"/>
      <c r="AK2" s="231"/>
      <c r="AL2" s="231"/>
      <c r="AM2" s="232" t="s">
        <v>33</v>
      </c>
      <c r="AN2" s="232"/>
      <c r="AO2" s="233"/>
      <c r="AP2" s="63"/>
      <c r="AQ2" s="63"/>
      <c r="AR2" s="59">
        <v>1</v>
      </c>
      <c r="AS2" s="256" t="s">
        <v>34</v>
      </c>
      <c r="AT2" s="256"/>
      <c r="AU2" s="256"/>
      <c r="AV2" s="257"/>
      <c r="AW2" s="257"/>
      <c r="AX2" s="63"/>
      <c r="AY2" s="63"/>
      <c r="AZ2" s="64"/>
      <c r="BA2" s="64"/>
      <c r="BB2" s="64"/>
      <c r="BC2" s="64"/>
    </row>
    <row r="3" spans="1:55" ht="16.5" customHeight="1" x14ac:dyDescent="0.2">
      <c r="A3" s="65" t="s">
        <v>19</v>
      </c>
      <c r="B3" s="298"/>
      <c r="C3" s="298"/>
      <c r="D3" s="298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3"/>
      <c r="W3" s="63"/>
      <c r="X3" s="62"/>
      <c r="Y3" s="62"/>
      <c r="Z3" s="63"/>
      <c r="AA3" s="63"/>
      <c r="AB3" s="62"/>
      <c r="AC3" s="62"/>
      <c r="AD3" s="63"/>
      <c r="AE3" s="63"/>
      <c r="AF3" s="63"/>
      <c r="AG3" s="63"/>
      <c r="AH3" s="249" t="s">
        <v>36</v>
      </c>
      <c r="AI3" s="249"/>
      <c r="AJ3" s="250"/>
      <c r="AK3" s="250"/>
      <c r="AL3" s="250"/>
      <c r="AM3" s="251" t="s">
        <v>37</v>
      </c>
      <c r="AN3" s="251"/>
      <c r="AO3" s="252"/>
      <c r="AP3" s="63"/>
      <c r="AQ3" s="63"/>
      <c r="AR3" s="59">
        <v>2</v>
      </c>
      <c r="AS3" s="256" t="s">
        <v>38</v>
      </c>
      <c r="AT3" s="256"/>
      <c r="AU3" s="256"/>
      <c r="AV3" s="257"/>
      <c r="AW3" s="257"/>
      <c r="AX3" s="63"/>
      <c r="AY3" s="63"/>
      <c r="AZ3" s="64"/>
      <c r="BA3" s="64"/>
      <c r="BB3" s="64"/>
      <c r="BC3" s="64"/>
    </row>
    <row r="4" spans="1:55" ht="18.75" customHeight="1" x14ac:dyDescent="0.2"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3"/>
      <c r="W4" s="63"/>
      <c r="X4" s="62"/>
      <c r="Y4" s="62"/>
      <c r="Z4" s="63"/>
      <c r="AA4" s="63"/>
      <c r="AB4" s="62"/>
      <c r="AC4" s="62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0">
        <v>3</v>
      </c>
      <c r="AS4" s="258" t="s">
        <v>39</v>
      </c>
      <c r="AT4" s="258"/>
      <c r="AU4" s="258"/>
      <c r="AV4" s="259"/>
      <c r="AW4" s="259"/>
      <c r="AX4" s="63"/>
      <c r="AY4" s="63"/>
      <c r="AZ4" s="64"/>
      <c r="BA4" s="64"/>
      <c r="BB4" s="64"/>
      <c r="BC4" s="64"/>
    </row>
    <row r="5" spans="1:55" x14ac:dyDescent="0.2">
      <c r="A5" s="178" t="s">
        <v>154</v>
      </c>
      <c r="B5" s="179" t="s">
        <v>155</v>
      </c>
      <c r="J5" s="63"/>
      <c r="K5" s="63"/>
      <c r="L5" s="63"/>
      <c r="M5" s="66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</row>
    <row r="6" spans="1:55" ht="28.5" customHeight="1" x14ac:dyDescent="0.2">
      <c r="A6" s="220" t="s">
        <v>20</v>
      </c>
      <c r="B6" s="234" t="s">
        <v>21</v>
      </c>
      <c r="C6" s="234" t="s">
        <v>22</v>
      </c>
      <c r="D6" s="234" t="s">
        <v>23</v>
      </c>
      <c r="E6" s="237" t="s">
        <v>24</v>
      </c>
      <c r="F6" s="240" t="s">
        <v>25</v>
      </c>
      <c r="H6" s="253" t="s">
        <v>26</v>
      </c>
      <c r="J6" s="272" t="s">
        <v>40</v>
      </c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40"/>
      <c r="V6" s="273" t="s">
        <v>41</v>
      </c>
      <c r="W6" s="234"/>
      <c r="X6" s="234"/>
      <c r="Y6" s="234"/>
      <c r="Z6" s="234"/>
      <c r="AA6" s="234"/>
      <c r="AB6" s="234"/>
      <c r="AC6" s="240"/>
      <c r="AD6" s="237" t="s">
        <v>42</v>
      </c>
      <c r="AE6" s="237"/>
      <c r="AF6" s="274" t="s">
        <v>43</v>
      </c>
      <c r="AG6" s="63"/>
      <c r="AH6" s="277" t="s">
        <v>44</v>
      </c>
      <c r="AI6" s="278"/>
      <c r="AJ6" s="278"/>
      <c r="AK6" s="278"/>
      <c r="AL6" s="278"/>
      <c r="AM6" s="278"/>
      <c r="AN6" s="278"/>
      <c r="AO6" s="279" t="s">
        <v>45</v>
      </c>
      <c r="AP6" s="264" t="s">
        <v>46</v>
      </c>
      <c r="AQ6" s="63"/>
      <c r="AR6" s="266" t="str">
        <f>+IF(OBJECTIFS!G66="","BONUS 1",OBJECTIFS!G66)</f>
        <v>MISSION</v>
      </c>
      <c r="AS6" s="269" t="str">
        <f>+IF(OBJECTIFS!G67="","BONUS 2",OBJECTIFS!G67)</f>
        <v>PRIME DE LANGUE</v>
      </c>
      <c r="AT6" s="269" t="str">
        <f>+IF(OBJECTIFS!G68="","BONUS 3",OBJECTIFS!G68)</f>
        <v>BONUS 3</v>
      </c>
      <c r="AU6" s="269" t="str">
        <f>+IF(OBJECTIFS!G69="","BONUS 4",OBJECTIFS!G69)</f>
        <v>BONUS 4</v>
      </c>
      <c r="AV6" s="269" t="s">
        <v>131</v>
      </c>
      <c r="AW6" s="299" t="s">
        <v>60</v>
      </c>
      <c r="AX6" s="63"/>
      <c r="AY6" s="261" t="s">
        <v>47</v>
      </c>
      <c r="AZ6" s="63"/>
      <c r="BA6" s="261" t="s">
        <v>48</v>
      </c>
      <c r="BB6" s="63"/>
      <c r="BC6" s="260" t="s">
        <v>49</v>
      </c>
    </row>
    <row r="7" spans="1:55" ht="26.25" customHeight="1" x14ac:dyDescent="0.2">
      <c r="A7" s="221"/>
      <c r="B7" s="235"/>
      <c r="C7" s="235"/>
      <c r="D7" s="235"/>
      <c r="E7" s="238"/>
      <c r="F7" s="241"/>
      <c r="H7" s="254"/>
      <c r="J7" s="245" t="str">
        <f>+OBJECTIFS!E5</f>
        <v>KPI1</v>
      </c>
      <c r="K7" s="247" t="s">
        <v>50</v>
      </c>
      <c r="L7" s="247" t="s">
        <v>51</v>
      </c>
      <c r="M7" s="67" t="s">
        <v>52</v>
      </c>
      <c r="N7" s="247" t="str">
        <f>+OBJECTIFS!F5</f>
        <v>KPI2</v>
      </c>
      <c r="O7" s="247" t="s">
        <v>50</v>
      </c>
      <c r="P7" s="247" t="s">
        <v>51</v>
      </c>
      <c r="Q7" s="67" t="s">
        <v>52</v>
      </c>
      <c r="R7" s="247" t="str">
        <f>+OBJECTIFS!G5</f>
        <v>KPI3</v>
      </c>
      <c r="S7" s="247" t="s">
        <v>50</v>
      </c>
      <c r="T7" s="247" t="s">
        <v>51</v>
      </c>
      <c r="U7" s="68" t="s">
        <v>52</v>
      </c>
      <c r="V7" s="243" t="str">
        <f>+OBJECTIFS!H5</f>
        <v>KPI4</v>
      </c>
      <c r="W7" s="245" t="s">
        <v>50</v>
      </c>
      <c r="X7" s="247" t="s">
        <v>51</v>
      </c>
      <c r="Y7" s="67" t="s">
        <v>52</v>
      </c>
      <c r="Z7" s="247" t="str">
        <f>+OBJECTIFS!I5</f>
        <v>KPI5</v>
      </c>
      <c r="AA7" s="247" t="s">
        <v>50</v>
      </c>
      <c r="AB7" s="247" t="s">
        <v>51</v>
      </c>
      <c r="AC7" s="68" t="s">
        <v>52</v>
      </c>
      <c r="AD7" s="304" t="s">
        <v>53</v>
      </c>
      <c r="AE7" s="304"/>
      <c r="AF7" s="275"/>
      <c r="AG7" s="63"/>
      <c r="AH7" s="306" t="s">
        <v>94</v>
      </c>
      <c r="AI7" s="256" t="s">
        <v>54</v>
      </c>
      <c r="AJ7" s="256" t="s">
        <v>55</v>
      </c>
      <c r="AK7" s="256" t="s">
        <v>56</v>
      </c>
      <c r="AL7" s="256" t="s">
        <v>57</v>
      </c>
      <c r="AM7" s="256" t="s">
        <v>58</v>
      </c>
      <c r="AN7" s="256" t="s">
        <v>59</v>
      </c>
      <c r="AO7" s="280"/>
      <c r="AP7" s="265"/>
      <c r="AQ7" s="63"/>
      <c r="AR7" s="267"/>
      <c r="AS7" s="270"/>
      <c r="AT7" s="270"/>
      <c r="AU7" s="270"/>
      <c r="AV7" s="270"/>
      <c r="AW7" s="300"/>
      <c r="AX7" s="63"/>
      <c r="AY7" s="262"/>
      <c r="AZ7" s="63"/>
      <c r="BA7" s="262"/>
      <c r="BB7" s="63"/>
      <c r="BC7" s="260"/>
    </row>
    <row r="8" spans="1:55" x14ac:dyDescent="0.2">
      <c r="A8" s="222"/>
      <c r="B8" s="236"/>
      <c r="C8" s="236"/>
      <c r="D8" s="236"/>
      <c r="E8" s="239"/>
      <c r="F8" s="242"/>
      <c r="H8" s="255"/>
      <c r="J8" s="246"/>
      <c r="K8" s="248"/>
      <c r="L8" s="248"/>
      <c r="M8" s="69">
        <f>OBJECTIFS!E4</f>
        <v>15</v>
      </c>
      <c r="N8" s="248"/>
      <c r="O8" s="248"/>
      <c r="P8" s="248"/>
      <c r="Q8" s="69">
        <f>OBJECTIFS!F4</f>
        <v>27.5</v>
      </c>
      <c r="R8" s="248"/>
      <c r="S8" s="248"/>
      <c r="T8" s="248"/>
      <c r="U8" s="70">
        <f>OBJECTIFS!G4</f>
        <v>27.5</v>
      </c>
      <c r="V8" s="244"/>
      <c r="W8" s="246"/>
      <c r="X8" s="248"/>
      <c r="Y8" s="69">
        <f>OBJECTIFS!H4</f>
        <v>20</v>
      </c>
      <c r="Z8" s="248"/>
      <c r="AA8" s="248"/>
      <c r="AB8" s="248"/>
      <c r="AC8" s="70">
        <f>OBJECTIFS!I4</f>
        <v>10</v>
      </c>
      <c r="AD8" s="305"/>
      <c r="AE8" s="305"/>
      <c r="AF8" s="276"/>
      <c r="AG8" s="63"/>
      <c r="AH8" s="306"/>
      <c r="AI8" s="256"/>
      <c r="AJ8" s="256"/>
      <c r="AK8" s="256"/>
      <c r="AL8" s="256"/>
      <c r="AM8" s="256"/>
      <c r="AN8" s="256"/>
      <c r="AO8" s="280"/>
      <c r="AP8" s="265"/>
      <c r="AQ8" s="63"/>
      <c r="AR8" s="268"/>
      <c r="AS8" s="271"/>
      <c r="AT8" s="271"/>
      <c r="AU8" s="271"/>
      <c r="AV8" s="271"/>
      <c r="AW8" s="301"/>
      <c r="AX8" s="63"/>
      <c r="AY8" s="263"/>
      <c r="AZ8" s="63"/>
      <c r="BA8" s="263"/>
      <c r="BB8" s="63"/>
      <c r="BC8" s="260"/>
    </row>
    <row r="9" spans="1:55" x14ac:dyDescent="0.2">
      <c r="A9" s="16"/>
      <c r="B9" s="17"/>
      <c r="C9" s="17"/>
      <c r="D9" s="18"/>
      <c r="E9" s="19"/>
      <c r="F9" s="33"/>
      <c r="H9" s="71" t="str">
        <f>IF(OR(D9="",F9="",A9=""),"",IF(E9="oui",0,IF(D9=OBJECTIFS!$C$45,VLOOKUP(F9,OBJECTIFS!$C$9:$D$11,2,FALSE),IF(D9=OBJECTIFS!$C$46,VLOOKUP(F9,OBJECTIFS!$C$16:$D$18,2,FALSE),IF(D9=OBJECTIFS!$C$47,VLOOKUP(F9,OBJECTIFS!$C$23:$D$25,2,FALSE),IF(D9=OBJECTIFS!$C$48,VLOOKUP(F9,OBJECTIFS!$C$30:$D$32,2,FALSE),IF(D9=OBJECTIFS!$C$49,VLOOKUP(F9,OBJECTIFS!$C$37:$D$39,2,FALSE))))))))</f>
        <v/>
      </c>
      <c r="J9" s="20"/>
      <c r="K9" s="72" t="str">
        <f>IF(OR($A9="",$D9="",J9=""),"",SUMIFS(OBJECTIFS!E$9:E$39,OBJECTIFS!$A$9:$A$39,$D9,OBJECTIFS!$C$9:$C$39,$F9))</f>
        <v/>
      </c>
      <c r="L9" s="72" t="str">
        <f>IF(OR(AND($D9=OBJECTIFS!$B$6,OBJECTIFS!E$8="dmt"),AND($D9=OBJECTIFS!$B$13,OBJECTIFS!$E$15="dmt"),AND($D9=OBJECTIFS!$B$20,OBJECTIFS!$E$22="dmt"),AND($D9=OBJECTIFS!$B$27,OBJECTIFS!$E$29="dmt"),AND($D9=OBJECTIFS!$B$34,OBJECTIFS!$E$36="dmt"),AND($D9=OBJECTIFS!$B$6,OBJECTIFS!$E$8="taux de chute"),AND($D9=OBJECTIFS!$B$13,OBJECTIFS!$E$15="taux de chute"),AND($D9=OBJECTIFS!$B$20,OBJECTIFS!$E$22="taux de chute"),AND($D9=OBJECTIFS!$B$27,OBJECTIFS!$E$29="taux de chute"),AND($D9=OBJECTIFS!$B$34,OBJECTIFS!$E$36="taux de chute")),IFERROR(K9/J9,""),IFERROR(J9/K9,""))</f>
        <v/>
      </c>
      <c r="M9" s="73">
        <f>IFERROR(IF(OR(J9="",K9="",L9=""),0,IF(L9&lt;OBJECTIFS!$E$56,0,IF(L9&lt;OBJECTIFS!$G$56,M$8*OBJECTIFS!$F$60,IF(L9&lt;OBJECTIFS!$I$56,M$8*OBJECTIFS!$H$60,M$8)))),0)</f>
        <v>0</v>
      </c>
      <c r="N9" s="160"/>
      <c r="O9" s="74" t="str">
        <f>IF(OR($A9="",$D9="",N9=""),"",SUMIFS(OBJECTIFS!F$9:F$39,OBJECTIFS!$A$9:$A$39,$D9,OBJECTIFS!$C$9:$C$39,$F9))</f>
        <v/>
      </c>
      <c r="P9" s="72" t="str">
        <f>IF(OR(AND($D9=OBJECTIFS!$B$6,OBJECTIFS!$F$8="dmt"),AND($D9=OBJECTIFS!$B$13,OBJECTIFS!$F$15="dmt"),AND($D9=OBJECTIFS!$B$20,OBJECTIFS!$F$22="dmt"),AND($D9=OBJECTIFS!$B$27,OBJECTIFS!$F$29="dmt"),AND($D9=OBJECTIFS!$B$34,OBJECTIFS!$F$36="dmt"),AND($D9=OBJECTIFS!$B$6,OBJECTIFS!$F$8="taux de chute"),AND($D9=OBJECTIFS!$B$13,OBJECTIFS!$F$15="taux de chute"),AND($D9=OBJECTIFS!$B$20,OBJECTIFS!$F$22="taux de chute"),AND($D9=OBJECTIFS!$B$27,OBJECTIFS!$F$29="taux de chute"),AND($D9=OBJECTIFS!$B$34,OBJECTIFS!$F$36="taux de chute")),IFERROR(O9/N9,""),IFERROR(N9/O9,""))</f>
        <v/>
      </c>
      <c r="Q9" s="73">
        <f>IFERROR(IF(OR(N9="",O9="",P9=""),0,IF(P9&lt;OBJECTIFS!$E$56,0,IF(P9&lt;OBJECTIFS!$G$56,Q$8*OBJECTIFS!$F$60,IF(P9&lt;OBJECTIFS!$I$56,Q$8*OBJECTIFS!$H$60,Q$8)))),0)</f>
        <v>0</v>
      </c>
      <c r="R9" s="163"/>
      <c r="S9" s="75" t="str">
        <f>IF(OR($A9="",$D9="",R9=""),"",SUMIFS(OBJECTIFS!G$9:G$39,OBJECTIFS!$A$9:$A$39,$D9,OBJECTIFS!$C$9:$C$39,$F9))</f>
        <v/>
      </c>
      <c r="T9" s="72" t="str">
        <f>IF(OR(AND($D9=OBJECTIFS!$B$6,OBJECTIFS!G$8="dmt"),AND($D9=OBJECTIFS!$B$13,OBJECTIFS!$G$15="dmt"),AND($D9=OBJECTIFS!$B$20,OBJECTIFS!$G$22="dmt"),AND($D9=OBJECTIFS!$B$27,OBJECTIFS!$G$29="dmt"),AND($D9=OBJECTIFS!$B$34,OBJECTIFS!$G$36="dmt"),AND($D9=OBJECTIFS!$B$6,OBJECTIFS!$G$8="taux de chute"),AND($D9=OBJECTIFS!$B$13,OBJECTIFS!$G$15="taux de chute"),AND($D9=OBJECTIFS!$B$20,OBJECTIFS!$G$22="taux de chute"),AND($D9=OBJECTIFS!$B$27,OBJECTIFS!$G$29="taux de chute"),AND($D9=OBJECTIFS!$B$34,OBJECTIFS!$G$36="taux de chute")),IFERROR(S9/R9,""),IFERROR(R9/S9,""))</f>
        <v/>
      </c>
      <c r="U9" s="76">
        <f>IFERROR(IF(OR(R9="",S9="",T9=""),0,IF(T9&lt;OBJECTIFS!$E$56,0,IF(T9&lt;OBJECTIFS!$G$56,U$8*OBJECTIFS!$F$60,IF(T9&lt;OBJECTIFS!$I$56,U$8*OBJECTIFS!$H$60,U$8)))),0)</f>
        <v>0</v>
      </c>
      <c r="V9" s="20"/>
      <c r="W9" s="72" t="str">
        <f>IF(OR($A9="",$D9="",V9=""),"",SUMIFS(OBJECTIFS!H$9:H$39,OBJECTIFS!$A$9:$A$39,$D9,OBJECTIFS!$C$9:$C$39,$F9))</f>
        <v/>
      </c>
      <c r="X9" s="72" t="str">
        <f>IF(OR(AND($D9=OBJECTIFS!$B$6,OBJECTIFS!H$8="dmt"),AND($D9=OBJECTIFS!$B$13,OBJECTIFS!$H$15="dmt"),AND($D9=OBJECTIFS!$B$20,OBJECTIFS!$H$22="dmt"),AND($D9=OBJECTIFS!$B$27,OBJECTIFS!$H$29="dmt"),AND($D9=OBJECTIFS!$B$34,OBJECTIFS!$H$36="dmt"),AND($D9=OBJECTIFS!$B$6,OBJECTIFS!$H$8="taux de chute"),AND($D9=OBJECTIFS!$B$13,OBJECTIFS!$H$15="taux de chute"),AND($D9=OBJECTIFS!$B$20,OBJECTIFS!$H$22="taux de chute"),AND($D9=OBJECTIFS!$B$27,OBJECTIFS!$H$29="taux de chute"),AND($D9=OBJECTIFS!$B$34,OBJECTIFS!$H$36="taux de chute")),IFERROR(W9/V9,""),IFERROR(V9/W9,""))</f>
        <v/>
      </c>
      <c r="Y9" s="73">
        <f>IFERROR(IF(OR(V9="",W9="",X9=""),0,IF(X9&lt;OBJECTIFS!$E$56,0,IF(X9&lt;OBJECTIFS!$G$56,Y$8*OBJECTIFS!$F$60,IF(X9&lt;OBJECTIFS!$I$56,Y$8*OBJECTIFS!$H$60,Y$8)))),0)</f>
        <v>0</v>
      </c>
      <c r="Z9" s="166"/>
      <c r="AA9" s="72" t="str">
        <f>IF(OR($A9="",$D9="",Z9=""),"",SUMIFS(OBJECTIFS!I$9:I$39,OBJECTIFS!$A$9:$A$39,$D9,OBJECTIFS!$C$9:$C$39,$F9))</f>
        <v/>
      </c>
      <c r="AB9" s="72" t="str">
        <f>IF(OR(AND($D9=OBJECTIFS!$B$6,OBJECTIFS!I$8="dmt"),AND($D9=OBJECTIFS!$B$13,OBJECTIFS!$I$15="dmt"),AND($D9=OBJECTIFS!$B$20,OBJECTIFS!$I$22="dmt"),AND($D9=OBJECTIFS!$B$27,OBJECTIFS!$I$29="dmt"),AND($D9=OBJECTIFS!$B$34,OBJECTIFS!$I$36="dmt"),AND($D9=OBJECTIFS!$B$6,OBJECTIFS!$I$8="taux de chute"),AND($D9=OBJECTIFS!$B$13,OBJECTIFS!$I$15="taux de chute"),AND($D9=OBJECTIFS!$B$20,OBJECTIFS!$I$22="taux de chute"),AND($D9=OBJECTIFS!$B$27,OBJECTIFS!$I$29="taux de chute"),AND($D9=OBJECTIFS!$B$34,OBJECTIFS!$I$36="taux de chute")),IFERROR(AA9/Z9,""),IFERROR(Z9/AA9,""))</f>
        <v/>
      </c>
      <c r="AC9" s="77">
        <f>IFERROR(IF(OR(Z9="",AA9="",AB9=""),0,IF(AB9&lt;OBJECTIFS!$E$56,0,IF(AB9&lt;OBJECTIFS!$G$56,AC$8*OBJECTIFS!$F$60,IF(AB9&lt;OBJECTIFS!$I$56,AC$8*OBJECTIFS!$H$60,AC$8)))),0)</f>
        <v>0</v>
      </c>
      <c r="AD9" s="302"/>
      <c r="AE9" s="303"/>
      <c r="AF9" s="78">
        <f ca="1">IF(AD9&gt;=1,0,SUMIF($J$7:$AC$8,"Nb de points",$J9:$AC9))</f>
        <v>0</v>
      </c>
      <c r="AG9" s="63"/>
      <c r="AH9" s="169"/>
      <c r="AI9" s="24"/>
      <c r="AJ9" s="24"/>
      <c r="AK9" s="24"/>
      <c r="AL9" s="24"/>
      <c r="AM9" s="79">
        <f>SUM(AK9:AL9,AI9)</f>
        <v>0</v>
      </c>
      <c r="AN9" s="171">
        <v>22</v>
      </c>
      <c r="AO9" s="80">
        <f>IFERROR(IF(IF(OR(AI9&gt;=2,AJ9&gt;=8,AND(AI9=1,AJ9&gt;=4)),0,IF(OR(AND(AI9=1,AJ9&lt;4),AND(AI9=0,AJ9&gt;=4,AJ9&lt;8)),50%,100%))*(AN9-AM9)/AN9=0,-100%,IF(OR(AI9&gt;=2,AJ9&gt;=8,AND(AI9=1,AJ9&gt;=4)),0,IF(OR(AND(AI9=1,AJ9&lt;4),AND(AI9=0,AJ9&gt;=4,AJ9&lt;8)),50%,100%))*(AN9-AM9)/AN9-1),"")</f>
        <v>0</v>
      </c>
      <c r="AP9" s="81" t="str">
        <f t="shared" ref="AP9:AP215" ca="1" si="0">IFERROR((H9*AF9/100)*(1+AO9),"")</f>
        <v/>
      </c>
      <c r="AQ9" s="82"/>
      <c r="AR9" s="83">
        <f>IFERROR(VLOOKUP(B9,OBJECTIFS!$C$76:$E$137,2,FALSE),0)</f>
        <v>0</v>
      </c>
      <c r="AS9" s="84">
        <f>IFERROR(VLOOKUP(B9,OBJECTIFS!$H$76:$J$137,2,FALSE),0)</f>
        <v>0</v>
      </c>
      <c r="AT9" s="84">
        <f>IFERROR(VLOOKUP(B9,OBJECTIFS!$C$142:$E$203,2,FALSE),0)</f>
        <v>0</v>
      </c>
      <c r="AU9" s="84">
        <f>IFERROR(VLOOKUP(B9,OBJECTIFS!$H$142:$J$203,2,FALSE),0)</f>
        <v>0</v>
      </c>
      <c r="AV9" s="84">
        <f>IFERROR(VLOOKUP(B9,OBJECTIFS!$F$208:$H$269,3,FALSE),0)</f>
        <v>0</v>
      </c>
      <c r="AW9" s="85">
        <f>IF($B$5="interne",IF($AR$6="prime de langue",IF(AH9&gt;=191,SUM(AS9:AV9,AR9/191*191),SUM(AS9:AV9,AR9/191*AH9)),IF($AS$6="prime de langue",IF(AH9&gt;=191,SUM(AR9,AT9,AU9,AV9,AS9/191*191),SUM(AR9,AT9,AU9,AV9,AS9/191*AH9)),IF($AT$6="prime de langue",IF(AH9&gt;=191,SUM(AR9,AS9,AU9,AV9,AT9/191*191),SUM(AR9,AS9,AU9,AV9,AT9/191*AH9)),IF($AU$6="prime de langue",IF(AH9&gt;=191,SUM(AR9,AT9,AV9,AS9,AU9/191*191),SUM(AR9,AT9,AV9,AS9,AU9/191*AH9)),SUM(AR9:AV9))))),IF($AR$6="prime de langue",IF(AH9&gt;=176,SUM(AS9:AV9,AR9/176*176),SUM(AS9:AV9,AR9/176*AH9)),IF($AS$6="prime de langue",IF(AH9&gt;=176,SUM(AR9,AT9,AU9,AV9,AS9/176*176),SUM(AR9,AT9,AU9,AV9,AS9/176*AH9)),IF($AT$6="prime de langue",IF(AH9&gt;=176,SUM(AR9,AS9,AU9,AV9,AT9/176*176),SUM(AR9,AS9,AU9,AV9,AT9/176*AH9)),IF($AU$6="prime de langue",IF(AH9&gt;=176,SUM(AR9,AT9,AV9,AS9,AU9/176*176),SUM(AR9,AT9,AV9,AS9,AU9/176*AH9)),SUM(AR9:AV9))))))</f>
        <v>0</v>
      </c>
      <c r="AX9" s="82"/>
      <c r="AY9" s="86" t="str">
        <f ca="1">IFERROR(((H9*AF9/100)*(1+AO9)+AW9),"")</f>
        <v/>
      </c>
      <c r="AZ9" s="63"/>
      <c r="BA9" s="87">
        <f ca="1">IFERROR(IF(OR(AI9&gt;=2,AJ9&gt;=8,AND(AI9=1,AJ9&gt;=4)),0,IF(OR(AND(AI9=1,AJ9&lt;4),AND(AI9=0,AJ9&gt;=4,AJ9&lt;8)),0.5,1))*AF9*(AN9-AM9)/AN9,"")</f>
        <v>0</v>
      </c>
      <c r="BB9" s="64" t="str">
        <f t="shared" ref="BB9:BB215" ca="1" si="1">IF(BC9="","","è")</f>
        <v/>
      </c>
      <c r="BC9" s="88" t="str">
        <f ca="1">IF(BA9=0,"",IF(BA9&gt;=MAX($BA$9:$BA$216),A9,""))</f>
        <v/>
      </c>
    </row>
    <row r="10" spans="1:55" x14ac:dyDescent="0.2">
      <c r="A10" s="21"/>
      <c r="B10" s="22"/>
      <c r="C10" s="22"/>
      <c r="D10" s="23"/>
      <c r="E10" s="24"/>
      <c r="F10" s="34"/>
      <c r="H10" s="89" t="str">
        <f>IF(OR(D10="",F10="",A10=""),"",IF(E10="oui",0,IF(D10=OBJECTIFS!$C$45,VLOOKUP(F10,OBJECTIFS!$C$9:$D$11,2,FALSE),IF(D10=OBJECTIFS!$C$46,VLOOKUP(F10,OBJECTIFS!$C$16:$D$18,2,FALSE),IF(D10=OBJECTIFS!$C$47,VLOOKUP(F10,OBJECTIFS!$C$23:$D$25,2,FALSE),IF(D10=OBJECTIFS!$C$48,VLOOKUP(F10,OBJECTIFS!$C$30:$D$32,2,FALSE),IF(D10=OBJECTIFS!$C$49,VLOOKUP(F10,OBJECTIFS!$C$37:$D$39,2,FALSE))))))))</f>
        <v/>
      </c>
      <c r="J10" s="25"/>
      <c r="K10" s="90" t="str">
        <f>IF(OR($A10="",$D10="",J10=""),"",SUMIFS(OBJECTIFS!E$9:E$39,OBJECTIFS!$A$9:$A$39,$D10,OBJECTIFS!$C$9:$C$39,$F10))</f>
        <v/>
      </c>
      <c r="L10" s="90" t="str">
        <f>IF(OR(AND($D10=OBJECTIFS!$B$6,OBJECTIFS!E$8="dmt"),AND($D10=OBJECTIFS!$B$13,OBJECTIFS!$E$15="dmt"),AND($D10=OBJECTIFS!$B$20,OBJECTIFS!$E$22="dmt"),AND($D10=OBJECTIFS!$B$27,OBJECTIFS!$E$29="dmt"),AND($D10=OBJECTIFS!$B$34,OBJECTIFS!$E$36="dmt"),AND($D10=OBJECTIFS!$B$6,OBJECTIFS!$E$8="taux de chute"),AND($D10=OBJECTIFS!$B$13,OBJECTIFS!$E$15="taux de chute"),AND($D10=OBJECTIFS!$B$20,OBJECTIFS!$E$22="taux de chute"),AND($D10=OBJECTIFS!$B$27,OBJECTIFS!$E$29="taux de chute"),AND($D10=OBJECTIFS!$B$34,OBJECTIFS!$E$36="taux de chute")),IFERROR(K10/J10,""),IFERROR(J10/K10,""))</f>
        <v/>
      </c>
      <c r="M10" s="91">
        <f>IFERROR(IF(OR(J10="",K10="",L10=""),0,IF(L10&lt;OBJECTIFS!$E$56,0,IF(L10&lt;OBJECTIFS!$G$56,M$8*OBJECTIFS!$F$60,IF(L10&lt;OBJECTIFS!$I$56,M$8*OBJECTIFS!$H$60,M$8)))),0)</f>
        <v>0</v>
      </c>
      <c r="N10" s="161"/>
      <c r="O10" s="92" t="str">
        <f>IF(OR($A10="",$D10="",N10=""),"",SUMIFS(OBJECTIFS!F$9:F$39,OBJECTIFS!$A$9:$A$39,$D10,OBJECTIFS!$C$9:$C$39,$F10))</f>
        <v/>
      </c>
      <c r="P10" s="90" t="str">
        <f>IF(OR(AND($D10=OBJECTIFS!$B$6,OBJECTIFS!$F$8="dmt"),AND($D10=OBJECTIFS!$B$13,OBJECTIFS!$F$15="dmt"),AND($D10=OBJECTIFS!$B$20,OBJECTIFS!$F$22="dmt"),AND($D10=OBJECTIFS!$B$27,OBJECTIFS!$F$29="dmt"),AND($D10=OBJECTIFS!$B$34,OBJECTIFS!$F$36="dmt"),AND($D10=OBJECTIFS!$B$6,OBJECTIFS!$F$8="taux de chute"),AND($D10=OBJECTIFS!$B$13,OBJECTIFS!$F$15="taux de chute"),AND($D10=OBJECTIFS!$B$20,OBJECTIFS!$F$22="taux de chute"),AND($D10=OBJECTIFS!$B$27,OBJECTIFS!$F$29="taux de chute"),AND($D10=OBJECTIFS!$B$34,OBJECTIFS!$F$36="taux de chute")),IFERROR(O10/N10,""),IFERROR(N10/O10,""))</f>
        <v/>
      </c>
      <c r="Q10" s="91">
        <f>IFERROR(IF(OR(N10="",O10="",P10=""),0,IF(P10&lt;OBJECTIFS!$E$56,0,IF(P10&lt;OBJECTIFS!$G$56,Q$8*OBJECTIFS!$F$60,IF(P10&lt;OBJECTIFS!$I$56,Q$8*OBJECTIFS!$H$60,Q$8)))),0)</f>
        <v>0</v>
      </c>
      <c r="R10" s="164"/>
      <c r="S10" s="93" t="str">
        <f>IF(OR($A10="",$D10="",R10=""),"",SUMIFS(OBJECTIFS!G$9:G$39,OBJECTIFS!$A$9:$A$39,$D10,OBJECTIFS!$C$9:$C$39,$F10))</f>
        <v/>
      </c>
      <c r="T10" s="90" t="str">
        <f>IF(OR(AND($D10=OBJECTIFS!$B$6,OBJECTIFS!G$8="dmt"),AND($D10=OBJECTIFS!$B$13,OBJECTIFS!$G$15="dmt"),AND($D10=OBJECTIFS!$B$20,OBJECTIFS!$G$22="dmt"),AND($D10=OBJECTIFS!$B$27,OBJECTIFS!$G$29="dmt"),AND($D10=OBJECTIFS!$B$34,OBJECTIFS!$G$36="dmt"),AND($D10=OBJECTIFS!$B$6,OBJECTIFS!$G$8="taux de chute"),AND($D10=OBJECTIFS!$B$13,OBJECTIFS!$G$15="taux de chute"),AND($D10=OBJECTIFS!$B$20,OBJECTIFS!$G$22="taux de chute"),AND($D10=OBJECTIFS!$B$27,OBJECTIFS!$G$29="taux de chute"),AND($D10=OBJECTIFS!$B$34,OBJECTIFS!$G$36="taux de chute")),IFERROR(S10/R10,""),IFERROR(R10/S10,""))</f>
        <v/>
      </c>
      <c r="U10" s="94">
        <f>IFERROR(IF(OR(R10="",S10="",T10=""),0,IF(T10&lt;OBJECTIFS!$E$56,0,IF(T10&lt;OBJECTIFS!$G$56,U$8*OBJECTIFS!$F$60,IF(T10&lt;OBJECTIFS!$I$56,U$8*OBJECTIFS!$H$60,U$8)))),0)</f>
        <v>0</v>
      </c>
      <c r="V10" s="25"/>
      <c r="W10" s="90" t="str">
        <f>IF(OR($A10="",$D10="",V10=""),"",SUMIFS(OBJECTIFS!H$9:H$39,OBJECTIFS!$A$9:$A$39,$D10,OBJECTIFS!$C$9:$C$39,$F10))</f>
        <v/>
      </c>
      <c r="X10" s="90" t="str">
        <f>IF(OR(AND($D10=OBJECTIFS!$B$6,OBJECTIFS!H$8="dmt"),AND($D10=OBJECTIFS!$B$13,OBJECTIFS!$H$15="dmt"),AND($D10=OBJECTIFS!$B$20,OBJECTIFS!$H$22="dmt"),AND($D10=OBJECTIFS!$B$27,OBJECTIFS!$H$29="dmt"),AND($D10=OBJECTIFS!$B$34,OBJECTIFS!$H$36="dmt"),AND($D10=OBJECTIFS!$B$6,OBJECTIFS!$H$8="taux de chute"),AND($D10=OBJECTIFS!$B$13,OBJECTIFS!$H$15="taux de chute"),AND($D10=OBJECTIFS!$B$20,OBJECTIFS!$H$22="taux de chute"),AND($D10=OBJECTIFS!$B$27,OBJECTIFS!$H$29="taux de chute"),AND($D10=OBJECTIFS!$B$34,OBJECTIFS!$H$36="taux de chute")),IFERROR(W10/V10,""),IFERROR(V10/W10,""))</f>
        <v/>
      </c>
      <c r="Y10" s="91">
        <f>IFERROR(IF(OR(V10="",W10="",X10=""),0,IF(X10&lt;OBJECTIFS!$E$56,0,IF(X10&lt;OBJECTIFS!$G$56,Y$8*OBJECTIFS!$F$60,IF(X10&lt;OBJECTIFS!$I$56,Y$8*OBJECTIFS!$H$60,Y$8)))),0)</f>
        <v>0</v>
      </c>
      <c r="Z10" s="167"/>
      <c r="AA10" s="90" t="str">
        <f>IF(OR($A10="",$D10="",Z10=""),"",SUMIFS(OBJECTIFS!I$9:I$39,OBJECTIFS!$A$9:$A$39,$D10,OBJECTIFS!$C$9:$C$39,$F10))</f>
        <v/>
      </c>
      <c r="AB10" s="90" t="str">
        <f>IF(OR(AND($D10=OBJECTIFS!$B$6,OBJECTIFS!I$8="dmt"),AND($D10=OBJECTIFS!$B$13,OBJECTIFS!$I$15="dmt"),AND($D10=OBJECTIFS!$B$20,OBJECTIFS!$I$22="dmt"),AND($D10=OBJECTIFS!$B$27,OBJECTIFS!$I$29="dmt"),AND($D10=OBJECTIFS!$B$34,OBJECTIFS!$I$36="dmt"),AND($D10=OBJECTIFS!$B$6,OBJECTIFS!$I$8="taux de chute"),AND($D10=OBJECTIFS!$B$13,OBJECTIFS!$I$15="taux de chute"),AND($D10=OBJECTIFS!$B$20,OBJECTIFS!$I$22="taux de chute"),AND($D10=OBJECTIFS!$B$27,OBJECTIFS!$I$29="taux de chute"),AND($D10=OBJECTIFS!$B$34,OBJECTIFS!$I$36="taux de chute")),IFERROR(AA10/Z10,""),IFERROR(Z10/AA10,""))</f>
        <v/>
      </c>
      <c r="AC10" s="95">
        <f>IFERROR(IF(OR(Z10="",AA10="",AB10=""),0,IF(AB10&lt;OBJECTIFS!$E$56,0,IF(AB10&lt;OBJECTIFS!$G$56,AC$8*OBJECTIFS!$F$60,IF(AB10&lt;OBJECTIFS!$I$56,AC$8*OBJECTIFS!$H$60,AC$8)))),0)</f>
        <v>0</v>
      </c>
      <c r="AD10" s="281"/>
      <c r="AE10" s="282"/>
      <c r="AF10" s="96">
        <f t="shared" ref="AF10:AF149" ca="1" si="2">IF(AD10&gt;=1,0,SUMIF($J$7:$AC$8,"Nb de points",$J10:$AC10))</f>
        <v>0</v>
      </c>
      <c r="AG10" s="63"/>
      <c r="AH10" s="169"/>
      <c r="AI10" s="24"/>
      <c r="AJ10" s="24"/>
      <c r="AK10" s="24"/>
      <c r="AL10" s="24"/>
      <c r="AM10" s="79">
        <f t="shared" ref="AM10:AM149" si="3">SUM(AK10:AL10,AI10)</f>
        <v>0</v>
      </c>
      <c r="AN10" s="79">
        <v>22</v>
      </c>
      <c r="AO10" s="80">
        <f t="shared" ref="AO10:AO149" si="4">IFERROR(IF(IF(OR(AI10&gt;=2,AJ10&gt;=8,AND(AI10=1,AJ10&gt;=4)),0,IF(OR(AND(AI10=1,AJ10&lt;4),AND(AI10=0,AJ10&gt;=4,AJ10&lt;8)),50%,100%))*(AN10-AM10)/AN10=0,-100%,IF(OR(AI10&gt;=2,AJ10&gt;=8,AND(AI10=1,AJ10&gt;=4)),0,IF(OR(AND(AI10=1,AJ10&lt;4),AND(AI10=0,AJ10&gt;=4,AJ10&lt;8)),50%,100%))*(AN10-AM10)/AN10-1),"")</f>
        <v>0</v>
      </c>
      <c r="AP10" s="81" t="str">
        <f t="shared" ref="AP10:AP149" ca="1" si="5">IFERROR((H10*AF10/100)*(1+AO10),"")</f>
        <v/>
      </c>
      <c r="AQ10" s="82"/>
      <c r="AR10" s="97">
        <f>IFERROR(VLOOKUP(B10,OBJECTIFS!$C$76:$E$137,2,FALSE),0)</f>
        <v>0</v>
      </c>
      <c r="AS10" s="98">
        <f>IFERROR(VLOOKUP(B10,OBJECTIFS!$H$76:$J$137,2,FALSE),0)</f>
        <v>0</v>
      </c>
      <c r="AT10" s="98">
        <f>IFERROR(VLOOKUP(B10,OBJECTIFS!$C$142:$E$203,2,FALSE),0)</f>
        <v>0</v>
      </c>
      <c r="AU10" s="98">
        <f>IFERROR(VLOOKUP(B10,OBJECTIFS!$H$142:$J$203,2,FALSE),0)</f>
        <v>0</v>
      </c>
      <c r="AV10" s="98">
        <f>IFERROR(VLOOKUP(B10,OBJECTIFS!$F$208:$H$269,3,FALSE),0)</f>
        <v>0</v>
      </c>
      <c r="AW10" s="81">
        <f t="shared" ref="AW10:AW149" si="6">IF($B$5="interne",IF($AR$6="prime de langue",IF(AH10&gt;=191,SUM(AS10:AV10,AR10/191*191),SUM(AS10:AV10,AR10/191*AH10)),IF($AS$6="prime de langue",IF(AH10&gt;=191,SUM(AR10,AT10,AU10,AV10,AS10/191*191),SUM(AR10,AT10,AU10,AV10,AS10/191*AH10)),IF($AT$6="prime de langue",IF(AH10&gt;=191,SUM(AR10,AS10,AU10,AV10,AT10/191*191),SUM(AR10,AS10,AU10,AV10,AT10/191*AH10)),IF($AU$6="prime de langue",IF(AH10&gt;=191,SUM(AR10,AT10,AV10,AS10,AU10/191*191),SUM(AR10,AT10,AV10,AS10,AU10/191*AH10)),SUM(AR10:AV10))))),IF($AR$6="prime de langue",IF(AH10&gt;=176,SUM(AS10:AV10,AR10/176*176),SUM(AS10:AV10,AR10/176*AH10)),IF($AS$6="prime de langue",IF(AH10&gt;=176,SUM(AR10,AT10,AU10,AV10,AS10/176*176),SUM(AR10,AT10,AU10,AV10,AS10/176*AH10)),IF($AT$6="prime de langue",IF(AH10&gt;=176,SUM(AR10,AS10,AU10,AV10,AT10/176*176),SUM(AR10,AS10,AU10,AV10,AT10/176*AH10)),IF($AU$6="prime de langue",IF(AH10&gt;=176,SUM(AR10,AT10,AV10,AS10,AU10/176*176),SUM(AR10,AT10,AV10,AS10,AU10/176*AH10)),SUM(AR10:AV10))))))</f>
        <v>0</v>
      </c>
      <c r="AX10" s="82"/>
      <c r="AY10" s="99" t="str">
        <f t="shared" ref="AY10:AY149" ca="1" si="7">IFERROR(((H10*AF10/100)*(1+AO10)+AW10),"")</f>
        <v/>
      </c>
      <c r="AZ10" s="63"/>
      <c r="BA10" s="100">
        <f t="shared" ref="BA10:BA149" ca="1" si="8">IFERROR(IF(OR(AI10&gt;=2,AJ10&gt;=8,AND(AI10=1,AJ10&gt;=4)),0,IF(OR(AND(AI10=1,AJ10&lt;4),AND(AI10=0,AJ10&gt;=4,AJ10&lt;8)),0.5,1))*AF10*(AN10-AM10)/AN10,"")</f>
        <v>0</v>
      </c>
      <c r="BB10" s="64" t="str">
        <f t="shared" ref="BB10:BB149" ca="1" si="9">IF(BC10="","","è")</f>
        <v/>
      </c>
      <c r="BC10" s="101" t="str">
        <f t="shared" ref="BC10:BC149" ca="1" si="10">IF(BA10=0,"",IF(BA10&gt;=MAX($BA$9:$BA$216),A10,""))</f>
        <v/>
      </c>
    </row>
    <row r="11" spans="1:55" x14ac:dyDescent="0.2">
      <c r="A11" s="21"/>
      <c r="B11" s="22"/>
      <c r="C11" s="22"/>
      <c r="D11" s="23"/>
      <c r="E11" s="24"/>
      <c r="F11" s="34"/>
      <c r="H11" s="89" t="str">
        <f>IF(OR(D11="",F11="",A11=""),"",IF(E11="oui",0,IF(D11=OBJECTIFS!$C$45,VLOOKUP(F11,OBJECTIFS!$C$9:$D$11,2,FALSE),IF(D11=OBJECTIFS!$C$46,VLOOKUP(F11,OBJECTIFS!$C$16:$D$18,2,FALSE),IF(D11=OBJECTIFS!$C$47,VLOOKUP(F11,OBJECTIFS!$C$23:$D$25,2,FALSE),IF(D11=OBJECTIFS!$C$48,VLOOKUP(F11,OBJECTIFS!$C$30:$D$32,2,FALSE),IF(D11=OBJECTIFS!$C$49,VLOOKUP(F11,OBJECTIFS!$C$37:$D$39,2,FALSE))))))))</f>
        <v/>
      </c>
      <c r="J11" s="25"/>
      <c r="K11" s="90" t="str">
        <f>IF(OR($A11="",$D11="",J11=""),"",SUMIFS(OBJECTIFS!E$9:E$39,OBJECTIFS!$A$9:$A$39,$D11,OBJECTIFS!$C$9:$C$39,$F11))</f>
        <v/>
      </c>
      <c r="L11" s="90" t="str">
        <f>IF(OR(AND($D11=OBJECTIFS!$B$6,OBJECTIFS!E$8="dmt"),AND($D11=OBJECTIFS!$B$13,OBJECTIFS!$E$15="dmt"),AND($D11=OBJECTIFS!$B$20,OBJECTIFS!$E$22="dmt"),AND($D11=OBJECTIFS!$B$27,OBJECTIFS!$E$29="dmt"),AND($D11=OBJECTIFS!$B$34,OBJECTIFS!$E$36="dmt"),AND($D11=OBJECTIFS!$B$6,OBJECTIFS!$E$8="taux de chute"),AND($D11=OBJECTIFS!$B$13,OBJECTIFS!$E$15="taux de chute"),AND($D11=OBJECTIFS!$B$20,OBJECTIFS!$E$22="taux de chute"),AND($D11=OBJECTIFS!$B$27,OBJECTIFS!$E$29="taux de chute"),AND($D11=OBJECTIFS!$B$34,OBJECTIFS!$E$36="taux de chute")),IFERROR(K11/J11,""),IFERROR(J11/K11,""))</f>
        <v/>
      </c>
      <c r="M11" s="91">
        <f>IFERROR(IF(OR(J11="",K11="",L11=""),0,IF(L11&lt;OBJECTIFS!$E$56,0,IF(L11&lt;OBJECTIFS!$G$56,M$8*OBJECTIFS!$F$60,IF(L11&lt;OBJECTIFS!$I$56,M$8*OBJECTIFS!$H$60,M$8)))),0)</f>
        <v>0</v>
      </c>
      <c r="N11" s="161"/>
      <c r="O11" s="92" t="str">
        <f>IF(OR($A11="",$D11="",N11=""),"",SUMIFS(OBJECTIFS!F$9:F$39,OBJECTIFS!$A$9:$A$39,$D11,OBJECTIFS!$C$9:$C$39,$F11))</f>
        <v/>
      </c>
      <c r="P11" s="90" t="str">
        <f>IF(OR(AND($D11=OBJECTIFS!$B$6,OBJECTIFS!$F$8="dmt"),AND($D11=OBJECTIFS!$B$13,OBJECTIFS!$F$15="dmt"),AND($D11=OBJECTIFS!$B$20,OBJECTIFS!$F$22="dmt"),AND($D11=OBJECTIFS!$B$27,OBJECTIFS!$F$29="dmt"),AND($D11=OBJECTIFS!$B$34,OBJECTIFS!$F$36="dmt"),AND($D11=OBJECTIFS!$B$6,OBJECTIFS!$F$8="taux de chute"),AND($D11=OBJECTIFS!$B$13,OBJECTIFS!$F$15="taux de chute"),AND($D11=OBJECTIFS!$B$20,OBJECTIFS!$F$22="taux de chute"),AND($D11=OBJECTIFS!$B$27,OBJECTIFS!$F$29="taux de chute"),AND($D11=OBJECTIFS!$B$34,OBJECTIFS!$F$36="taux de chute")),IFERROR(O11/N11,""),IFERROR(N11/O11,""))</f>
        <v/>
      </c>
      <c r="Q11" s="91">
        <f>IFERROR(IF(OR(N11="",O11="",P11=""),0,IF(P11&lt;OBJECTIFS!$E$56,0,IF(P11&lt;OBJECTIFS!$G$56,Q$8*OBJECTIFS!$F$60,IF(P11&lt;OBJECTIFS!$I$56,Q$8*OBJECTIFS!$H$60,Q$8)))),0)</f>
        <v>0</v>
      </c>
      <c r="R11" s="164"/>
      <c r="S11" s="93" t="str">
        <f>IF(OR($A11="",$D11="",R11=""),"",SUMIFS(OBJECTIFS!G$9:G$39,OBJECTIFS!$A$9:$A$39,$D11,OBJECTIFS!$C$9:$C$39,$F11))</f>
        <v/>
      </c>
      <c r="T11" s="90" t="str">
        <f>IF(OR(AND($D11=OBJECTIFS!$B$6,OBJECTIFS!G$8="dmt"),AND($D11=OBJECTIFS!$B$13,OBJECTIFS!$G$15="dmt"),AND($D11=OBJECTIFS!$B$20,OBJECTIFS!$G$22="dmt"),AND($D11=OBJECTIFS!$B$27,OBJECTIFS!$G$29="dmt"),AND($D11=OBJECTIFS!$B$34,OBJECTIFS!$G$36="dmt"),AND($D11=OBJECTIFS!$B$6,OBJECTIFS!$G$8="taux de chute"),AND($D11=OBJECTIFS!$B$13,OBJECTIFS!$G$15="taux de chute"),AND($D11=OBJECTIFS!$B$20,OBJECTIFS!$G$22="taux de chute"),AND($D11=OBJECTIFS!$B$27,OBJECTIFS!$G$29="taux de chute"),AND($D11=OBJECTIFS!$B$34,OBJECTIFS!$G$36="taux de chute")),IFERROR(S11/R11,""),IFERROR(R11/S11,""))</f>
        <v/>
      </c>
      <c r="U11" s="94">
        <f>IFERROR(IF(OR(R11="",S11="",T11=""),0,IF(T11&lt;OBJECTIFS!$E$56,0,IF(T11&lt;OBJECTIFS!$G$56,U$8*OBJECTIFS!$F$60,IF(T11&lt;OBJECTIFS!$I$56,U$8*OBJECTIFS!$H$60,U$8)))),0)</f>
        <v>0</v>
      </c>
      <c r="V11" s="25"/>
      <c r="W11" s="90" t="str">
        <f>IF(OR($A11="",$D11="",V11=""),"",SUMIFS(OBJECTIFS!H$9:H$39,OBJECTIFS!$A$9:$A$39,$D11,OBJECTIFS!$C$9:$C$39,$F11))</f>
        <v/>
      </c>
      <c r="X11" s="90" t="str">
        <f>IF(OR(AND($D11=OBJECTIFS!$B$6,OBJECTIFS!H$8="dmt"),AND($D11=OBJECTIFS!$B$13,OBJECTIFS!$H$15="dmt"),AND($D11=OBJECTIFS!$B$20,OBJECTIFS!$H$22="dmt"),AND($D11=OBJECTIFS!$B$27,OBJECTIFS!$H$29="dmt"),AND($D11=OBJECTIFS!$B$34,OBJECTIFS!$H$36="dmt"),AND($D11=OBJECTIFS!$B$6,OBJECTIFS!$H$8="taux de chute"),AND($D11=OBJECTIFS!$B$13,OBJECTIFS!$H$15="taux de chute"),AND($D11=OBJECTIFS!$B$20,OBJECTIFS!$H$22="taux de chute"),AND($D11=OBJECTIFS!$B$27,OBJECTIFS!$H$29="taux de chute"),AND($D11=OBJECTIFS!$B$34,OBJECTIFS!$H$36="taux de chute")),IFERROR(W11/V11,""),IFERROR(V11/W11,""))</f>
        <v/>
      </c>
      <c r="Y11" s="91">
        <f>IFERROR(IF(OR(V11="",W11="",X11=""),0,IF(X11&lt;OBJECTIFS!$E$56,0,IF(X11&lt;OBJECTIFS!$G$56,Y$8*OBJECTIFS!$F$60,IF(X11&lt;OBJECTIFS!$I$56,Y$8*OBJECTIFS!$H$60,Y$8)))),0)</f>
        <v>0</v>
      </c>
      <c r="Z11" s="167"/>
      <c r="AA11" s="90" t="str">
        <f>IF(OR($A11="",$D11="",Z11=""),"",SUMIFS(OBJECTIFS!I$9:I$39,OBJECTIFS!$A$9:$A$39,$D11,OBJECTIFS!$C$9:$C$39,$F11))</f>
        <v/>
      </c>
      <c r="AB11" s="90" t="str">
        <f>IF(OR(AND($D11=OBJECTIFS!$B$6,OBJECTIFS!I$8="dmt"),AND($D11=OBJECTIFS!$B$13,OBJECTIFS!$I$15="dmt"),AND($D11=OBJECTIFS!$B$20,OBJECTIFS!$I$22="dmt"),AND($D11=OBJECTIFS!$B$27,OBJECTIFS!$I$29="dmt"),AND($D11=OBJECTIFS!$B$34,OBJECTIFS!$I$36="dmt"),AND($D11=OBJECTIFS!$B$6,OBJECTIFS!$I$8="taux de chute"),AND($D11=OBJECTIFS!$B$13,OBJECTIFS!$I$15="taux de chute"),AND($D11=OBJECTIFS!$B$20,OBJECTIFS!$I$22="taux de chute"),AND($D11=OBJECTIFS!$B$27,OBJECTIFS!$I$29="taux de chute"),AND($D11=OBJECTIFS!$B$34,OBJECTIFS!$I$36="taux de chute")),IFERROR(AA11/Z11,""),IFERROR(Z11/AA11,""))</f>
        <v/>
      </c>
      <c r="AC11" s="95">
        <f>IFERROR(IF(OR(Z11="",AA11="",AB11=""),0,IF(AB11&lt;OBJECTIFS!$E$56,0,IF(AB11&lt;OBJECTIFS!$G$56,AC$8*OBJECTIFS!$F$60,IF(AB11&lt;OBJECTIFS!$I$56,AC$8*OBJECTIFS!$H$60,AC$8)))),0)</f>
        <v>0</v>
      </c>
      <c r="AD11" s="281"/>
      <c r="AE11" s="282"/>
      <c r="AF11" s="96">
        <f t="shared" ca="1" si="2"/>
        <v>0</v>
      </c>
      <c r="AG11" s="63"/>
      <c r="AH11" s="169"/>
      <c r="AI11" s="24"/>
      <c r="AJ11" s="24"/>
      <c r="AK11" s="24"/>
      <c r="AL11" s="24"/>
      <c r="AM11" s="79">
        <f t="shared" si="3"/>
        <v>0</v>
      </c>
      <c r="AN11" s="79">
        <v>22</v>
      </c>
      <c r="AO11" s="80">
        <f t="shared" si="4"/>
        <v>0</v>
      </c>
      <c r="AP11" s="81" t="str">
        <f t="shared" ca="1" si="5"/>
        <v/>
      </c>
      <c r="AQ11" s="82"/>
      <c r="AR11" s="97">
        <f>IFERROR(VLOOKUP(B11,OBJECTIFS!$C$76:$E$137,2,FALSE),0)</f>
        <v>0</v>
      </c>
      <c r="AS11" s="98">
        <f>IFERROR(VLOOKUP(B11,OBJECTIFS!$H$76:$J$137,2,FALSE),0)</f>
        <v>0</v>
      </c>
      <c r="AT11" s="98">
        <f>IFERROR(VLOOKUP(B11,OBJECTIFS!$C$142:$E$203,2,FALSE),0)</f>
        <v>0</v>
      </c>
      <c r="AU11" s="98">
        <f>IFERROR(VLOOKUP(B11,OBJECTIFS!$H$142:$J$203,2,FALSE),0)</f>
        <v>0</v>
      </c>
      <c r="AV11" s="98">
        <f>IFERROR(VLOOKUP(B11,OBJECTIFS!$F$208:$H$269,3,FALSE),0)</f>
        <v>0</v>
      </c>
      <c r="AW11" s="81">
        <f t="shared" si="6"/>
        <v>0</v>
      </c>
      <c r="AX11" s="82"/>
      <c r="AY11" s="99" t="str">
        <f t="shared" ca="1" si="7"/>
        <v/>
      </c>
      <c r="AZ11" s="63"/>
      <c r="BA11" s="100">
        <f t="shared" ca="1" si="8"/>
        <v>0</v>
      </c>
      <c r="BB11" s="64" t="str">
        <f t="shared" ca="1" si="9"/>
        <v/>
      </c>
      <c r="BC11" s="101" t="str">
        <f t="shared" ca="1" si="10"/>
        <v/>
      </c>
    </row>
    <row r="12" spans="1:55" x14ac:dyDescent="0.2">
      <c r="A12" s="21"/>
      <c r="B12" s="22"/>
      <c r="C12" s="22"/>
      <c r="D12" s="23"/>
      <c r="E12" s="24"/>
      <c r="F12" s="34"/>
      <c r="H12" s="89" t="str">
        <f>IF(OR(D12="",F12="",A12=""),"",IF(E12="oui",0,IF(D12=OBJECTIFS!$C$45,VLOOKUP(F12,OBJECTIFS!$C$9:$D$11,2,FALSE),IF(D12=OBJECTIFS!$C$46,VLOOKUP(F12,OBJECTIFS!$C$16:$D$18,2,FALSE),IF(D12=OBJECTIFS!$C$47,VLOOKUP(F12,OBJECTIFS!$C$23:$D$25,2,FALSE),IF(D12=OBJECTIFS!$C$48,VLOOKUP(F12,OBJECTIFS!$C$30:$D$32,2,FALSE),IF(D12=OBJECTIFS!$C$49,VLOOKUP(F12,OBJECTIFS!$C$37:$D$39,2,FALSE))))))))</f>
        <v/>
      </c>
      <c r="J12" s="25"/>
      <c r="K12" s="90" t="str">
        <f>IF(OR($A12="",$D12="",J12=""),"",SUMIFS(OBJECTIFS!E$9:E$39,OBJECTIFS!$A$9:$A$39,$D12,OBJECTIFS!$C$9:$C$39,$F12))</f>
        <v/>
      </c>
      <c r="L12" s="90" t="str">
        <f>IF(OR(AND($D12=OBJECTIFS!$B$6,OBJECTIFS!E$8="dmt"),AND($D12=OBJECTIFS!$B$13,OBJECTIFS!$E$15="dmt"),AND($D12=OBJECTIFS!$B$20,OBJECTIFS!$E$22="dmt"),AND($D12=OBJECTIFS!$B$27,OBJECTIFS!$E$29="dmt"),AND($D12=OBJECTIFS!$B$34,OBJECTIFS!$E$36="dmt"),AND($D12=OBJECTIFS!$B$6,OBJECTIFS!$E$8="taux de chute"),AND($D12=OBJECTIFS!$B$13,OBJECTIFS!$E$15="taux de chute"),AND($D12=OBJECTIFS!$B$20,OBJECTIFS!$E$22="taux de chute"),AND($D12=OBJECTIFS!$B$27,OBJECTIFS!$E$29="taux de chute"),AND($D12=OBJECTIFS!$B$34,OBJECTIFS!$E$36="taux de chute")),IFERROR(K12/J12,""),IFERROR(J12/K12,""))</f>
        <v/>
      </c>
      <c r="M12" s="91">
        <f>IFERROR(IF(OR(J12="",K12="",L12=""),0,IF(L12&lt;OBJECTIFS!$E$56,0,IF(L12&lt;OBJECTIFS!$G$56,M$8*OBJECTIFS!$F$60,IF(L12&lt;OBJECTIFS!$I$56,M$8*OBJECTIFS!$H$60,M$8)))),0)</f>
        <v>0</v>
      </c>
      <c r="N12" s="161"/>
      <c r="O12" s="92" t="str">
        <f>IF(OR($A12="",$D12="",N12=""),"",SUMIFS(OBJECTIFS!F$9:F$39,OBJECTIFS!$A$9:$A$39,$D12,OBJECTIFS!$C$9:$C$39,$F12))</f>
        <v/>
      </c>
      <c r="P12" s="90" t="str">
        <f>IF(OR(AND($D12=OBJECTIFS!$B$6,OBJECTIFS!$F$8="dmt"),AND($D12=OBJECTIFS!$B$13,OBJECTIFS!$F$15="dmt"),AND($D12=OBJECTIFS!$B$20,OBJECTIFS!$F$22="dmt"),AND($D12=OBJECTIFS!$B$27,OBJECTIFS!$F$29="dmt"),AND($D12=OBJECTIFS!$B$34,OBJECTIFS!$F$36="dmt"),AND($D12=OBJECTIFS!$B$6,OBJECTIFS!$F$8="taux de chute"),AND($D12=OBJECTIFS!$B$13,OBJECTIFS!$F$15="taux de chute"),AND($D12=OBJECTIFS!$B$20,OBJECTIFS!$F$22="taux de chute"),AND($D12=OBJECTIFS!$B$27,OBJECTIFS!$F$29="taux de chute"),AND($D12=OBJECTIFS!$B$34,OBJECTIFS!$F$36="taux de chute")),IFERROR(O12/N12,""),IFERROR(N12/O12,""))</f>
        <v/>
      </c>
      <c r="Q12" s="91">
        <f>IFERROR(IF(OR(N12="",O12="",P12=""),0,IF(P12&lt;OBJECTIFS!$E$56,0,IF(P12&lt;OBJECTIFS!$G$56,Q$8*OBJECTIFS!$F$60,IF(P12&lt;OBJECTIFS!$I$56,Q$8*OBJECTIFS!$H$60,Q$8)))),0)</f>
        <v>0</v>
      </c>
      <c r="R12" s="164"/>
      <c r="S12" s="93" t="str">
        <f>IF(OR($A12="",$D12="",R12=""),"",SUMIFS(OBJECTIFS!G$9:G$39,OBJECTIFS!$A$9:$A$39,$D12,OBJECTIFS!$C$9:$C$39,$F12))</f>
        <v/>
      </c>
      <c r="T12" s="90" t="str">
        <f>IF(OR(AND($D12=OBJECTIFS!$B$6,OBJECTIFS!G$8="dmt"),AND($D12=OBJECTIFS!$B$13,OBJECTIFS!$G$15="dmt"),AND($D12=OBJECTIFS!$B$20,OBJECTIFS!$G$22="dmt"),AND($D12=OBJECTIFS!$B$27,OBJECTIFS!$G$29="dmt"),AND($D12=OBJECTIFS!$B$34,OBJECTIFS!$G$36="dmt"),AND($D12=OBJECTIFS!$B$6,OBJECTIFS!$G$8="taux de chute"),AND($D12=OBJECTIFS!$B$13,OBJECTIFS!$G$15="taux de chute"),AND($D12=OBJECTIFS!$B$20,OBJECTIFS!$G$22="taux de chute"),AND($D12=OBJECTIFS!$B$27,OBJECTIFS!$G$29="taux de chute"),AND($D12=OBJECTIFS!$B$34,OBJECTIFS!$G$36="taux de chute")),IFERROR(S12/R12,""),IFERROR(R12/S12,""))</f>
        <v/>
      </c>
      <c r="U12" s="94">
        <f>IFERROR(IF(OR(R12="",S12="",T12=""),0,IF(T12&lt;OBJECTIFS!$E$56,0,IF(T12&lt;OBJECTIFS!$G$56,U$8*OBJECTIFS!$F$60,IF(T12&lt;OBJECTIFS!$I$56,U$8*OBJECTIFS!$H$60,U$8)))),0)</f>
        <v>0</v>
      </c>
      <c r="V12" s="25"/>
      <c r="W12" s="90" t="str">
        <f>IF(OR($A12="",$D12="",V12=""),"",SUMIFS(OBJECTIFS!H$9:H$39,OBJECTIFS!$A$9:$A$39,$D12,OBJECTIFS!$C$9:$C$39,$F12))</f>
        <v/>
      </c>
      <c r="X12" s="90" t="str">
        <f>IF(OR(AND($D12=OBJECTIFS!$B$6,OBJECTIFS!H$8="dmt"),AND($D12=OBJECTIFS!$B$13,OBJECTIFS!$H$15="dmt"),AND($D12=OBJECTIFS!$B$20,OBJECTIFS!$H$22="dmt"),AND($D12=OBJECTIFS!$B$27,OBJECTIFS!$H$29="dmt"),AND($D12=OBJECTIFS!$B$34,OBJECTIFS!$H$36="dmt"),AND($D12=OBJECTIFS!$B$6,OBJECTIFS!$H$8="taux de chute"),AND($D12=OBJECTIFS!$B$13,OBJECTIFS!$H$15="taux de chute"),AND($D12=OBJECTIFS!$B$20,OBJECTIFS!$H$22="taux de chute"),AND($D12=OBJECTIFS!$B$27,OBJECTIFS!$H$29="taux de chute"),AND($D12=OBJECTIFS!$B$34,OBJECTIFS!$H$36="taux de chute")),IFERROR(W12/V12,""),IFERROR(V12/W12,""))</f>
        <v/>
      </c>
      <c r="Y12" s="91">
        <f>IFERROR(IF(OR(V12="",W12="",X12=""),0,IF(X12&lt;OBJECTIFS!$E$56,0,IF(X12&lt;OBJECTIFS!$G$56,Y$8*OBJECTIFS!$F$60,IF(X12&lt;OBJECTIFS!$I$56,Y$8*OBJECTIFS!$H$60,Y$8)))),0)</f>
        <v>0</v>
      </c>
      <c r="Z12" s="167"/>
      <c r="AA12" s="90" t="str">
        <f>IF(OR($A12="",$D12="",Z12=""),"",SUMIFS(OBJECTIFS!I$9:I$39,OBJECTIFS!$A$9:$A$39,$D12,OBJECTIFS!$C$9:$C$39,$F12))</f>
        <v/>
      </c>
      <c r="AB12" s="90" t="str">
        <f>IF(OR(AND($D12=OBJECTIFS!$B$6,OBJECTIFS!I$8="dmt"),AND($D12=OBJECTIFS!$B$13,OBJECTIFS!$I$15="dmt"),AND($D12=OBJECTIFS!$B$20,OBJECTIFS!$I$22="dmt"),AND($D12=OBJECTIFS!$B$27,OBJECTIFS!$I$29="dmt"),AND($D12=OBJECTIFS!$B$34,OBJECTIFS!$I$36="dmt"),AND($D12=OBJECTIFS!$B$6,OBJECTIFS!$I$8="taux de chute"),AND($D12=OBJECTIFS!$B$13,OBJECTIFS!$I$15="taux de chute"),AND($D12=OBJECTIFS!$B$20,OBJECTIFS!$I$22="taux de chute"),AND($D12=OBJECTIFS!$B$27,OBJECTIFS!$I$29="taux de chute"),AND($D12=OBJECTIFS!$B$34,OBJECTIFS!$I$36="taux de chute")),IFERROR(AA12/Z12,""),IFERROR(Z12/AA12,""))</f>
        <v/>
      </c>
      <c r="AC12" s="95">
        <f>IFERROR(IF(OR(Z12="",AA12="",AB12=""),0,IF(AB12&lt;OBJECTIFS!$E$56,0,IF(AB12&lt;OBJECTIFS!$G$56,AC$8*OBJECTIFS!$F$60,IF(AB12&lt;OBJECTIFS!$I$56,AC$8*OBJECTIFS!$H$60,AC$8)))),0)</f>
        <v>0</v>
      </c>
      <c r="AD12" s="281"/>
      <c r="AE12" s="282"/>
      <c r="AF12" s="96">
        <f t="shared" ca="1" si="2"/>
        <v>0</v>
      </c>
      <c r="AG12" s="63"/>
      <c r="AH12" s="169"/>
      <c r="AI12" s="24"/>
      <c r="AJ12" s="24"/>
      <c r="AK12" s="24"/>
      <c r="AL12" s="24"/>
      <c r="AM12" s="79">
        <f t="shared" si="3"/>
        <v>0</v>
      </c>
      <c r="AN12" s="79">
        <v>22</v>
      </c>
      <c r="AO12" s="80">
        <f t="shared" si="4"/>
        <v>0</v>
      </c>
      <c r="AP12" s="81" t="str">
        <f t="shared" ca="1" si="5"/>
        <v/>
      </c>
      <c r="AQ12" s="82"/>
      <c r="AR12" s="97">
        <f>IFERROR(VLOOKUP(B12,OBJECTIFS!$C$76:$E$137,2,FALSE),0)</f>
        <v>0</v>
      </c>
      <c r="AS12" s="98">
        <f>IFERROR(VLOOKUP(B12,OBJECTIFS!$H$76:$J$137,2,FALSE),0)</f>
        <v>0</v>
      </c>
      <c r="AT12" s="98">
        <f>IFERROR(VLOOKUP(B12,OBJECTIFS!$C$142:$E$203,2,FALSE),0)</f>
        <v>0</v>
      </c>
      <c r="AU12" s="98">
        <f>IFERROR(VLOOKUP(B12,OBJECTIFS!$H$142:$J$203,2,FALSE),0)</f>
        <v>0</v>
      </c>
      <c r="AV12" s="98">
        <f>IFERROR(VLOOKUP(B12,OBJECTIFS!$F$208:$H$269,3,FALSE),0)</f>
        <v>0</v>
      </c>
      <c r="AW12" s="81">
        <f t="shared" si="6"/>
        <v>0</v>
      </c>
      <c r="AX12" s="82"/>
      <c r="AY12" s="99" t="str">
        <f t="shared" ca="1" si="7"/>
        <v/>
      </c>
      <c r="AZ12" s="63"/>
      <c r="BA12" s="100">
        <f t="shared" ca="1" si="8"/>
        <v>0</v>
      </c>
      <c r="BB12" s="64" t="str">
        <f t="shared" ca="1" si="9"/>
        <v/>
      </c>
      <c r="BC12" s="101" t="str">
        <f t="shared" ca="1" si="10"/>
        <v/>
      </c>
    </row>
    <row r="13" spans="1:55" x14ac:dyDescent="0.2">
      <c r="A13" s="21"/>
      <c r="B13" s="22"/>
      <c r="C13" s="22"/>
      <c r="D13" s="23"/>
      <c r="E13" s="24"/>
      <c r="F13" s="34"/>
      <c r="H13" s="89" t="str">
        <f>IF(OR(D13="",F13="",A13=""),"",IF(E13="oui",0,IF(D13=OBJECTIFS!$C$45,VLOOKUP(F13,OBJECTIFS!$C$9:$D$11,2,FALSE),IF(D13=OBJECTIFS!$C$46,VLOOKUP(F13,OBJECTIFS!$C$16:$D$18,2,FALSE),IF(D13=OBJECTIFS!$C$47,VLOOKUP(F13,OBJECTIFS!$C$23:$D$25,2,FALSE),IF(D13=OBJECTIFS!$C$48,VLOOKUP(F13,OBJECTIFS!$C$30:$D$32,2,FALSE),IF(D13=OBJECTIFS!$C$49,VLOOKUP(F13,OBJECTIFS!$C$37:$D$39,2,FALSE))))))))</f>
        <v/>
      </c>
      <c r="J13" s="25"/>
      <c r="K13" s="90" t="str">
        <f>IF(OR($A13="",$D13="",J13=""),"",SUMIFS(OBJECTIFS!E$9:E$39,OBJECTIFS!$A$9:$A$39,$D13,OBJECTIFS!$C$9:$C$39,$F13))</f>
        <v/>
      </c>
      <c r="L13" s="90" t="str">
        <f>IF(OR(AND($D13=OBJECTIFS!$B$6,OBJECTIFS!E$8="dmt"),AND($D13=OBJECTIFS!$B$13,OBJECTIFS!$E$15="dmt"),AND($D13=OBJECTIFS!$B$20,OBJECTIFS!$E$22="dmt"),AND($D13=OBJECTIFS!$B$27,OBJECTIFS!$E$29="dmt"),AND($D13=OBJECTIFS!$B$34,OBJECTIFS!$E$36="dmt"),AND($D13=OBJECTIFS!$B$6,OBJECTIFS!$E$8="taux de chute"),AND($D13=OBJECTIFS!$B$13,OBJECTIFS!$E$15="taux de chute"),AND($D13=OBJECTIFS!$B$20,OBJECTIFS!$E$22="taux de chute"),AND($D13=OBJECTIFS!$B$27,OBJECTIFS!$E$29="taux de chute"),AND($D13=OBJECTIFS!$B$34,OBJECTIFS!$E$36="taux de chute")),IFERROR(K13/J13,""),IFERROR(J13/K13,""))</f>
        <v/>
      </c>
      <c r="M13" s="91">
        <f>IFERROR(IF(OR(J13="",K13="",L13=""),0,IF(L13&lt;OBJECTIFS!$E$56,0,IF(L13&lt;OBJECTIFS!$G$56,M$8*OBJECTIFS!$F$60,IF(L13&lt;OBJECTIFS!$I$56,M$8*OBJECTIFS!$H$60,M$8)))),0)</f>
        <v>0</v>
      </c>
      <c r="N13" s="161"/>
      <c r="O13" s="92" t="str">
        <f>IF(OR($A13="",$D13="",N13=""),"",SUMIFS(OBJECTIFS!F$9:F$39,OBJECTIFS!$A$9:$A$39,$D13,OBJECTIFS!$C$9:$C$39,$F13))</f>
        <v/>
      </c>
      <c r="P13" s="90" t="str">
        <f>IF(OR(AND($D13=OBJECTIFS!$B$6,OBJECTIFS!$F$8="dmt"),AND($D13=OBJECTIFS!$B$13,OBJECTIFS!$F$15="dmt"),AND($D13=OBJECTIFS!$B$20,OBJECTIFS!$F$22="dmt"),AND($D13=OBJECTIFS!$B$27,OBJECTIFS!$F$29="dmt"),AND($D13=OBJECTIFS!$B$34,OBJECTIFS!$F$36="dmt"),AND($D13=OBJECTIFS!$B$6,OBJECTIFS!$F$8="taux de chute"),AND($D13=OBJECTIFS!$B$13,OBJECTIFS!$F$15="taux de chute"),AND($D13=OBJECTIFS!$B$20,OBJECTIFS!$F$22="taux de chute"),AND($D13=OBJECTIFS!$B$27,OBJECTIFS!$F$29="taux de chute"),AND($D13=OBJECTIFS!$B$34,OBJECTIFS!$F$36="taux de chute")),IFERROR(O13/N13,""),IFERROR(N13/O13,""))</f>
        <v/>
      </c>
      <c r="Q13" s="91">
        <f>IFERROR(IF(OR(N13="",O13="",P13=""),0,IF(P13&lt;OBJECTIFS!$E$56,0,IF(P13&lt;OBJECTIFS!$G$56,Q$8*OBJECTIFS!$F$60,IF(P13&lt;OBJECTIFS!$I$56,Q$8*OBJECTIFS!$H$60,Q$8)))),0)</f>
        <v>0</v>
      </c>
      <c r="R13" s="164"/>
      <c r="S13" s="93" t="str">
        <f>IF(OR($A13="",$D13="",R13=""),"",SUMIFS(OBJECTIFS!G$9:G$39,OBJECTIFS!$A$9:$A$39,$D13,OBJECTIFS!$C$9:$C$39,$F13))</f>
        <v/>
      </c>
      <c r="T13" s="90" t="str">
        <f>IF(OR(AND($D13=OBJECTIFS!$B$6,OBJECTIFS!G$8="dmt"),AND($D13=OBJECTIFS!$B$13,OBJECTIFS!$G$15="dmt"),AND($D13=OBJECTIFS!$B$20,OBJECTIFS!$G$22="dmt"),AND($D13=OBJECTIFS!$B$27,OBJECTIFS!$G$29="dmt"),AND($D13=OBJECTIFS!$B$34,OBJECTIFS!$G$36="dmt"),AND($D13=OBJECTIFS!$B$6,OBJECTIFS!$G$8="taux de chute"),AND($D13=OBJECTIFS!$B$13,OBJECTIFS!$G$15="taux de chute"),AND($D13=OBJECTIFS!$B$20,OBJECTIFS!$G$22="taux de chute"),AND($D13=OBJECTIFS!$B$27,OBJECTIFS!$G$29="taux de chute"),AND($D13=OBJECTIFS!$B$34,OBJECTIFS!$G$36="taux de chute")),IFERROR(S13/R13,""),IFERROR(R13/S13,""))</f>
        <v/>
      </c>
      <c r="U13" s="94">
        <f>IFERROR(IF(OR(R13="",S13="",T13=""),0,IF(T13&lt;OBJECTIFS!$E$56,0,IF(T13&lt;OBJECTIFS!$G$56,U$8*OBJECTIFS!$F$60,IF(T13&lt;OBJECTIFS!$I$56,U$8*OBJECTIFS!$H$60,U$8)))),0)</f>
        <v>0</v>
      </c>
      <c r="V13" s="25"/>
      <c r="W13" s="90" t="str">
        <f>IF(OR($A13="",$D13="",V13=""),"",SUMIFS(OBJECTIFS!H$9:H$39,OBJECTIFS!$A$9:$A$39,$D13,OBJECTIFS!$C$9:$C$39,$F13))</f>
        <v/>
      </c>
      <c r="X13" s="90" t="str">
        <f>IF(OR(AND($D13=OBJECTIFS!$B$6,OBJECTIFS!H$8="dmt"),AND($D13=OBJECTIFS!$B$13,OBJECTIFS!$H$15="dmt"),AND($D13=OBJECTIFS!$B$20,OBJECTIFS!$H$22="dmt"),AND($D13=OBJECTIFS!$B$27,OBJECTIFS!$H$29="dmt"),AND($D13=OBJECTIFS!$B$34,OBJECTIFS!$H$36="dmt"),AND($D13=OBJECTIFS!$B$6,OBJECTIFS!$H$8="taux de chute"),AND($D13=OBJECTIFS!$B$13,OBJECTIFS!$H$15="taux de chute"),AND($D13=OBJECTIFS!$B$20,OBJECTIFS!$H$22="taux de chute"),AND($D13=OBJECTIFS!$B$27,OBJECTIFS!$H$29="taux de chute"),AND($D13=OBJECTIFS!$B$34,OBJECTIFS!$H$36="taux de chute")),IFERROR(W13/V13,""),IFERROR(V13/W13,""))</f>
        <v/>
      </c>
      <c r="Y13" s="91">
        <f>IFERROR(IF(OR(V13="",W13="",X13=""),0,IF(X13&lt;OBJECTIFS!$E$56,0,IF(X13&lt;OBJECTIFS!$G$56,Y$8*OBJECTIFS!$F$60,IF(X13&lt;OBJECTIFS!$I$56,Y$8*OBJECTIFS!$H$60,Y$8)))),0)</f>
        <v>0</v>
      </c>
      <c r="Z13" s="167"/>
      <c r="AA13" s="90" t="str">
        <f>IF(OR($A13="",$D13="",Z13=""),"",SUMIFS(OBJECTIFS!I$9:I$39,OBJECTIFS!$A$9:$A$39,$D13,OBJECTIFS!$C$9:$C$39,$F13))</f>
        <v/>
      </c>
      <c r="AB13" s="90" t="str">
        <f>IF(OR(AND($D13=OBJECTIFS!$B$6,OBJECTIFS!I$8="dmt"),AND($D13=OBJECTIFS!$B$13,OBJECTIFS!$I$15="dmt"),AND($D13=OBJECTIFS!$B$20,OBJECTIFS!$I$22="dmt"),AND($D13=OBJECTIFS!$B$27,OBJECTIFS!$I$29="dmt"),AND($D13=OBJECTIFS!$B$34,OBJECTIFS!$I$36="dmt"),AND($D13=OBJECTIFS!$B$6,OBJECTIFS!$I$8="taux de chute"),AND($D13=OBJECTIFS!$B$13,OBJECTIFS!$I$15="taux de chute"),AND($D13=OBJECTIFS!$B$20,OBJECTIFS!$I$22="taux de chute"),AND($D13=OBJECTIFS!$B$27,OBJECTIFS!$I$29="taux de chute"),AND($D13=OBJECTIFS!$B$34,OBJECTIFS!$I$36="taux de chute")),IFERROR(AA13/Z13,""),IFERROR(Z13/AA13,""))</f>
        <v/>
      </c>
      <c r="AC13" s="95">
        <f>IFERROR(IF(OR(Z13="",AA13="",AB13=""),0,IF(AB13&lt;OBJECTIFS!$E$56,0,IF(AB13&lt;OBJECTIFS!$G$56,AC$8*OBJECTIFS!$F$60,IF(AB13&lt;OBJECTIFS!$I$56,AC$8*OBJECTIFS!$H$60,AC$8)))),0)</f>
        <v>0</v>
      </c>
      <c r="AD13" s="281"/>
      <c r="AE13" s="282"/>
      <c r="AF13" s="96">
        <f t="shared" ref="AF13:AF76" ca="1" si="11">IF(AD13&gt;=1,0,SUMIF($J$7:$AC$8,"Nb de points",$J13:$AC13))</f>
        <v>0</v>
      </c>
      <c r="AG13" s="63"/>
      <c r="AH13" s="169"/>
      <c r="AI13" s="24"/>
      <c r="AJ13" s="24"/>
      <c r="AK13" s="24"/>
      <c r="AL13" s="24"/>
      <c r="AM13" s="79">
        <f t="shared" ref="AM13:AM76" si="12">SUM(AK13:AL13,AI13)</f>
        <v>0</v>
      </c>
      <c r="AN13" s="79">
        <v>22</v>
      </c>
      <c r="AO13" s="80">
        <f t="shared" ref="AO13:AO76" si="13">IFERROR(IF(IF(OR(AI13&gt;=2,AJ13&gt;=8,AND(AI13=1,AJ13&gt;=4)),0,IF(OR(AND(AI13=1,AJ13&lt;4),AND(AI13=0,AJ13&gt;=4,AJ13&lt;8)),50%,100%))*(AN13-AM13)/AN13=0,-100%,IF(OR(AI13&gt;=2,AJ13&gt;=8,AND(AI13=1,AJ13&gt;=4)),0,IF(OR(AND(AI13=1,AJ13&lt;4),AND(AI13=0,AJ13&gt;=4,AJ13&lt;8)),50%,100%))*(AN13-AM13)/AN13-1),"")</f>
        <v>0</v>
      </c>
      <c r="AP13" s="81" t="str">
        <f t="shared" ref="AP13:AP76" ca="1" si="14">IFERROR((H13*AF13/100)*(1+AO13),"")</f>
        <v/>
      </c>
      <c r="AQ13" s="82"/>
      <c r="AR13" s="97">
        <f>IFERROR(VLOOKUP(B13,OBJECTIFS!$C$76:$E$137,2,FALSE),0)</f>
        <v>0</v>
      </c>
      <c r="AS13" s="98">
        <f>IFERROR(VLOOKUP(B13,OBJECTIFS!$H$76:$J$137,2,FALSE),0)</f>
        <v>0</v>
      </c>
      <c r="AT13" s="98">
        <f>IFERROR(VLOOKUP(B13,OBJECTIFS!$C$142:$E$203,2,FALSE),0)</f>
        <v>0</v>
      </c>
      <c r="AU13" s="98">
        <f>IFERROR(VLOOKUP(B13,OBJECTIFS!$H$142:$J$203,2,FALSE),0)</f>
        <v>0</v>
      </c>
      <c r="AV13" s="98">
        <f>IFERROR(VLOOKUP(B13,OBJECTIFS!$F$208:$H$269,3,FALSE),0)</f>
        <v>0</v>
      </c>
      <c r="AW13" s="81">
        <f t="shared" ref="AW13:AW76" si="15">IF($B$5="interne",IF($AR$6="prime de langue",IF(AH13&gt;=191,SUM(AS13:AV13,AR13/191*191),SUM(AS13:AV13,AR13/191*AH13)),IF($AS$6="prime de langue",IF(AH13&gt;=191,SUM(AR13,AT13,AU13,AV13,AS13/191*191),SUM(AR13,AT13,AU13,AV13,AS13/191*AH13)),IF($AT$6="prime de langue",IF(AH13&gt;=191,SUM(AR13,AS13,AU13,AV13,AT13/191*191),SUM(AR13,AS13,AU13,AV13,AT13/191*AH13)),IF($AU$6="prime de langue",IF(AH13&gt;=191,SUM(AR13,AT13,AV13,AS13,AU13/191*191),SUM(AR13,AT13,AV13,AS13,AU13/191*AH13)),SUM(AR13:AV13))))),IF($AR$6="prime de langue",IF(AH13&gt;=176,SUM(AS13:AV13,AR13/176*176),SUM(AS13:AV13,AR13/176*AH13)),IF($AS$6="prime de langue",IF(AH13&gt;=176,SUM(AR13,AT13,AU13,AV13,AS13/176*176),SUM(AR13,AT13,AU13,AV13,AS13/176*AH13)),IF($AT$6="prime de langue",IF(AH13&gt;=176,SUM(AR13,AS13,AU13,AV13,AT13/176*176),SUM(AR13,AS13,AU13,AV13,AT13/176*AH13)),IF($AU$6="prime de langue",IF(AH13&gt;=176,SUM(AR13,AT13,AV13,AS13,AU13/176*176),SUM(AR13,AT13,AV13,AS13,AU13/176*AH13)),SUM(AR13:AV13))))))</f>
        <v>0</v>
      </c>
      <c r="AX13" s="82"/>
      <c r="AY13" s="99" t="str">
        <f t="shared" ref="AY13:AY76" ca="1" si="16">IFERROR(((H13*AF13/100)*(1+AO13)+AW13),"")</f>
        <v/>
      </c>
      <c r="AZ13" s="63"/>
      <c r="BA13" s="100">
        <f t="shared" ref="BA13:BA76" ca="1" si="17">IFERROR(IF(OR(AI13&gt;=2,AJ13&gt;=8,AND(AI13=1,AJ13&gt;=4)),0,IF(OR(AND(AI13=1,AJ13&lt;4),AND(AI13=0,AJ13&gt;=4,AJ13&lt;8)),0.5,1))*AF13*(AN13-AM13)/AN13,"")</f>
        <v>0</v>
      </c>
      <c r="BB13" s="64" t="str">
        <f t="shared" ref="BB13:BB76" ca="1" si="18">IF(BC13="","","è")</f>
        <v/>
      </c>
      <c r="BC13" s="101" t="str">
        <f t="shared" ref="BC13:BC76" ca="1" si="19">IF(BA13=0,"",IF(BA13&gt;=MAX($BA$9:$BA$216),A13,""))</f>
        <v/>
      </c>
    </row>
    <row r="14" spans="1:55" x14ac:dyDescent="0.2">
      <c r="A14" s="21"/>
      <c r="B14" s="22"/>
      <c r="C14" s="22"/>
      <c r="D14" s="23"/>
      <c r="E14" s="24"/>
      <c r="F14" s="34"/>
      <c r="H14" s="89" t="str">
        <f>IF(OR(D14="",F14="",A14=""),"",IF(E14="oui",0,IF(D14=OBJECTIFS!$C$45,VLOOKUP(F14,OBJECTIFS!$C$9:$D$11,2,FALSE),IF(D14=OBJECTIFS!$C$46,VLOOKUP(F14,OBJECTIFS!$C$16:$D$18,2,FALSE),IF(D14=OBJECTIFS!$C$47,VLOOKUP(F14,OBJECTIFS!$C$23:$D$25,2,FALSE),IF(D14=OBJECTIFS!$C$48,VLOOKUP(F14,OBJECTIFS!$C$30:$D$32,2,FALSE),IF(D14=OBJECTIFS!$C$49,VLOOKUP(F14,OBJECTIFS!$C$37:$D$39,2,FALSE))))))))</f>
        <v/>
      </c>
      <c r="J14" s="25"/>
      <c r="K14" s="90" t="str">
        <f>IF(OR($A14="",$D14="",J14=""),"",SUMIFS(OBJECTIFS!E$9:E$39,OBJECTIFS!$A$9:$A$39,$D14,OBJECTIFS!$C$9:$C$39,$F14))</f>
        <v/>
      </c>
      <c r="L14" s="90" t="str">
        <f>IF(OR(AND($D14=OBJECTIFS!$B$6,OBJECTIFS!E$8="dmt"),AND($D14=OBJECTIFS!$B$13,OBJECTIFS!$E$15="dmt"),AND($D14=OBJECTIFS!$B$20,OBJECTIFS!$E$22="dmt"),AND($D14=OBJECTIFS!$B$27,OBJECTIFS!$E$29="dmt"),AND($D14=OBJECTIFS!$B$34,OBJECTIFS!$E$36="dmt"),AND($D14=OBJECTIFS!$B$6,OBJECTIFS!$E$8="taux de chute"),AND($D14=OBJECTIFS!$B$13,OBJECTIFS!$E$15="taux de chute"),AND($D14=OBJECTIFS!$B$20,OBJECTIFS!$E$22="taux de chute"),AND($D14=OBJECTIFS!$B$27,OBJECTIFS!$E$29="taux de chute"),AND($D14=OBJECTIFS!$B$34,OBJECTIFS!$E$36="taux de chute")),IFERROR(K14/J14,""),IFERROR(J14/K14,""))</f>
        <v/>
      </c>
      <c r="M14" s="91">
        <f>IFERROR(IF(OR(J14="",K14="",L14=""),0,IF(L14&lt;OBJECTIFS!$E$56,0,IF(L14&lt;OBJECTIFS!$G$56,M$8*OBJECTIFS!$F$60,IF(L14&lt;OBJECTIFS!$I$56,M$8*OBJECTIFS!$H$60,M$8)))),0)</f>
        <v>0</v>
      </c>
      <c r="N14" s="161"/>
      <c r="O14" s="92" t="str">
        <f>IF(OR($A14="",$D14="",N14=""),"",SUMIFS(OBJECTIFS!F$9:F$39,OBJECTIFS!$A$9:$A$39,$D14,OBJECTIFS!$C$9:$C$39,$F14))</f>
        <v/>
      </c>
      <c r="P14" s="90" t="str">
        <f>IF(OR(AND($D14=OBJECTIFS!$B$6,OBJECTIFS!$F$8="dmt"),AND($D14=OBJECTIFS!$B$13,OBJECTIFS!$F$15="dmt"),AND($D14=OBJECTIFS!$B$20,OBJECTIFS!$F$22="dmt"),AND($D14=OBJECTIFS!$B$27,OBJECTIFS!$F$29="dmt"),AND($D14=OBJECTIFS!$B$34,OBJECTIFS!$F$36="dmt"),AND($D14=OBJECTIFS!$B$6,OBJECTIFS!$F$8="taux de chute"),AND($D14=OBJECTIFS!$B$13,OBJECTIFS!$F$15="taux de chute"),AND($D14=OBJECTIFS!$B$20,OBJECTIFS!$F$22="taux de chute"),AND($D14=OBJECTIFS!$B$27,OBJECTIFS!$F$29="taux de chute"),AND($D14=OBJECTIFS!$B$34,OBJECTIFS!$F$36="taux de chute")),IFERROR(O14/N14,""),IFERROR(N14/O14,""))</f>
        <v/>
      </c>
      <c r="Q14" s="91">
        <f>IFERROR(IF(OR(N14="",O14="",P14=""),0,IF(P14&lt;OBJECTIFS!$E$56,0,IF(P14&lt;OBJECTIFS!$G$56,Q$8*OBJECTIFS!$F$60,IF(P14&lt;OBJECTIFS!$I$56,Q$8*OBJECTIFS!$H$60,Q$8)))),0)</f>
        <v>0</v>
      </c>
      <c r="R14" s="164"/>
      <c r="S14" s="93" t="str">
        <f>IF(OR($A14="",$D14="",R14=""),"",SUMIFS(OBJECTIFS!G$9:G$39,OBJECTIFS!$A$9:$A$39,$D14,OBJECTIFS!$C$9:$C$39,$F14))</f>
        <v/>
      </c>
      <c r="T14" s="90" t="str">
        <f>IF(OR(AND($D14=OBJECTIFS!$B$6,OBJECTIFS!G$8="dmt"),AND($D14=OBJECTIFS!$B$13,OBJECTIFS!$G$15="dmt"),AND($D14=OBJECTIFS!$B$20,OBJECTIFS!$G$22="dmt"),AND($D14=OBJECTIFS!$B$27,OBJECTIFS!$G$29="dmt"),AND($D14=OBJECTIFS!$B$34,OBJECTIFS!$G$36="dmt"),AND($D14=OBJECTIFS!$B$6,OBJECTIFS!$G$8="taux de chute"),AND($D14=OBJECTIFS!$B$13,OBJECTIFS!$G$15="taux de chute"),AND($D14=OBJECTIFS!$B$20,OBJECTIFS!$G$22="taux de chute"),AND($D14=OBJECTIFS!$B$27,OBJECTIFS!$G$29="taux de chute"),AND($D14=OBJECTIFS!$B$34,OBJECTIFS!$G$36="taux de chute")),IFERROR(S14/R14,""),IFERROR(R14/S14,""))</f>
        <v/>
      </c>
      <c r="U14" s="94">
        <f>IFERROR(IF(OR(R14="",S14="",T14=""),0,IF(T14&lt;OBJECTIFS!$E$56,0,IF(T14&lt;OBJECTIFS!$G$56,U$8*OBJECTIFS!$F$60,IF(T14&lt;OBJECTIFS!$I$56,U$8*OBJECTIFS!$H$60,U$8)))),0)</f>
        <v>0</v>
      </c>
      <c r="V14" s="25"/>
      <c r="W14" s="90" t="str">
        <f>IF(OR($A14="",$D14="",V14=""),"",SUMIFS(OBJECTIFS!H$9:H$39,OBJECTIFS!$A$9:$A$39,$D14,OBJECTIFS!$C$9:$C$39,$F14))</f>
        <v/>
      </c>
      <c r="X14" s="90" t="str">
        <f>IF(OR(AND($D14=OBJECTIFS!$B$6,OBJECTIFS!H$8="dmt"),AND($D14=OBJECTIFS!$B$13,OBJECTIFS!$H$15="dmt"),AND($D14=OBJECTIFS!$B$20,OBJECTIFS!$H$22="dmt"),AND($D14=OBJECTIFS!$B$27,OBJECTIFS!$H$29="dmt"),AND($D14=OBJECTIFS!$B$34,OBJECTIFS!$H$36="dmt"),AND($D14=OBJECTIFS!$B$6,OBJECTIFS!$H$8="taux de chute"),AND($D14=OBJECTIFS!$B$13,OBJECTIFS!$H$15="taux de chute"),AND($D14=OBJECTIFS!$B$20,OBJECTIFS!$H$22="taux de chute"),AND($D14=OBJECTIFS!$B$27,OBJECTIFS!$H$29="taux de chute"),AND($D14=OBJECTIFS!$B$34,OBJECTIFS!$H$36="taux de chute")),IFERROR(W14/V14,""),IFERROR(V14/W14,""))</f>
        <v/>
      </c>
      <c r="Y14" s="91">
        <f>IFERROR(IF(OR(V14="",W14="",X14=""),0,IF(X14&lt;OBJECTIFS!$E$56,0,IF(X14&lt;OBJECTIFS!$G$56,Y$8*OBJECTIFS!$F$60,IF(X14&lt;OBJECTIFS!$I$56,Y$8*OBJECTIFS!$H$60,Y$8)))),0)</f>
        <v>0</v>
      </c>
      <c r="Z14" s="167"/>
      <c r="AA14" s="90" t="str">
        <f>IF(OR($A14="",$D14="",Z14=""),"",SUMIFS(OBJECTIFS!I$9:I$39,OBJECTIFS!$A$9:$A$39,$D14,OBJECTIFS!$C$9:$C$39,$F14))</f>
        <v/>
      </c>
      <c r="AB14" s="90" t="str">
        <f>IF(OR(AND($D14=OBJECTIFS!$B$6,OBJECTIFS!I$8="dmt"),AND($D14=OBJECTIFS!$B$13,OBJECTIFS!$I$15="dmt"),AND($D14=OBJECTIFS!$B$20,OBJECTIFS!$I$22="dmt"),AND($D14=OBJECTIFS!$B$27,OBJECTIFS!$I$29="dmt"),AND($D14=OBJECTIFS!$B$34,OBJECTIFS!$I$36="dmt"),AND($D14=OBJECTIFS!$B$6,OBJECTIFS!$I$8="taux de chute"),AND($D14=OBJECTIFS!$B$13,OBJECTIFS!$I$15="taux de chute"),AND($D14=OBJECTIFS!$B$20,OBJECTIFS!$I$22="taux de chute"),AND($D14=OBJECTIFS!$B$27,OBJECTIFS!$I$29="taux de chute"),AND($D14=OBJECTIFS!$B$34,OBJECTIFS!$I$36="taux de chute")),IFERROR(AA14/Z14,""),IFERROR(Z14/AA14,""))</f>
        <v/>
      </c>
      <c r="AC14" s="95">
        <f>IFERROR(IF(OR(Z14="",AA14="",AB14=""),0,IF(AB14&lt;OBJECTIFS!$E$56,0,IF(AB14&lt;OBJECTIFS!$G$56,AC$8*OBJECTIFS!$F$60,IF(AB14&lt;OBJECTIFS!$I$56,AC$8*OBJECTIFS!$H$60,AC$8)))),0)</f>
        <v>0</v>
      </c>
      <c r="AD14" s="281"/>
      <c r="AE14" s="282"/>
      <c r="AF14" s="96">
        <f t="shared" ca="1" si="11"/>
        <v>0</v>
      </c>
      <c r="AG14" s="63"/>
      <c r="AH14" s="169"/>
      <c r="AI14" s="24"/>
      <c r="AJ14" s="24"/>
      <c r="AK14" s="24"/>
      <c r="AL14" s="24"/>
      <c r="AM14" s="79">
        <f t="shared" si="12"/>
        <v>0</v>
      </c>
      <c r="AN14" s="79">
        <v>22</v>
      </c>
      <c r="AO14" s="80">
        <f t="shared" si="13"/>
        <v>0</v>
      </c>
      <c r="AP14" s="81" t="str">
        <f t="shared" ca="1" si="14"/>
        <v/>
      </c>
      <c r="AQ14" s="82"/>
      <c r="AR14" s="97">
        <f>IFERROR(VLOOKUP(B14,OBJECTIFS!$C$76:$E$137,2,FALSE),0)</f>
        <v>0</v>
      </c>
      <c r="AS14" s="98">
        <f>IFERROR(VLOOKUP(B14,OBJECTIFS!$H$76:$J$137,2,FALSE),0)</f>
        <v>0</v>
      </c>
      <c r="AT14" s="98">
        <f>IFERROR(VLOOKUP(B14,OBJECTIFS!$C$142:$E$203,2,FALSE),0)</f>
        <v>0</v>
      </c>
      <c r="AU14" s="98">
        <f>IFERROR(VLOOKUP(B14,OBJECTIFS!$H$142:$J$203,2,FALSE),0)</f>
        <v>0</v>
      </c>
      <c r="AV14" s="98">
        <f>IFERROR(VLOOKUP(B14,OBJECTIFS!$F$208:$H$269,3,FALSE),0)</f>
        <v>0</v>
      </c>
      <c r="AW14" s="81">
        <f>IF($B$5="interne",IF($AR$6="prime de langue",IF(AH14&gt;=191,SUM(AS14:AV14,AR14/191*191),SUM(AS14:AV14,AR14/191*AH14)),IF($AS$6="prime de langue",IF(AH14&gt;=191,SUM(AR14,AT14,AU14,AV14,AS14/191*191),SUM(AR14,AT14,AU14,AV14,AS14/191*AH14)),IF($AT$6="prime de langue",IF(AH14&gt;=191,SUM(AR14,AS14,AU14,AV14,AT14/191*191),SUM(AR14,AS14,AU14,AV14,AT14/191*AH14)),IF($AU$6="prime de langue",IF(AH14&gt;=191,SUM(AR14,AT14,AV14,AS14,AU14/191*191),SUM(AR14,AT14,AV14,AS14,AU14/191*AH14)),SUM(AR14:AV14))))),IF($AR$6="prime de langue",IF(AH14&gt;=176,SUM(AS14:AV14,AR14/176*176),SUM(AS14:AV14,AR14/176*AH14)),IF($AS$6="prime de langue",IF(AH14&gt;=176,SUM(AR14,AT14,AU14,AV14,AS14/176*176),SUM(AR14,AT14,AU14,AV14,AS14/176*AH14)),IF($AT$6="prime de langue",IF(AH14&gt;=176,SUM(AR14,AS14,AU14,AV14,AT14/176*176),SUM(AR14,AS14,AU14,AV14,AT14/176*AH14)),IF($AU$6="prime de langue",IF(AH14&gt;=176,SUM(AR14,AT14,AV14,AS14,AU14/176*176),SUM(AR14,AT14,AV14,AS14,AU14/176*AH14)),SUM(AR14:AV14))))))</f>
        <v>0</v>
      </c>
      <c r="AX14" s="82"/>
      <c r="AY14" s="99" t="str">
        <f t="shared" ca="1" si="16"/>
        <v/>
      </c>
      <c r="AZ14" s="63"/>
      <c r="BA14" s="100">
        <f t="shared" ca="1" si="17"/>
        <v>0</v>
      </c>
      <c r="BB14" s="64" t="str">
        <f t="shared" ca="1" si="18"/>
        <v/>
      </c>
      <c r="BC14" s="101" t="str">
        <f t="shared" ca="1" si="19"/>
        <v/>
      </c>
    </row>
    <row r="15" spans="1:55" x14ac:dyDescent="0.2">
      <c r="A15" s="21"/>
      <c r="B15" s="22"/>
      <c r="C15" s="22"/>
      <c r="D15" s="23"/>
      <c r="E15" s="24"/>
      <c r="F15" s="34"/>
      <c r="H15" s="89" t="str">
        <f>IF(OR(D15="",F15="",A15=""),"",IF(E15="oui",0,IF(D15=OBJECTIFS!$C$45,VLOOKUP(F15,OBJECTIFS!$C$9:$D$11,2,FALSE),IF(D15=OBJECTIFS!$C$46,VLOOKUP(F15,OBJECTIFS!$C$16:$D$18,2,FALSE),IF(D15=OBJECTIFS!$C$47,VLOOKUP(F15,OBJECTIFS!$C$23:$D$25,2,FALSE),IF(D15=OBJECTIFS!$C$48,VLOOKUP(F15,OBJECTIFS!$C$30:$D$32,2,FALSE),IF(D15=OBJECTIFS!$C$49,VLOOKUP(F15,OBJECTIFS!$C$37:$D$39,2,FALSE))))))))</f>
        <v/>
      </c>
      <c r="J15" s="25"/>
      <c r="K15" s="90" t="str">
        <f>IF(OR($A15="",$D15="",J15=""),"",SUMIFS(OBJECTIFS!E$9:E$39,OBJECTIFS!$A$9:$A$39,$D15,OBJECTIFS!$C$9:$C$39,$F15))</f>
        <v/>
      </c>
      <c r="L15" s="90" t="str">
        <f>IF(OR(AND($D15=OBJECTIFS!$B$6,OBJECTIFS!E$8="dmt"),AND($D15=OBJECTIFS!$B$13,OBJECTIFS!$E$15="dmt"),AND($D15=OBJECTIFS!$B$20,OBJECTIFS!$E$22="dmt"),AND($D15=OBJECTIFS!$B$27,OBJECTIFS!$E$29="dmt"),AND($D15=OBJECTIFS!$B$34,OBJECTIFS!$E$36="dmt"),AND($D15=OBJECTIFS!$B$6,OBJECTIFS!$E$8="taux de chute"),AND($D15=OBJECTIFS!$B$13,OBJECTIFS!$E$15="taux de chute"),AND($D15=OBJECTIFS!$B$20,OBJECTIFS!$E$22="taux de chute"),AND($D15=OBJECTIFS!$B$27,OBJECTIFS!$E$29="taux de chute"),AND($D15=OBJECTIFS!$B$34,OBJECTIFS!$E$36="taux de chute")),IFERROR(K15/J15,""),IFERROR(J15/K15,""))</f>
        <v/>
      </c>
      <c r="M15" s="91">
        <f>IFERROR(IF(OR(J15="",K15="",L15=""),0,IF(L15&lt;OBJECTIFS!$E$56,0,IF(L15&lt;OBJECTIFS!$G$56,M$8*OBJECTIFS!$F$60,IF(L15&lt;OBJECTIFS!$I$56,M$8*OBJECTIFS!$H$60,M$8)))),0)</f>
        <v>0</v>
      </c>
      <c r="N15" s="161"/>
      <c r="O15" s="92" t="str">
        <f>IF(OR($A15="",$D15="",N15=""),"",SUMIFS(OBJECTIFS!F$9:F$39,OBJECTIFS!$A$9:$A$39,$D15,OBJECTIFS!$C$9:$C$39,$F15))</f>
        <v/>
      </c>
      <c r="P15" s="90" t="str">
        <f>IF(OR(AND($D15=OBJECTIFS!$B$6,OBJECTIFS!$F$8="dmt"),AND($D15=OBJECTIFS!$B$13,OBJECTIFS!$F$15="dmt"),AND($D15=OBJECTIFS!$B$20,OBJECTIFS!$F$22="dmt"),AND($D15=OBJECTIFS!$B$27,OBJECTIFS!$F$29="dmt"),AND($D15=OBJECTIFS!$B$34,OBJECTIFS!$F$36="dmt"),AND($D15=OBJECTIFS!$B$6,OBJECTIFS!$F$8="taux de chute"),AND($D15=OBJECTIFS!$B$13,OBJECTIFS!$F$15="taux de chute"),AND($D15=OBJECTIFS!$B$20,OBJECTIFS!$F$22="taux de chute"),AND($D15=OBJECTIFS!$B$27,OBJECTIFS!$F$29="taux de chute"),AND($D15=OBJECTIFS!$B$34,OBJECTIFS!$F$36="taux de chute")),IFERROR(O15/N15,""),IFERROR(N15/O15,""))</f>
        <v/>
      </c>
      <c r="Q15" s="91">
        <f>IFERROR(IF(OR(N15="",O15="",P15=""),0,IF(P15&lt;OBJECTIFS!$E$56,0,IF(P15&lt;OBJECTIFS!$G$56,Q$8*OBJECTIFS!$F$60,IF(P15&lt;OBJECTIFS!$I$56,Q$8*OBJECTIFS!$H$60,Q$8)))),0)</f>
        <v>0</v>
      </c>
      <c r="R15" s="164"/>
      <c r="S15" s="93" t="str">
        <f>IF(OR($A15="",$D15="",R15=""),"",SUMIFS(OBJECTIFS!G$9:G$39,OBJECTIFS!$A$9:$A$39,$D15,OBJECTIFS!$C$9:$C$39,$F15))</f>
        <v/>
      </c>
      <c r="T15" s="90" t="str">
        <f>IF(OR(AND($D15=OBJECTIFS!$B$6,OBJECTIFS!G$8="dmt"),AND($D15=OBJECTIFS!$B$13,OBJECTIFS!$G$15="dmt"),AND($D15=OBJECTIFS!$B$20,OBJECTIFS!$G$22="dmt"),AND($D15=OBJECTIFS!$B$27,OBJECTIFS!$G$29="dmt"),AND($D15=OBJECTIFS!$B$34,OBJECTIFS!$G$36="dmt"),AND($D15=OBJECTIFS!$B$6,OBJECTIFS!$G$8="taux de chute"),AND($D15=OBJECTIFS!$B$13,OBJECTIFS!$G$15="taux de chute"),AND($D15=OBJECTIFS!$B$20,OBJECTIFS!$G$22="taux de chute"),AND($D15=OBJECTIFS!$B$27,OBJECTIFS!$G$29="taux de chute"),AND($D15=OBJECTIFS!$B$34,OBJECTIFS!$G$36="taux de chute")),IFERROR(S15/R15,""),IFERROR(R15/S15,""))</f>
        <v/>
      </c>
      <c r="U15" s="94">
        <f>IFERROR(IF(OR(R15="",S15="",T15=""),0,IF(T15&lt;OBJECTIFS!$E$56,0,IF(T15&lt;OBJECTIFS!$G$56,U$8*OBJECTIFS!$F$60,IF(T15&lt;OBJECTIFS!$I$56,U$8*OBJECTIFS!$H$60,U$8)))),0)</f>
        <v>0</v>
      </c>
      <c r="V15" s="25"/>
      <c r="W15" s="90" t="str">
        <f>IF(OR($A15="",$D15="",V15=""),"",SUMIFS(OBJECTIFS!H$9:H$39,OBJECTIFS!$A$9:$A$39,$D15,OBJECTIFS!$C$9:$C$39,$F15))</f>
        <v/>
      </c>
      <c r="X15" s="90" t="str">
        <f>IF(OR(AND($D15=OBJECTIFS!$B$6,OBJECTIFS!H$8="dmt"),AND($D15=OBJECTIFS!$B$13,OBJECTIFS!$H$15="dmt"),AND($D15=OBJECTIFS!$B$20,OBJECTIFS!$H$22="dmt"),AND($D15=OBJECTIFS!$B$27,OBJECTIFS!$H$29="dmt"),AND($D15=OBJECTIFS!$B$34,OBJECTIFS!$H$36="dmt"),AND($D15=OBJECTIFS!$B$6,OBJECTIFS!$H$8="taux de chute"),AND($D15=OBJECTIFS!$B$13,OBJECTIFS!$H$15="taux de chute"),AND($D15=OBJECTIFS!$B$20,OBJECTIFS!$H$22="taux de chute"),AND($D15=OBJECTIFS!$B$27,OBJECTIFS!$H$29="taux de chute"),AND($D15=OBJECTIFS!$B$34,OBJECTIFS!$H$36="taux de chute")),IFERROR(W15/V15,""),IFERROR(V15/W15,""))</f>
        <v/>
      </c>
      <c r="Y15" s="91">
        <f>IFERROR(IF(OR(V15="",W15="",X15=""),0,IF(X15&lt;OBJECTIFS!$E$56,0,IF(X15&lt;OBJECTIFS!$G$56,Y$8*OBJECTIFS!$F$60,IF(X15&lt;OBJECTIFS!$I$56,Y$8*OBJECTIFS!$H$60,Y$8)))),0)</f>
        <v>0</v>
      </c>
      <c r="Z15" s="167"/>
      <c r="AA15" s="90" t="str">
        <f>IF(OR($A15="",$D15="",Z15=""),"",SUMIFS(OBJECTIFS!I$9:I$39,OBJECTIFS!$A$9:$A$39,$D15,OBJECTIFS!$C$9:$C$39,$F15))</f>
        <v/>
      </c>
      <c r="AB15" s="90" t="str">
        <f>IF(OR(AND($D15=OBJECTIFS!$B$6,OBJECTIFS!I$8="dmt"),AND($D15=OBJECTIFS!$B$13,OBJECTIFS!$I$15="dmt"),AND($D15=OBJECTIFS!$B$20,OBJECTIFS!$I$22="dmt"),AND($D15=OBJECTIFS!$B$27,OBJECTIFS!$I$29="dmt"),AND($D15=OBJECTIFS!$B$34,OBJECTIFS!$I$36="dmt"),AND($D15=OBJECTIFS!$B$6,OBJECTIFS!$I$8="taux de chute"),AND($D15=OBJECTIFS!$B$13,OBJECTIFS!$I$15="taux de chute"),AND($D15=OBJECTIFS!$B$20,OBJECTIFS!$I$22="taux de chute"),AND($D15=OBJECTIFS!$B$27,OBJECTIFS!$I$29="taux de chute"),AND($D15=OBJECTIFS!$B$34,OBJECTIFS!$I$36="taux de chute")),IFERROR(AA15/Z15,""),IFERROR(Z15/AA15,""))</f>
        <v/>
      </c>
      <c r="AC15" s="95">
        <f>IFERROR(IF(OR(Z15="",AA15="",AB15=""),0,IF(AB15&lt;OBJECTIFS!$E$56,0,IF(AB15&lt;OBJECTIFS!$G$56,AC$8*OBJECTIFS!$F$60,IF(AB15&lt;OBJECTIFS!$I$56,AC$8*OBJECTIFS!$H$60,AC$8)))),0)</f>
        <v>0</v>
      </c>
      <c r="AD15" s="281"/>
      <c r="AE15" s="282"/>
      <c r="AF15" s="96">
        <f t="shared" ca="1" si="11"/>
        <v>0</v>
      </c>
      <c r="AG15" s="63"/>
      <c r="AH15" s="169"/>
      <c r="AI15" s="24"/>
      <c r="AJ15" s="24"/>
      <c r="AK15" s="24"/>
      <c r="AL15" s="24"/>
      <c r="AM15" s="79">
        <f t="shared" si="12"/>
        <v>0</v>
      </c>
      <c r="AN15" s="79">
        <v>22</v>
      </c>
      <c r="AO15" s="80">
        <f t="shared" si="13"/>
        <v>0</v>
      </c>
      <c r="AP15" s="81" t="str">
        <f t="shared" ca="1" si="14"/>
        <v/>
      </c>
      <c r="AQ15" s="82"/>
      <c r="AR15" s="97">
        <f>IFERROR(VLOOKUP(B15,OBJECTIFS!$C$76:$E$137,2,FALSE),0)</f>
        <v>0</v>
      </c>
      <c r="AS15" s="98">
        <f>IFERROR(VLOOKUP(B15,OBJECTIFS!$H$76:$J$137,2,FALSE),0)</f>
        <v>0</v>
      </c>
      <c r="AT15" s="98">
        <f>IFERROR(VLOOKUP(B15,OBJECTIFS!$C$142:$E$203,2,FALSE),0)</f>
        <v>0</v>
      </c>
      <c r="AU15" s="98">
        <f>IFERROR(VLOOKUP(B15,OBJECTIFS!$H$142:$J$203,2,FALSE),0)</f>
        <v>0</v>
      </c>
      <c r="AV15" s="98">
        <f>IFERROR(VLOOKUP(B15,OBJECTIFS!$F$208:$H$269,3,FALSE),0)</f>
        <v>0</v>
      </c>
      <c r="AW15" s="81">
        <f t="shared" si="15"/>
        <v>0</v>
      </c>
      <c r="AX15" s="82"/>
      <c r="AY15" s="99" t="str">
        <f t="shared" ca="1" si="16"/>
        <v/>
      </c>
      <c r="AZ15" s="63"/>
      <c r="BA15" s="100">
        <f t="shared" ca="1" si="17"/>
        <v>0</v>
      </c>
      <c r="BB15" s="64" t="str">
        <f t="shared" ca="1" si="18"/>
        <v/>
      </c>
      <c r="BC15" s="101" t="str">
        <f t="shared" ca="1" si="19"/>
        <v/>
      </c>
    </row>
    <row r="16" spans="1:55" x14ac:dyDescent="0.2">
      <c r="A16" s="21"/>
      <c r="B16" s="22"/>
      <c r="C16" s="22"/>
      <c r="D16" s="23"/>
      <c r="E16" s="24"/>
      <c r="F16" s="34"/>
      <c r="H16" s="89" t="str">
        <f>IF(OR(D16="",F16="",A16=""),"",IF(E16="oui",0,IF(D16=OBJECTIFS!$C$45,VLOOKUP(F16,OBJECTIFS!$C$9:$D$11,2,FALSE),IF(D16=OBJECTIFS!$C$46,VLOOKUP(F16,OBJECTIFS!$C$16:$D$18,2,FALSE),IF(D16=OBJECTIFS!$C$47,VLOOKUP(F16,OBJECTIFS!$C$23:$D$25,2,FALSE),IF(D16=OBJECTIFS!$C$48,VLOOKUP(F16,OBJECTIFS!$C$30:$D$32,2,FALSE),IF(D16=OBJECTIFS!$C$49,VLOOKUP(F16,OBJECTIFS!$C$37:$D$39,2,FALSE))))))))</f>
        <v/>
      </c>
      <c r="J16" s="25"/>
      <c r="K16" s="90" t="str">
        <f>IF(OR($A16="",$D16="",J16=""),"",SUMIFS(OBJECTIFS!E$9:E$39,OBJECTIFS!$A$9:$A$39,$D16,OBJECTIFS!$C$9:$C$39,$F16))</f>
        <v/>
      </c>
      <c r="L16" s="90" t="str">
        <f>IF(OR(AND($D16=OBJECTIFS!$B$6,OBJECTIFS!E$8="dmt"),AND($D16=OBJECTIFS!$B$13,OBJECTIFS!$E$15="dmt"),AND($D16=OBJECTIFS!$B$20,OBJECTIFS!$E$22="dmt"),AND($D16=OBJECTIFS!$B$27,OBJECTIFS!$E$29="dmt"),AND($D16=OBJECTIFS!$B$34,OBJECTIFS!$E$36="dmt"),AND($D16=OBJECTIFS!$B$6,OBJECTIFS!$E$8="taux de chute"),AND($D16=OBJECTIFS!$B$13,OBJECTIFS!$E$15="taux de chute"),AND($D16=OBJECTIFS!$B$20,OBJECTIFS!$E$22="taux de chute"),AND($D16=OBJECTIFS!$B$27,OBJECTIFS!$E$29="taux de chute"),AND($D16=OBJECTIFS!$B$34,OBJECTIFS!$E$36="taux de chute")),IFERROR(K16/J16,""),IFERROR(J16/K16,""))</f>
        <v/>
      </c>
      <c r="M16" s="91">
        <f>IFERROR(IF(OR(J16="",K16="",L16=""),0,IF(L16&lt;OBJECTIFS!$E$56,0,IF(L16&lt;OBJECTIFS!$G$56,M$8*OBJECTIFS!$F$60,IF(L16&lt;OBJECTIFS!$I$56,M$8*OBJECTIFS!$H$60,M$8)))),0)</f>
        <v>0</v>
      </c>
      <c r="N16" s="161"/>
      <c r="O16" s="92" t="str">
        <f>IF(OR($A16="",$D16="",N16=""),"",SUMIFS(OBJECTIFS!F$9:F$39,OBJECTIFS!$A$9:$A$39,$D16,OBJECTIFS!$C$9:$C$39,$F16))</f>
        <v/>
      </c>
      <c r="P16" s="90" t="str">
        <f>IF(OR(AND($D16=OBJECTIFS!$B$6,OBJECTIFS!$F$8="dmt"),AND($D16=OBJECTIFS!$B$13,OBJECTIFS!$F$15="dmt"),AND($D16=OBJECTIFS!$B$20,OBJECTIFS!$F$22="dmt"),AND($D16=OBJECTIFS!$B$27,OBJECTIFS!$F$29="dmt"),AND($D16=OBJECTIFS!$B$34,OBJECTIFS!$F$36="dmt"),AND($D16=OBJECTIFS!$B$6,OBJECTIFS!$F$8="taux de chute"),AND($D16=OBJECTIFS!$B$13,OBJECTIFS!$F$15="taux de chute"),AND($D16=OBJECTIFS!$B$20,OBJECTIFS!$F$22="taux de chute"),AND($D16=OBJECTIFS!$B$27,OBJECTIFS!$F$29="taux de chute"),AND($D16=OBJECTIFS!$B$34,OBJECTIFS!$F$36="taux de chute")),IFERROR(O16/N16,""),IFERROR(N16/O16,""))</f>
        <v/>
      </c>
      <c r="Q16" s="91">
        <f>IFERROR(IF(OR(N16="",O16="",P16=""),0,IF(P16&lt;OBJECTIFS!$E$56,0,IF(P16&lt;OBJECTIFS!$G$56,Q$8*OBJECTIFS!$F$60,IF(P16&lt;OBJECTIFS!$I$56,Q$8*OBJECTIFS!$H$60,Q$8)))),0)</f>
        <v>0</v>
      </c>
      <c r="R16" s="164"/>
      <c r="S16" s="93" t="str">
        <f>IF(OR($A16="",$D16="",R16=""),"",SUMIFS(OBJECTIFS!G$9:G$39,OBJECTIFS!$A$9:$A$39,$D16,OBJECTIFS!$C$9:$C$39,$F16))</f>
        <v/>
      </c>
      <c r="T16" s="90" t="str">
        <f>IF(OR(AND($D16=OBJECTIFS!$B$6,OBJECTIFS!G$8="dmt"),AND($D16=OBJECTIFS!$B$13,OBJECTIFS!$G$15="dmt"),AND($D16=OBJECTIFS!$B$20,OBJECTIFS!$G$22="dmt"),AND($D16=OBJECTIFS!$B$27,OBJECTIFS!$G$29="dmt"),AND($D16=OBJECTIFS!$B$34,OBJECTIFS!$G$36="dmt"),AND($D16=OBJECTIFS!$B$6,OBJECTIFS!$G$8="taux de chute"),AND($D16=OBJECTIFS!$B$13,OBJECTIFS!$G$15="taux de chute"),AND($D16=OBJECTIFS!$B$20,OBJECTIFS!$G$22="taux de chute"),AND($D16=OBJECTIFS!$B$27,OBJECTIFS!$G$29="taux de chute"),AND($D16=OBJECTIFS!$B$34,OBJECTIFS!$G$36="taux de chute")),IFERROR(S16/R16,""),IFERROR(R16/S16,""))</f>
        <v/>
      </c>
      <c r="U16" s="94">
        <f>IFERROR(IF(OR(R16="",S16="",T16=""),0,IF(T16&lt;OBJECTIFS!$E$56,0,IF(T16&lt;OBJECTIFS!$G$56,U$8*OBJECTIFS!$F$60,IF(T16&lt;OBJECTIFS!$I$56,U$8*OBJECTIFS!$H$60,U$8)))),0)</f>
        <v>0</v>
      </c>
      <c r="V16" s="25"/>
      <c r="W16" s="90" t="str">
        <f>IF(OR($A16="",$D16="",V16=""),"",SUMIFS(OBJECTIFS!H$9:H$39,OBJECTIFS!$A$9:$A$39,$D16,OBJECTIFS!$C$9:$C$39,$F16))</f>
        <v/>
      </c>
      <c r="X16" s="90" t="str">
        <f>IF(OR(AND($D16=OBJECTIFS!$B$6,OBJECTIFS!H$8="dmt"),AND($D16=OBJECTIFS!$B$13,OBJECTIFS!$H$15="dmt"),AND($D16=OBJECTIFS!$B$20,OBJECTIFS!$H$22="dmt"),AND($D16=OBJECTIFS!$B$27,OBJECTIFS!$H$29="dmt"),AND($D16=OBJECTIFS!$B$34,OBJECTIFS!$H$36="dmt"),AND($D16=OBJECTIFS!$B$6,OBJECTIFS!$H$8="taux de chute"),AND($D16=OBJECTIFS!$B$13,OBJECTIFS!$H$15="taux de chute"),AND($D16=OBJECTIFS!$B$20,OBJECTIFS!$H$22="taux de chute"),AND($D16=OBJECTIFS!$B$27,OBJECTIFS!$H$29="taux de chute"),AND($D16=OBJECTIFS!$B$34,OBJECTIFS!$H$36="taux de chute")),IFERROR(W16/V16,""),IFERROR(V16/W16,""))</f>
        <v/>
      </c>
      <c r="Y16" s="91">
        <f>IFERROR(IF(OR(V16="",W16="",X16=""),0,IF(X16&lt;OBJECTIFS!$E$56,0,IF(X16&lt;OBJECTIFS!$G$56,Y$8*OBJECTIFS!$F$60,IF(X16&lt;OBJECTIFS!$I$56,Y$8*OBJECTIFS!$H$60,Y$8)))),0)</f>
        <v>0</v>
      </c>
      <c r="Z16" s="167"/>
      <c r="AA16" s="90" t="str">
        <f>IF(OR($A16="",$D16="",Z16=""),"",SUMIFS(OBJECTIFS!I$9:I$39,OBJECTIFS!$A$9:$A$39,$D16,OBJECTIFS!$C$9:$C$39,$F16))</f>
        <v/>
      </c>
      <c r="AB16" s="90" t="str">
        <f>IF(OR(AND($D16=OBJECTIFS!$B$6,OBJECTIFS!I$8="dmt"),AND($D16=OBJECTIFS!$B$13,OBJECTIFS!$I$15="dmt"),AND($D16=OBJECTIFS!$B$20,OBJECTIFS!$I$22="dmt"),AND($D16=OBJECTIFS!$B$27,OBJECTIFS!$I$29="dmt"),AND($D16=OBJECTIFS!$B$34,OBJECTIFS!$I$36="dmt"),AND($D16=OBJECTIFS!$B$6,OBJECTIFS!$I$8="taux de chute"),AND($D16=OBJECTIFS!$B$13,OBJECTIFS!$I$15="taux de chute"),AND($D16=OBJECTIFS!$B$20,OBJECTIFS!$I$22="taux de chute"),AND($D16=OBJECTIFS!$B$27,OBJECTIFS!$I$29="taux de chute"),AND($D16=OBJECTIFS!$B$34,OBJECTIFS!$I$36="taux de chute")),IFERROR(AA16/Z16,""),IFERROR(Z16/AA16,""))</f>
        <v/>
      </c>
      <c r="AC16" s="95">
        <f>IFERROR(IF(OR(Z16="",AA16="",AB16=""),0,IF(AB16&lt;OBJECTIFS!$E$56,0,IF(AB16&lt;OBJECTIFS!$G$56,AC$8*OBJECTIFS!$F$60,IF(AB16&lt;OBJECTIFS!$I$56,AC$8*OBJECTIFS!$H$60,AC$8)))),0)</f>
        <v>0</v>
      </c>
      <c r="AD16" s="281"/>
      <c r="AE16" s="282"/>
      <c r="AF16" s="96">
        <f t="shared" ca="1" si="11"/>
        <v>0</v>
      </c>
      <c r="AG16" s="63"/>
      <c r="AH16" s="169"/>
      <c r="AI16" s="24"/>
      <c r="AJ16" s="24"/>
      <c r="AK16" s="24"/>
      <c r="AL16" s="24"/>
      <c r="AM16" s="79">
        <f t="shared" si="12"/>
        <v>0</v>
      </c>
      <c r="AN16" s="79">
        <v>22</v>
      </c>
      <c r="AO16" s="80">
        <f t="shared" si="13"/>
        <v>0</v>
      </c>
      <c r="AP16" s="81" t="str">
        <f t="shared" ca="1" si="14"/>
        <v/>
      </c>
      <c r="AQ16" s="82"/>
      <c r="AR16" s="97">
        <f>IFERROR(VLOOKUP(B16,OBJECTIFS!$C$76:$E$137,2,FALSE),0)</f>
        <v>0</v>
      </c>
      <c r="AS16" s="98">
        <f>IFERROR(VLOOKUP(B16,OBJECTIFS!$H$76:$J$137,2,FALSE),0)</f>
        <v>0</v>
      </c>
      <c r="AT16" s="98">
        <f>IFERROR(VLOOKUP(B16,OBJECTIFS!$C$142:$E$203,2,FALSE),0)</f>
        <v>0</v>
      </c>
      <c r="AU16" s="98">
        <f>IFERROR(VLOOKUP(B16,OBJECTIFS!$H$142:$J$203,2,FALSE),0)</f>
        <v>0</v>
      </c>
      <c r="AV16" s="98">
        <f>IFERROR(VLOOKUP(B16,OBJECTIFS!$F$208:$H$269,3,FALSE),0)</f>
        <v>0</v>
      </c>
      <c r="AW16" s="81">
        <f t="shared" si="15"/>
        <v>0</v>
      </c>
      <c r="AX16" s="82"/>
      <c r="AY16" s="99" t="str">
        <f t="shared" ca="1" si="16"/>
        <v/>
      </c>
      <c r="AZ16" s="63"/>
      <c r="BA16" s="100">
        <f t="shared" ca="1" si="17"/>
        <v>0</v>
      </c>
      <c r="BB16" s="64" t="str">
        <f t="shared" ca="1" si="18"/>
        <v/>
      </c>
      <c r="BC16" s="101" t="str">
        <f t="shared" ca="1" si="19"/>
        <v/>
      </c>
    </row>
    <row r="17" spans="1:55" x14ac:dyDescent="0.2">
      <c r="A17" s="21"/>
      <c r="B17" s="22"/>
      <c r="C17" s="22"/>
      <c r="D17" s="23"/>
      <c r="E17" s="24"/>
      <c r="F17" s="34"/>
      <c r="H17" s="89" t="str">
        <f>IF(OR(D17="",F17="",A17=""),"",IF(E17="oui",0,IF(D17=OBJECTIFS!$C$45,VLOOKUP(F17,OBJECTIFS!$C$9:$D$11,2,FALSE),IF(D17=OBJECTIFS!$C$46,VLOOKUP(F17,OBJECTIFS!$C$16:$D$18,2,FALSE),IF(D17=OBJECTIFS!$C$47,VLOOKUP(F17,OBJECTIFS!$C$23:$D$25,2,FALSE),IF(D17=OBJECTIFS!$C$48,VLOOKUP(F17,OBJECTIFS!$C$30:$D$32,2,FALSE),IF(D17=OBJECTIFS!$C$49,VLOOKUP(F17,OBJECTIFS!$C$37:$D$39,2,FALSE))))))))</f>
        <v/>
      </c>
      <c r="J17" s="25"/>
      <c r="K17" s="90" t="str">
        <f>IF(OR($A17="",$D17="",J17=""),"",SUMIFS(OBJECTIFS!E$9:E$39,OBJECTIFS!$A$9:$A$39,$D17,OBJECTIFS!$C$9:$C$39,$F17))</f>
        <v/>
      </c>
      <c r="L17" s="90" t="str">
        <f>IF(OR(AND($D17=OBJECTIFS!$B$6,OBJECTIFS!E$8="dmt"),AND($D17=OBJECTIFS!$B$13,OBJECTIFS!$E$15="dmt"),AND($D17=OBJECTIFS!$B$20,OBJECTIFS!$E$22="dmt"),AND($D17=OBJECTIFS!$B$27,OBJECTIFS!$E$29="dmt"),AND($D17=OBJECTIFS!$B$34,OBJECTIFS!$E$36="dmt"),AND($D17=OBJECTIFS!$B$6,OBJECTIFS!$E$8="taux de chute"),AND($D17=OBJECTIFS!$B$13,OBJECTIFS!$E$15="taux de chute"),AND($D17=OBJECTIFS!$B$20,OBJECTIFS!$E$22="taux de chute"),AND($D17=OBJECTIFS!$B$27,OBJECTIFS!$E$29="taux de chute"),AND($D17=OBJECTIFS!$B$34,OBJECTIFS!$E$36="taux de chute")),IFERROR(K17/J17,""),IFERROR(J17/K17,""))</f>
        <v/>
      </c>
      <c r="M17" s="91">
        <f>IFERROR(IF(OR(J17="",K17="",L17=""),0,IF(L17&lt;OBJECTIFS!$E$56,0,IF(L17&lt;OBJECTIFS!$G$56,M$8*OBJECTIFS!$F$60,IF(L17&lt;OBJECTIFS!$I$56,M$8*OBJECTIFS!$H$60,M$8)))),0)</f>
        <v>0</v>
      </c>
      <c r="N17" s="161"/>
      <c r="O17" s="92" t="str">
        <f>IF(OR($A17="",$D17="",N17=""),"",SUMIFS(OBJECTIFS!F$9:F$39,OBJECTIFS!$A$9:$A$39,$D17,OBJECTIFS!$C$9:$C$39,$F17))</f>
        <v/>
      </c>
      <c r="P17" s="90" t="str">
        <f>IF(OR(AND($D17=OBJECTIFS!$B$6,OBJECTIFS!$F$8="dmt"),AND($D17=OBJECTIFS!$B$13,OBJECTIFS!$F$15="dmt"),AND($D17=OBJECTIFS!$B$20,OBJECTIFS!$F$22="dmt"),AND($D17=OBJECTIFS!$B$27,OBJECTIFS!$F$29="dmt"),AND($D17=OBJECTIFS!$B$34,OBJECTIFS!$F$36="dmt"),AND($D17=OBJECTIFS!$B$6,OBJECTIFS!$F$8="taux de chute"),AND($D17=OBJECTIFS!$B$13,OBJECTIFS!$F$15="taux de chute"),AND($D17=OBJECTIFS!$B$20,OBJECTIFS!$F$22="taux de chute"),AND($D17=OBJECTIFS!$B$27,OBJECTIFS!$F$29="taux de chute"),AND($D17=OBJECTIFS!$B$34,OBJECTIFS!$F$36="taux de chute")),IFERROR(O17/N17,""),IFERROR(N17/O17,""))</f>
        <v/>
      </c>
      <c r="Q17" s="91">
        <f>IFERROR(IF(OR(N17="",O17="",P17=""),0,IF(P17&lt;OBJECTIFS!$E$56,0,IF(P17&lt;OBJECTIFS!$G$56,Q$8*OBJECTIFS!$F$60,IF(P17&lt;OBJECTIFS!$I$56,Q$8*OBJECTIFS!$H$60,Q$8)))),0)</f>
        <v>0</v>
      </c>
      <c r="R17" s="164"/>
      <c r="S17" s="93" t="str">
        <f>IF(OR($A17="",$D17="",R17=""),"",SUMIFS(OBJECTIFS!G$9:G$39,OBJECTIFS!$A$9:$A$39,$D17,OBJECTIFS!$C$9:$C$39,$F17))</f>
        <v/>
      </c>
      <c r="T17" s="90" t="str">
        <f>IF(OR(AND($D17=OBJECTIFS!$B$6,OBJECTIFS!G$8="dmt"),AND($D17=OBJECTIFS!$B$13,OBJECTIFS!$G$15="dmt"),AND($D17=OBJECTIFS!$B$20,OBJECTIFS!$G$22="dmt"),AND($D17=OBJECTIFS!$B$27,OBJECTIFS!$G$29="dmt"),AND($D17=OBJECTIFS!$B$34,OBJECTIFS!$G$36="dmt"),AND($D17=OBJECTIFS!$B$6,OBJECTIFS!$G$8="taux de chute"),AND($D17=OBJECTIFS!$B$13,OBJECTIFS!$G$15="taux de chute"),AND($D17=OBJECTIFS!$B$20,OBJECTIFS!$G$22="taux de chute"),AND($D17=OBJECTIFS!$B$27,OBJECTIFS!$G$29="taux de chute"),AND($D17=OBJECTIFS!$B$34,OBJECTIFS!$G$36="taux de chute")),IFERROR(S17/R17,""),IFERROR(R17/S17,""))</f>
        <v/>
      </c>
      <c r="U17" s="94">
        <f>IFERROR(IF(OR(R17="",S17="",T17=""),0,IF(T17&lt;OBJECTIFS!$E$56,0,IF(T17&lt;OBJECTIFS!$G$56,U$8*OBJECTIFS!$F$60,IF(T17&lt;OBJECTIFS!$I$56,U$8*OBJECTIFS!$H$60,U$8)))),0)</f>
        <v>0</v>
      </c>
      <c r="V17" s="25"/>
      <c r="W17" s="90" t="str">
        <f>IF(OR($A17="",$D17="",V17=""),"",SUMIFS(OBJECTIFS!H$9:H$39,OBJECTIFS!$A$9:$A$39,$D17,OBJECTIFS!$C$9:$C$39,$F17))</f>
        <v/>
      </c>
      <c r="X17" s="90" t="str">
        <f>IF(OR(AND($D17=OBJECTIFS!$B$6,OBJECTIFS!H$8="dmt"),AND($D17=OBJECTIFS!$B$13,OBJECTIFS!$H$15="dmt"),AND($D17=OBJECTIFS!$B$20,OBJECTIFS!$H$22="dmt"),AND($D17=OBJECTIFS!$B$27,OBJECTIFS!$H$29="dmt"),AND($D17=OBJECTIFS!$B$34,OBJECTIFS!$H$36="dmt"),AND($D17=OBJECTIFS!$B$6,OBJECTIFS!$H$8="taux de chute"),AND($D17=OBJECTIFS!$B$13,OBJECTIFS!$H$15="taux de chute"),AND($D17=OBJECTIFS!$B$20,OBJECTIFS!$H$22="taux de chute"),AND($D17=OBJECTIFS!$B$27,OBJECTIFS!$H$29="taux de chute"),AND($D17=OBJECTIFS!$B$34,OBJECTIFS!$H$36="taux de chute")),IFERROR(W17/V17,""),IFERROR(V17/W17,""))</f>
        <v/>
      </c>
      <c r="Y17" s="91">
        <f>IFERROR(IF(OR(V17="",W17="",X17=""),0,IF(X17&lt;OBJECTIFS!$E$56,0,IF(X17&lt;OBJECTIFS!$G$56,Y$8*OBJECTIFS!$F$60,IF(X17&lt;OBJECTIFS!$I$56,Y$8*OBJECTIFS!$H$60,Y$8)))),0)</f>
        <v>0</v>
      </c>
      <c r="Z17" s="167"/>
      <c r="AA17" s="90" t="str">
        <f>IF(OR($A17="",$D17="",Z17=""),"",SUMIFS(OBJECTIFS!I$9:I$39,OBJECTIFS!$A$9:$A$39,$D17,OBJECTIFS!$C$9:$C$39,$F17))</f>
        <v/>
      </c>
      <c r="AB17" s="90" t="str">
        <f>IF(OR(AND($D17=OBJECTIFS!$B$6,OBJECTIFS!I$8="dmt"),AND($D17=OBJECTIFS!$B$13,OBJECTIFS!$I$15="dmt"),AND($D17=OBJECTIFS!$B$20,OBJECTIFS!$I$22="dmt"),AND($D17=OBJECTIFS!$B$27,OBJECTIFS!$I$29="dmt"),AND($D17=OBJECTIFS!$B$34,OBJECTIFS!$I$36="dmt"),AND($D17=OBJECTIFS!$B$6,OBJECTIFS!$I$8="taux de chute"),AND($D17=OBJECTIFS!$B$13,OBJECTIFS!$I$15="taux de chute"),AND($D17=OBJECTIFS!$B$20,OBJECTIFS!$I$22="taux de chute"),AND($D17=OBJECTIFS!$B$27,OBJECTIFS!$I$29="taux de chute"),AND($D17=OBJECTIFS!$B$34,OBJECTIFS!$I$36="taux de chute")),IFERROR(AA17/Z17,""),IFERROR(Z17/AA17,""))</f>
        <v/>
      </c>
      <c r="AC17" s="95">
        <f>IFERROR(IF(OR(Z17="",AA17="",AB17=""),0,IF(AB17&lt;OBJECTIFS!$E$56,0,IF(AB17&lt;OBJECTIFS!$G$56,AC$8*OBJECTIFS!$F$60,IF(AB17&lt;OBJECTIFS!$I$56,AC$8*OBJECTIFS!$H$60,AC$8)))),0)</f>
        <v>0</v>
      </c>
      <c r="AD17" s="281"/>
      <c r="AE17" s="282"/>
      <c r="AF17" s="96">
        <f t="shared" ca="1" si="11"/>
        <v>0</v>
      </c>
      <c r="AG17" s="63"/>
      <c r="AH17" s="169"/>
      <c r="AI17" s="24"/>
      <c r="AJ17" s="24"/>
      <c r="AK17" s="24"/>
      <c r="AL17" s="24"/>
      <c r="AM17" s="79">
        <f t="shared" si="12"/>
        <v>0</v>
      </c>
      <c r="AN17" s="79">
        <v>22</v>
      </c>
      <c r="AO17" s="80">
        <f t="shared" si="13"/>
        <v>0</v>
      </c>
      <c r="AP17" s="81" t="str">
        <f t="shared" ca="1" si="14"/>
        <v/>
      </c>
      <c r="AQ17" s="82"/>
      <c r="AR17" s="97">
        <f>IFERROR(VLOOKUP(B17,OBJECTIFS!$C$76:$E$137,2,FALSE),0)</f>
        <v>0</v>
      </c>
      <c r="AS17" s="98">
        <f>IFERROR(VLOOKUP(B17,OBJECTIFS!$H$76:$J$137,2,FALSE),0)</f>
        <v>0</v>
      </c>
      <c r="AT17" s="98">
        <f>IFERROR(VLOOKUP(B17,OBJECTIFS!$C$142:$E$203,2,FALSE),0)</f>
        <v>0</v>
      </c>
      <c r="AU17" s="98">
        <f>IFERROR(VLOOKUP(B17,OBJECTIFS!$H$142:$J$203,2,FALSE),0)</f>
        <v>0</v>
      </c>
      <c r="AV17" s="98">
        <f>IFERROR(VLOOKUP(B17,OBJECTIFS!$F$208:$H$269,3,FALSE),0)</f>
        <v>0</v>
      </c>
      <c r="AW17" s="81">
        <f t="shared" si="15"/>
        <v>0</v>
      </c>
      <c r="AX17" s="82"/>
      <c r="AY17" s="99" t="str">
        <f t="shared" ca="1" si="16"/>
        <v/>
      </c>
      <c r="AZ17" s="63"/>
      <c r="BA17" s="100">
        <f t="shared" ca="1" si="17"/>
        <v>0</v>
      </c>
      <c r="BB17" s="64" t="str">
        <f t="shared" ca="1" si="18"/>
        <v/>
      </c>
      <c r="BC17" s="101" t="str">
        <f t="shared" ca="1" si="19"/>
        <v/>
      </c>
    </row>
    <row r="18" spans="1:55" x14ac:dyDescent="0.2">
      <c r="A18" s="21"/>
      <c r="B18" s="22"/>
      <c r="C18" s="22"/>
      <c r="D18" s="23"/>
      <c r="E18" s="24"/>
      <c r="F18" s="34"/>
      <c r="H18" s="89" t="str">
        <f>IF(OR(D18="",F18="",A18=""),"",IF(E18="oui",0,IF(D18=OBJECTIFS!$C$45,VLOOKUP(F18,OBJECTIFS!$C$9:$D$11,2,FALSE),IF(D18=OBJECTIFS!$C$46,VLOOKUP(F18,OBJECTIFS!$C$16:$D$18,2,FALSE),IF(D18=OBJECTIFS!$C$47,VLOOKUP(F18,OBJECTIFS!$C$23:$D$25,2,FALSE),IF(D18=OBJECTIFS!$C$48,VLOOKUP(F18,OBJECTIFS!$C$30:$D$32,2,FALSE),IF(D18=OBJECTIFS!$C$49,VLOOKUP(F18,OBJECTIFS!$C$37:$D$39,2,FALSE))))))))</f>
        <v/>
      </c>
      <c r="J18" s="25"/>
      <c r="K18" s="90" t="str">
        <f>IF(OR($A18="",$D18="",J18=""),"",SUMIFS(OBJECTIFS!E$9:E$39,OBJECTIFS!$A$9:$A$39,$D18,OBJECTIFS!$C$9:$C$39,$F18))</f>
        <v/>
      </c>
      <c r="L18" s="90" t="str">
        <f>IF(OR(AND($D18=OBJECTIFS!$B$6,OBJECTIFS!E$8="dmt"),AND($D18=OBJECTIFS!$B$13,OBJECTIFS!$E$15="dmt"),AND($D18=OBJECTIFS!$B$20,OBJECTIFS!$E$22="dmt"),AND($D18=OBJECTIFS!$B$27,OBJECTIFS!$E$29="dmt"),AND($D18=OBJECTIFS!$B$34,OBJECTIFS!$E$36="dmt"),AND($D18=OBJECTIFS!$B$6,OBJECTIFS!$E$8="taux de chute"),AND($D18=OBJECTIFS!$B$13,OBJECTIFS!$E$15="taux de chute"),AND($D18=OBJECTIFS!$B$20,OBJECTIFS!$E$22="taux de chute"),AND($D18=OBJECTIFS!$B$27,OBJECTIFS!$E$29="taux de chute"),AND($D18=OBJECTIFS!$B$34,OBJECTIFS!$E$36="taux de chute")),IFERROR(K18/J18,""),IFERROR(J18/K18,""))</f>
        <v/>
      </c>
      <c r="M18" s="91">
        <f>IFERROR(IF(OR(J18="",K18="",L18=""),0,IF(L18&lt;OBJECTIFS!$E$56,0,IF(L18&lt;OBJECTIFS!$G$56,M$8*OBJECTIFS!$F$60,IF(L18&lt;OBJECTIFS!$I$56,M$8*OBJECTIFS!$H$60,M$8)))),0)</f>
        <v>0</v>
      </c>
      <c r="N18" s="161"/>
      <c r="O18" s="92" t="str">
        <f>IF(OR($A18="",$D18="",N18=""),"",SUMIFS(OBJECTIFS!F$9:F$39,OBJECTIFS!$A$9:$A$39,$D18,OBJECTIFS!$C$9:$C$39,$F18))</f>
        <v/>
      </c>
      <c r="P18" s="90" t="str">
        <f>IF(OR(AND($D18=OBJECTIFS!$B$6,OBJECTIFS!$F$8="dmt"),AND($D18=OBJECTIFS!$B$13,OBJECTIFS!$F$15="dmt"),AND($D18=OBJECTIFS!$B$20,OBJECTIFS!$F$22="dmt"),AND($D18=OBJECTIFS!$B$27,OBJECTIFS!$F$29="dmt"),AND($D18=OBJECTIFS!$B$34,OBJECTIFS!$F$36="dmt"),AND($D18=OBJECTIFS!$B$6,OBJECTIFS!$F$8="taux de chute"),AND($D18=OBJECTIFS!$B$13,OBJECTIFS!$F$15="taux de chute"),AND($D18=OBJECTIFS!$B$20,OBJECTIFS!$F$22="taux de chute"),AND($D18=OBJECTIFS!$B$27,OBJECTIFS!$F$29="taux de chute"),AND($D18=OBJECTIFS!$B$34,OBJECTIFS!$F$36="taux de chute")),IFERROR(O18/N18,""),IFERROR(N18/O18,""))</f>
        <v/>
      </c>
      <c r="Q18" s="91">
        <f>IFERROR(IF(OR(N18="",O18="",P18=""),0,IF(P18&lt;OBJECTIFS!$E$56,0,IF(P18&lt;OBJECTIFS!$G$56,Q$8*OBJECTIFS!$F$60,IF(P18&lt;OBJECTIFS!$I$56,Q$8*OBJECTIFS!$H$60,Q$8)))),0)</f>
        <v>0</v>
      </c>
      <c r="R18" s="164"/>
      <c r="S18" s="93" t="str">
        <f>IF(OR($A18="",$D18="",R18=""),"",SUMIFS(OBJECTIFS!G$9:G$39,OBJECTIFS!$A$9:$A$39,$D18,OBJECTIFS!$C$9:$C$39,$F18))</f>
        <v/>
      </c>
      <c r="T18" s="90" t="str">
        <f>IF(OR(AND($D18=OBJECTIFS!$B$6,OBJECTIFS!G$8="dmt"),AND($D18=OBJECTIFS!$B$13,OBJECTIFS!$G$15="dmt"),AND($D18=OBJECTIFS!$B$20,OBJECTIFS!$G$22="dmt"),AND($D18=OBJECTIFS!$B$27,OBJECTIFS!$G$29="dmt"),AND($D18=OBJECTIFS!$B$34,OBJECTIFS!$G$36="dmt"),AND($D18=OBJECTIFS!$B$6,OBJECTIFS!$G$8="taux de chute"),AND($D18=OBJECTIFS!$B$13,OBJECTIFS!$G$15="taux de chute"),AND($D18=OBJECTIFS!$B$20,OBJECTIFS!$G$22="taux de chute"),AND($D18=OBJECTIFS!$B$27,OBJECTIFS!$G$29="taux de chute"),AND($D18=OBJECTIFS!$B$34,OBJECTIFS!$G$36="taux de chute")),IFERROR(S18/R18,""),IFERROR(R18/S18,""))</f>
        <v/>
      </c>
      <c r="U18" s="94">
        <f>IFERROR(IF(OR(R18="",S18="",T18=""),0,IF(T18&lt;OBJECTIFS!$E$56,0,IF(T18&lt;OBJECTIFS!$G$56,U$8*OBJECTIFS!$F$60,IF(T18&lt;OBJECTIFS!$I$56,U$8*OBJECTIFS!$H$60,U$8)))),0)</f>
        <v>0</v>
      </c>
      <c r="V18" s="25"/>
      <c r="W18" s="90" t="str">
        <f>IF(OR($A18="",$D18="",V18=""),"",SUMIFS(OBJECTIFS!H$9:H$39,OBJECTIFS!$A$9:$A$39,$D18,OBJECTIFS!$C$9:$C$39,$F18))</f>
        <v/>
      </c>
      <c r="X18" s="90" t="str">
        <f>IF(OR(AND($D18=OBJECTIFS!$B$6,OBJECTIFS!H$8="dmt"),AND($D18=OBJECTIFS!$B$13,OBJECTIFS!$H$15="dmt"),AND($D18=OBJECTIFS!$B$20,OBJECTIFS!$H$22="dmt"),AND($D18=OBJECTIFS!$B$27,OBJECTIFS!$H$29="dmt"),AND($D18=OBJECTIFS!$B$34,OBJECTIFS!$H$36="dmt"),AND($D18=OBJECTIFS!$B$6,OBJECTIFS!$H$8="taux de chute"),AND($D18=OBJECTIFS!$B$13,OBJECTIFS!$H$15="taux de chute"),AND($D18=OBJECTIFS!$B$20,OBJECTIFS!$H$22="taux de chute"),AND($D18=OBJECTIFS!$B$27,OBJECTIFS!$H$29="taux de chute"),AND($D18=OBJECTIFS!$B$34,OBJECTIFS!$H$36="taux de chute")),IFERROR(W18/V18,""),IFERROR(V18/W18,""))</f>
        <v/>
      </c>
      <c r="Y18" s="91">
        <f>IFERROR(IF(OR(V18="",W18="",X18=""),0,IF(X18&lt;OBJECTIFS!$E$56,0,IF(X18&lt;OBJECTIFS!$G$56,Y$8*OBJECTIFS!$F$60,IF(X18&lt;OBJECTIFS!$I$56,Y$8*OBJECTIFS!$H$60,Y$8)))),0)</f>
        <v>0</v>
      </c>
      <c r="Z18" s="167"/>
      <c r="AA18" s="90" t="str">
        <f>IF(OR($A18="",$D18="",Z18=""),"",SUMIFS(OBJECTIFS!I$9:I$39,OBJECTIFS!$A$9:$A$39,$D18,OBJECTIFS!$C$9:$C$39,$F18))</f>
        <v/>
      </c>
      <c r="AB18" s="90" t="str">
        <f>IF(OR(AND($D18=OBJECTIFS!$B$6,OBJECTIFS!I$8="dmt"),AND($D18=OBJECTIFS!$B$13,OBJECTIFS!$I$15="dmt"),AND($D18=OBJECTIFS!$B$20,OBJECTIFS!$I$22="dmt"),AND($D18=OBJECTIFS!$B$27,OBJECTIFS!$I$29="dmt"),AND($D18=OBJECTIFS!$B$34,OBJECTIFS!$I$36="dmt"),AND($D18=OBJECTIFS!$B$6,OBJECTIFS!$I$8="taux de chute"),AND($D18=OBJECTIFS!$B$13,OBJECTIFS!$I$15="taux de chute"),AND($D18=OBJECTIFS!$B$20,OBJECTIFS!$I$22="taux de chute"),AND($D18=OBJECTIFS!$B$27,OBJECTIFS!$I$29="taux de chute"),AND($D18=OBJECTIFS!$B$34,OBJECTIFS!$I$36="taux de chute")),IFERROR(AA18/Z18,""),IFERROR(Z18/AA18,""))</f>
        <v/>
      </c>
      <c r="AC18" s="95">
        <f>IFERROR(IF(OR(Z18="",AA18="",AB18=""),0,IF(AB18&lt;OBJECTIFS!$E$56,0,IF(AB18&lt;OBJECTIFS!$G$56,AC$8*OBJECTIFS!$F$60,IF(AB18&lt;OBJECTIFS!$I$56,AC$8*OBJECTIFS!$H$60,AC$8)))),0)</f>
        <v>0</v>
      </c>
      <c r="AD18" s="186"/>
      <c r="AE18" s="187"/>
      <c r="AF18" s="96">
        <f t="shared" ca="1" si="11"/>
        <v>0</v>
      </c>
      <c r="AG18" s="63"/>
      <c r="AH18" s="186"/>
      <c r="AI18" s="24"/>
      <c r="AJ18" s="24"/>
      <c r="AK18" s="24"/>
      <c r="AL18" s="24"/>
      <c r="AM18" s="79">
        <f t="shared" si="12"/>
        <v>0</v>
      </c>
      <c r="AN18" s="79">
        <v>22</v>
      </c>
      <c r="AO18" s="80">
        <f t="shared" si="13"/>
        <v>0</v>
      </c>
      <c r="AP18" s="81" t="str">
        <f t="shared" ca="1" si="14"/>
        <v/>
      </c>
      <c r="AQ18" s="82"/>
      <c r="AR18" s="97">
        <f>IFERROR(VLOOKUP(B18,OBJECTIFS!$C$76:$E$137,2,FALSE),0)</f>
        <v>0</v>
      </c>
      <c r="AS18" s="98">
        <f>IFERROR(VLOOKUP(B18,OBJECTIFS!$H$76:$J$137,2,FALSE),0)</f>
        <v>0</v>
      </c>
      <c r="AT18" s="98">
        <f>IFERROR(VLOOKUP(B18,OBJECTIFS!$C$142:$E$203,2,FALSE),0)</f>
        <v>0</v>
      </c>
      <c r="AU18" s="98">
        <f>IFERROR(VLOOKUP(B18,OBJECTIFS!$H$142:$J$203,2,FALSE),0)</f>
        <v>0</v>
      </c>
      <c r="AV18" s="98">
        <f>IFERROR(VLOOKUP(B18,OBJECTIFS!$F$208:$H$269,3,FALSE),0)</f>
        <v>0</v>
      </c>
      <c r="AW18" s="81">
        <f t="shared" si="15"/>
        <v>0</v>
      </c>
      <c r="AX18" s="82"/>
      <c r="AY18" s="99" t="str">
        <f t="shared" ca="1" si="16"/>
        <v/>
      </c>
      <c r="AZ18" s="63"/>
      <c r="BA18" s="100">
        <f t="shared" ca="1" si="17"/>
        <v>0</v>
      </c>
      <c r="BB18" s="64" t="str">
        <f t="shared" ca="1" si="18"/>
        <v/>
      </c>
      <c r="BC18" s="101" t="str">
        <f t="shared" ca="1" si="19"/>
        <v/>
      </c>
    </row>
    <row r="19" spans="1:55" x14ac:dyDescent="0.2">
      <c r="A19" s="21"/>
      <c r="B19" s="22"/>
      <c r="C19" s="22"/>
      <c r="D19" s="23"/>
      <c r="E19" s="24"/>
      <c r="F19" s="34"/>
      <c r="H19" s="89" t="str">
        <f>IF(OR(D19="",F19="",A19=""),"",IF(E19="oui",0,IF(D19=OBJECTIFS!$C$45,VLOOKUP(F19,OBJECTIFS!$C$9:$D$11,2,FALSE),IF(D19=OBJECTIFS!$C$46,VLOOKUP(F19,OBJECTIFS!$C$16:$D$18,2,FALSE),IF(D19=OBJECTIFS!$C$47,VLOOKUP(F19,OBJECTIFS!$C$23:$D$25,2,FALSE),IF(D19=OBJECTIFS!$C$48,VLOOKUP(F19,OBJECTIFS!$C$30:$D$32,2,FALSE),IF(D19=OBJECTIFS!$C$49,VLOOKUP(F19,OBJECTIFS!$C$37:$D$39,2,FALSE))))))))</f>
        <v/>
      </c>
      <c r="J19" s="25"/>
      <c r="K19" s="90" t="str">
        <f>IF(OR($A19="",$D19="",J19=""),"",SUMIFS(OBJECTIFS!E$9:E$39,OBJECTIFS!$A$9:$A$39,$D19,OBJECTIFS!$C$9:$C$39,$F19))</f>
        <v/>
      </c>
      <c r="L19" s="90" t="str">
        <f>IF(OR(AND($D19=OBJECTIFS!$B$6,OBJECTIFS!E$8="dmt"),AND($D19=OBJECTIFS!$B$13,OBJECTIFS!$E$15="dmt"),AND($D19=OBJECTIFS!$B$20,OBJECTIFS!$E$22="dmt"),AND($D19=OBJECTIFS!$B$27,OBJECTIFS!$E$29="dmt"),AND($D19=OBJECTIFS!$B$34,OBJECTIFS!$E$36="dmt"),AND($D19=OBJECTIFS!$B$6,OBJECTIFS!$E$8="taux de chute"),AND($D19=OBJECTIFS!$B$13,OBJECTIFS!$E$15="taux de chute"),AND($D19=OBJECTIFS!$B$20,OBJECTIFS!$E$22="taux de chute"),AND($D19=OBJECTIFS!$B$27,OBJECTIFS!$E$29="taux de chute"),AND($D19=OBJECTIFS!$B$34,OBJECTIFS!$E$36="taux de chute")),IFERROR(K19/J19,""),IFERROR(J19/K19,""))</f>
        <v/>
      </c>
      <c r="M19" s="91">
        <f>IFERROR(IF(OR(J19="",K19="",L19=""),0,IF(L19&lt;OBJECTIFS!$E$56,0,IF(L19&lt;OBJECTIFS!$G$56,M$8*OBJECTIFS!$F$60,IF(L19&lt;OBJECTIFS!$I$56,M$8*OBJECTIFS!$H$60,M$8)))),0)</f>
        <v>0</v>
      </c>
      <c r="N19" s="161"/>
      <c r="O19" s="92" t="str">
        <f>IF(OR($A19="",$D19="",N19=""),"",SUMIFS(OBJECTIFS!F$9:F$39,OBJECTIFS!$A$9:$A$39,$D19,OBJECTIFS!$C$9:$C$39,$F19))</f>
        <v/>
      </c>
      <c r="P19" s="90" t="str">
        <f>IF(OR(AND($D19=OBJECTIFS!$B$6,OBJECTIFS!$F$8="dmt"),AND($D19=OBJECTIFS!$B$13,OBJECTIFS!$F$15="dmt"),AND($D19=OBJECTIFS!$B$20,OBJECTIFS!$F$22="dmt"),AND($D19=OBJECTIFS!$B$27,OBJECTIFS!$F$29="dmt"),AND($D19=OBJECTIFS!$B$34,OBJECTIFS!$F$36="dmt"),AND($D19=OBJECTIFS!$B$6,OBJECTIFS!$F$8="taux de chute"),AND($D19=OBJECTIFS!$B$13,OBJECTIFS!$F$15="taux de chute"),AND($D19=OBJECTIFS!$B$20,OBJECTIFS!$F$22="taux de chute"),AND($D19=OBJECTIFS!$B$27,OBJECTIFS!$F$29="taux de chute"),AND($D19=OBJECTIFS!$B$34,OBJECTIFS!$F$36="taux de chute")),IFERROR(O19/N19,""),IFERROR(N19/O19,""))</f>
        <v/>
      </c>
      <c r="Q19" s="91">
        <f>IFERROR(IF(OR(N19="",O19="",P19=""),0,IF(P19&lt;OBJECTIFS!$E$56,0,IF(P19&lt;OBJECTIFS!$G$56,Q$8*OBJECTIFS!$F$60,IF(P19&lt;OBJECTIFS!$I$56,Q$8*OBJECTIFS!$H$60,Q$8)))),0)</f>
        <v>0</v>
      </c>
      <c r="R19" s="164"/>
      <c r="S19" s="93" t="str">
        <f>IF(OR($A19="",$D19="",R19=""),"",SUMIFS(OBJECTIFS!G$9:G$39,OBJECTIFS!$A$9:$A$39,$D19,OBJECTIFS!$C$9:$C$39,$F19))</f>
        <v/>
      </c>
      <c r="T19" s="90" t="str">
        <f>IF(OR(AND($D19=OBJECTIFS!$B$6,OBJECTIFS!G$8="dmt"),AND($D19=OBJECTIFS!$B$13,OBJECTIFS!$G$15="dmt"),AND($D19=OBJECTIFS!$B$20,OBJECTIFS!$G$22="dmt"),AND($D19=OBJECTIFS!$B$27,OBJECTIFS!$G$29="dmt"),AND($D19=OBJECTIFS!$B$34,OBJECTIFS!$G$36="dmt"),AND($D19=OBJECTIFS!$B$6,OBJECTIFS!$G$8="taux de chute"),AND($D19=OBJECTIFS!$B$13,OBJECTIFS!$G$15="taux de chute"),AND($D19=OBJECTIFS!$B$20,OBJECTIFS!$G$22="taux de chute"),AND($D19=OBJECTIFS!$B$27,OBJECTIFS!$G$29="taux de chute"),AND($D19=OBJECTIFS!$B$34,OBJECTIFS!$G$36="taux de chute")),IFERROR(S19/R19,""),IFERROR(R19/S19,""))</f>
        <v/>
      </c>
      <c r="U19" s="94">
        <f>IFERROR(IF(OR(R19="",S19="",T19=""),0,IF(T19&lt;OBJECTIFS!$E$56,0,IF(T19&lt;OBJECTIFS!$G$56,U$8*OBJECTIFS!$F$60,IF(T19&lt;OBJECTIFS!$I$56,U$8*OBJECTIFS!$H$60,U$8)))),0)</f>
        <v>0</v>
      </c>
      <c r="V19" s="25"/>
      <c r="W19" s="90" t="str">
        <f>IF(OR($A19="",$D19="",V19=""),"",SUMIFS(OBJECTIFS!H$9:H$39,OBJECTIFS!$A$9:$A$39,$D19,OBJECTIFS!$C$9:$C$39,$F19))</f>
        <v/>
      </c>
      <c r="X19" s="90" t="str">
        <f>IF(OR(AND($D19=OBJECTIFS!$B$6,OBJECTIFS!H$8="dmt"),AND($D19=OBJECTIFS!$B$13,OBJECTIFS!$H$15="dmt"),AND($D19=OBJECTIFS!$B$20,OBJECTIFS!$H$22="dmt"),AND($D19=OBJECTIFS!$B$27,OBJECTIFS!$H$29="dmt"),AND($D19=OBJECTIFS!$B$34,OBJECTIFS!$H$36="dmt"),AND($D19=OBJECTIFS!$B$6,OBJECTIFS!$H$8="taux de chute"),AND($D19=OBJECTIFS!$B$13,OBJECTIFS!$H$15="taux de chute"),AND($D19=OBJECTIFS!$B$20,OBJECTIFS!$H$22="taux de chute"),AND($D19=OBJECTIFS!$B$27,OBJECTIFS!$H$29="taux de chute"),AND($D19=OBJECTIFS!$B$34,OBJECTIFS!$H$36="taux de chute")),IFERROR(W19/V19,""),IFERROR(V19/W19,""))</f>
        <v/>
      </c>
      <c r="Y19" s="91">
        <f>IFERROR(IF(OR(V19="",W19="",X19=""),0,IF(X19&lt;OBJECTIFS!$E$56,0,IF(X19&lt;OBJECTIFS!$G$56,Y$8*OBJECTIFS!$F$60,IF(X19&lt;OBJECTIFS!$I$56,Y$8*OBJECTIFS!$H$60,Y$8)))),0)</f>
        <v>0</v>
      </c>
      <c r="Z19" s="167"/>
      <c r="AA19" s="90" t="str">
        <f>IF(OR($A19="",$D19="",Z19=""),"",SUMIFS(OBJECTIFS!I$9:I$39,OBJECTIFS!$A$9:$A$39,$D19,OBJECTIFS!$C$9:$C$39,$F19))</f>
        <v/>
      </c>
      <c r="AB19" s="90" t="str">
        <f>IF(OR(AND($D19=OBJECTIFS!$B$6,OBJECTIFS!I$8="dmt"),AND($D19=OBJECTIFS!$B$13,OBJECTIFS!$I$15="dmt"),AND($D19=OBJECTIFS!$B$20,OBJECTIFS!$I$22="dmt"),AND($D19=OBJECTIFS!$B$27,OBJECTIFS!$I$29="dmt"),AND($D19=OBJECTIFS!$B$34,OBJECTIFS!$I$36="dmt"),AND($D19=OBJECTIFS!$B$6,OBJECTIFS!$I$8="taux de chute"),AND($D19=OBJECTIFS!$B$13,OBJECTIFS!$I$15="taux de chute"),AND($D19=OBJECTIFS!$B$20,OBJECTIFS!$I$22="taux de chute"),AND($D19=OBJECTIFS!$B$27,OBJECTIFS!$I$29="taux de chute"),AND($D19=OBJECTIFS!$B$34,OBJECTIFS!$I$36="taux de chute")),IFERROR(AA19/Z19,""),IFERROR(Z19/AA19,""))</f>
        <v/>
      </c>
      <c r="AC19" s="95">
        <f>IFERROR(IF(OR(Z19="",AA19="",AB19=""),0,IF(AB19&lt;OBJECTIFS!$E$56,0,IF(AB19&lt;OBJECTIFS!$G$56,AC$8*OBJECTIFS!$F$60,IF(AB19&lt;OBJECTIFS!$I$56,AC$8*OBJECTIFS!$H$60,AC$8)))),0)</f>
        <v>0</v>
      </c>
      <c r="AD19" s="186"/>
      <c r="AE19" s="187"/>
      <c r="AF19" s="96">
        <f t="shared" ca="1" si="11"/>
        <v>0</v>
      </c>
      <c r="AG19" s="63"/>
      <c r="AH19" s="186"/>
      <c r="AI19" s="24"/>
      <c r="AJ19" s="24"/>
      <c r="AK19" s="24"/>
      <c r="AL19" s="24"/>
      <c r="AM19" s="79">
        <f t="shared" si="12"/>
        <v>0</v>
      </c>
      <c r="AN19" s="79">
        <v>22</v>
      </c>
      <c r="AO19" s="80">
        <f t="shared" si="13"/>
        <v>0</v>
      </c>
      <c r="AP19" s="81" t="str">
        <f t="shared" ca="1" si="14"/>
        <v/>
      </c>
      <c r="AQ19" s="82"/>
      <c r="AR19" s="97">
        <f>IFERROR(VLOOKUP(B19,OBJECTIFS!$C$76:$E$137,2,FALSE),0)</f>
        <v>0</v>
      </c>
      <c r="AS19" s="98">
        <f>IFERROR(VLOOKUP(B19,OBJECTIFS!$H$76:$J$137,2,FALSE),0)</f>
        <v>0</v>
      </c>
      <c r="AT19" s="98">
        <f>IFERROR(VLOOKUP(B19,OBJECTIFS!$C$142:$E$203,2,FALSE),0)</f>
        <v>0</v>
      </c>
      <c r="AU19" s="98">
        <f>IFERROR(VLOOKUP(B19,OBJECTIFS!$H$142:$J$203,2,FALSE),0)</f>
        <v>0</v>
      </c>
      <c r="AV19" s="98">
        <f>IFERROR(VLOOKUP(B19,OBJECTIFS!$F$208:$H$269,3,FALSE),0)</f>
        <v>0</v>
      </c>
      <c r="AW19" s="81">
        <f t="shared" si="15"/>
        <v>0</v>
      </c>
      <c r="AX19" s="82"/>
      <c r="AY19" s="99" t="str">
        <f t="shared" ca="1" si="16"/>
        <v/>
      </c>
      <c r="AZ19" s="63"/>
      <c r="BA19" s="100">
        <f t="shared" ca="1" si="17"/>
        <v>0</v>
      </c>
      <c r="BB19" s="64" t="str">
        <f t="shared" ca="1" si="18"/>
        <v/>
      </c>
      <c r="BC19" s="101" t="str">
        <f t="shared" ca="1" si="19"/>
        <v/>
      </c>
    </row>
    <row r="20" spans="1:55" x14ac:dyDescent="0.2">
      <c r="A20" s="21"/>
      <c r="B20" s="22"/>
      <c r="C20" s="22"/>
      <c r="D20" s="23"/>
      <c r="E20" s="24"/>
      <c r="F20" s="34"/>
      <c r="H20" s="89" t="str">
        <f>IF(OR(D20="",F20="",A20=""),"",IF(E20="oui",0,IF(D20=OBJECTIFS!$C$45,VLOOKUP(F20,OBJECTIFS!$C$9:$D$11,2,FALSE),IF(D20=OBJECTIFS!$C$46,VLOOKUP(F20,OBJECTIFS!$C$16:$D$18,2,FALSE),IF(D20=OBJECTIFS!$C$47,VLOOKUP(F20,OBJECTIFS!$C$23:$D$25,2,FALSE),IF(D20=OBJECTIFS!$C$48,VLOOKUP(F20,OBJECTIFS!$C$30:$D$32,2,FALSE),IF(D20=OBJECTIFS!$C$49,VLOOKUP(F20,OBJECTIFS!$C$37:$D$39,2,FALSE))))))))</f>
        <v/>
      </c>
      <c r="J20" s="25"/>
      <c r="K20" s="90" t="str">
        <f>IF(OR($A20="",$D20="",J20=""),"",SUMIFS(OBJECTIFS!E$9:E$39,OBJECTIFS!$A$9:$A$39,$D20,OBJECTIFS!$C$9:$C$39,$F20))</f>
        <v/>
      </c>
      <c r="L20" s="90" t="str">
        <f>IF(OR(AND($D20=OBJECTIFS!$B$6,OBJECTIFS!E$8="dmt"),AND($D20=OBJECTIFS!$B$13,OBJECTIFS!$E$15="dmt"),AND($D20=OBJECTIFS!$B$20,OBJECTIFS!$E$22="dmt"),AND($D20=OBJECTIFS!$B$27,OBJECTIFS!$E$29="dmt"),AND($D20=OBJECTIFS!$B$34,OBJECTIFS!$E$36="dmt"),AND($D20=OBJECTIFS!$B$6,OBJECTIFS!$E$8="taux de chute"),AND($D20=OBJECTIFS!$B$13,OBJECTIFS!$E$15="taux de chute"),AND($D20=OBJECTIFS!$B$20,OBJECTIFS!$E$22="taux de chute"),AND($D20=OBJECTIFS!$B$27,OBJECTIFS!$E$29="taux de chute"),AND($D20=OBJECTIFS!$B$34,OBJECTIFS!$E$36="taux de chute")),IFERROR(K20/J20,""),IFERROR(J20/K20,""))</f>
        <v/>
      </c>
      <c r="M20" s="91">
        <f>IFERROR(IF(OR(J20="",K20="",L20=""),0,IF(L20&lt;OBJECTIFS!$E$56,0,IF(L20&lt;OBJECTIFS!$G$56,M$8*OBJECTIFS!$F$60,IF(L20&lt;OBJECTIFS!$I$56,M$8*OBJECTIFS!$H$60,M$8)))),0)</f>
        <v>0</v>
      </c>
      <c r="N20" s="161"/>
      <c r="O20" s="92" t="str">
        <f>IF(OR($A20="",$D20="",N20=""),"",SUMIFS(OBJECTIFS!F$9:F$39,OBJECTIFS!$A$9:$A$39,$D20,OBJECTIFS!$C$9:$C$39,$F20))</f>
        <v/>
      </c>
      <c r="P20" s="90" t="str">
        <f>IF(OR(AND($D20=OBJECTIFS!$B$6,OBJECTIFS!$F$8="dmt"),AND($D20=OBJECTIFS!$B$13,OBJECTIFS!$F$15="dmt"),AND($D20=OBJECTIFS!$B$20,OBJECTIFS!$F$22="dmt"),AND($D20=OBJECTIFS!$B$27,OBJECTIFS!$F$29="dmt"),AND($D20=OBJECTIFS!$B$34,OBJECTIFS!$F$36="dmt"),AND($D20=OBJECTIFS!$B$6,OBJECTIFS!$F$8="taux de chute"),AND($D20=OBJECTIFS!$B$13,OBJECTIFS!$F$15="taux de chute"),AND($D20=OBJECTIFS!$B$20,OBJECTIFS!$F$22="taux de chute"),AND($D20=OBJECTIFS!$B$27,OBJECTIFS!$F$29="taux de chute"),AND($D20=OBJECTIFS!$B$34,OBJECTIFS!$F$36="taux de chute")),IFERROR(O20/N20,""),IFERROR(N20/O20,""))</f>
        <v/>
      </c>
      <c r="Q20" s="91">
        <f>IFERROR(IF(OR(N20="",O20="",P20=""),0,IF(P20&lt;OBJECTIFS!$E$56,0,IF(P20&lt;OBJECTIFS!$G$56,Q$8*OBJECTIFS!$F$60,IF(P20&lt;OBJECTIFS!$I$56,Q$8*OBJECTIFS!$H$60,Q$8)))),0)</f>
        <v>0</v>
      </c>
      <c r="R20" s="164"/>
      <c r="S20" s="93" t="str">
        <f>IF(OR($A20="",$D20="",R20=""),"",SUMIFS(OBJECTIFS!G$9:G$39,OBJECTIFS!$A$9:$A$39,$D20,OBJECTIFS!$C$9:$C$39,$F20))</f>
        <v/>
      </c>
      <c r="T20" s="90" t="str">
        <f>IF(OR(AND($D20=OBJECTIFS!$B$6,OBJECTIFS!G$8="dmt"),AND($D20=OBJECTIFS!$B$13,OBJECTIFS!$G$15="dmt"),AND($D20=OBJECTIFS!$B$20,OBJECTIFS!$G$22="dmt"),AND($D20=OBJECTIFS!$B$27,OBJECTIFS!$G$29="dmt"),AND($D20=OBJECTIFS!$B$34,OBJECTIFS!$G$36="dmt"),AND($D20=OBJECTIFS!$B$6,OBJECTIFS!$G$8="taux de chute"),AND($D20=OBJECTIFS!$B$13,OBJECTIFS!$G$15="taux de chute"),AND($D20=OBJECTIFS!$B$20,OBJECTIFS!$G$22="taux de chute"),AND($D20=OBJECTIFS!$B$27,OBJECTIFS!$G$29="taux de chute"),AND($D20=OBJECTIFS!$B$34,OBJECTIFS!$G$36="taux de chute")),IFERROR(S20/R20,""),IFERROR(R20/S20,""))</f>
        <v/>
      </c>
      <c r="U20" s="94">
        <f>IFERROR(IF(OR(R20="",S20="",T20=""),0,IF(T20&lt;OBJECTIFS!$E$56,0,IF(T20&lt;OBJECTIFS!$G$56,U$8*OBJECTIFS!$F$60,IF(T20&lt;OBJECTIFS!$I$56,U$8*OBJECTIFS!$H$60,U$8)))),0)</f>
        <v>0</v>
      </c>
      <c r="V20" s="25"/>
      <c r="W20" s="90" t="str">
        <f>IF(OR($A20="",$D20="",V20=""),"",SUMIFS(OBJECTIFS!H$9:H$39,OBJECTIFS!$A$9:$A$39,$D20,OBJECTIFS!$C$9:$C$39,$F20))</f>
        <v/>
      </c>
      <c r="X20" s="90" t="str">
        <f>IF(OR(AND($D20=OBJECTIFS!$B$6,OBJECTIFS!H$8="dmt"),AND($D20=OBJECTIFS!$B$13,OBJECTIFS!$H$15="dmt"),AND($D20=OBJECTIFS!$B$20,OBJECTIFS!$H$22="dmt"),AND($D20=OBJECTIFS!$B$27,OBJECTIFS!$H$29="dmt"),AND($D20=OBJECTIFS!$B$34,OBJECTIFS!$H$36="dmt"),AND($D20=OBJECTIFS!$B$6,OBJECTIFS!$H$8="taux de chute"),AND($D20=OBJECTIFS!$B$13,OBJECTIFS!$H$15="taux de chute"),AND($D20=OBJECTIFS!$B$20,OBJECTIFS!$H$22="taux de chute"),AND($D20=OBJECTIFS!$B$27,OBJECTIFS!$H$29="taux de chute"),AND($D20=OBJECTIFS!$B$34,OBJECTIFS!$H$36="taux de chute")),IFERROR(W20/V20,""),IFERROR(V20/W20,""))</f>
        <v/>
      </c>
      <c r="Y20" s="91">
        <f>IFERROR(IF(OR(V20="",W20="",X20=""),0,IF(X20&lt;OBJECTIFS!$E$56,0,IF(X20&lt;OBJECTIFS!$G$56,Y$8*OBJECTIFS!$F$60,IF(X20&lt;OBJECTIFS!$I$56,Y$8*OBJECTIFS!$H$60,Y$8)))),0)</f>
        <v>0</v>
      </c>
      <c r="Z20" s="167"/>
      <c r="AA20" s="90" t="str">
        <f>IF(OR($A20="",$D20="",Z20=""),"",SUMIFS(OBJECTIFS!I$9:I$39,OBJECTIFS!$A$9:$A$39,$D20,OBJECTIFS!$C$9:$C$39,$F20))</f>
        <v/>
      </c>
      <c r="AB20" s="90" t="str">
        <f>IF(OR(AND($D20=OBJECTIFS!$B$6,OBJECTIFS!I$8="dmt"),AND($D20=OBJECTIFS!$B$13,OBJECTIFS!$I$15="dmt"),AND($D20=OBJECTIFS!$B$20,OBJECTIFS!$I$22="dmt"),AND($D20=OBJECTIFS!$B$27,OBJECTIFS!$I$29="dmt"),AND($D20=OBJECTIFS!$B$34,OBJECTIFS!$I$36="dmt"),AND($D20=OBJECTIFS!$B$6,OBJECTIFS!$I$8="taux de chute"),AND($D20=OBJECTIFS!$B$13,OBJECTIFS!$I$15="taux de chute"),AND($D20=OBJECTIFS!$B$20,OBJECTIFS!$I$22="taux de chute"),AND($D20=OBJECTIFS!$B$27,OBJECTIFS!$I$29="taux de chute"),AND($D20=OBJECTIFS!$B$34,OBJECTIFS!$I$36="taux de chute")),IFERROR(AA20/Z20,""),IFERROR(Z20/AA20,""))</f>
        <v/>
      </c>
      <c r="AC20" s="95">
        <f>IFERROR(IF(OR(Z20="",AA20="",AB20=""),0,IF(AB20&lt;OBJECTIFS!$E$56,0,IF(AB20&lt;OBJECTIFS!$G$56,AC$8*OBJECTIFS!$F$60,IF(AB20&lt;OBJECTIFS!$I$56,AC$8*OBJECTIFS!$H$60,AC$8)))),0)</f>
        <v>0</v>
      </c>
      <c r="AD20" s="186"/>
      <c r="AE20" s="187"/>
      <c r="AF20" s="96">
        <f t="shared" ca="1" si="11"/>
        <v>0</v>
      </c>
      <c r="AG20" s="63"/>
      <c r="AH20" s="186"/>
      <c r="AI20" s="24"/>
      <c r="AJ20" s="24"/>
      <c r="AK20" s="24"/>
      <c r="AL20" s="24"/>
      <c r="AM20" s="79">
        <f t="shared" si="12"/>
        <v>0</v>
      </c>
      <c r="AN20" s="79">
        <v>22</v>
      </c>
      <c r="AO20" s="80">
        <f t="shared" si="13"/>
        <v>0</v>
      </c>
      <c r="AP20" s="81" t="str">
        <f t="shared" ca="1" si="14"/>
        <v/>
      </c>
      <c r="AQ20" s="82"/>
      <c r="AR20" s="97">
        <f>IFERROR(VLOOKUP(B20,OBJECTIFS!$C$76:$E$137,2,FALSE),0)</f>
        <v>0</v>
      </c>
      <c r="AS20" s="98">
        <f>IFERROR(VLOOKUP(B20,OBJECTIFS!$H$76:$J$137,2,FALSE),0)</f>
        <v>0</v>
      </c>
      <c r="AT20" s="98">
        <f>IFERROR(VLOOKUP(B20,OBJECTIFS!$C$142:$E$203,2,FALSE),0)</f>
        <v>0</v>
      </c>
      <c r="AU20" s="98">
        <f>IFERROR(VLOOKUP(B20,OBJECTIFS!$H$142:$J$203,2,FALSE),0)</f>
        <v>0</v>
      </c>
      <c r="AV20" s="98">
        <f>IFERROR(VLOOKUP(B20,OBJECTIFS!$F$208:$H$269,3,FALSE),0)</f>
        <v>0</v>
      </c>
      <c r="AW20" s="81">
        <f t="shared" si="15"/>
        <v>0</v>
      </c>
      <c r="AX20" s="82"/>
      <c r="AY20" s="99" t="str">
        <f t="shared" ca="1" si="16"/>
        <v/>
      </c>
      <c r="AZ20" s="63"/>
      <c r="BA20" s="100">
        <f t="shared" ca="1" si="17"/>
        <v>0</v>
      </c>
      <c r="BB20" s="64" t="str">
        <f t="shared" ca="1" si="18"/>
        <v/>
      </c>
      <c r="BC20" s="101" t="str">
        <f t="shared" ca="1" si="19"/>
        <v/>
      </c>
    </row>
    <row r="21" spans="1:55" x14ac:dyDescent="0.2">
      <c r="A21" s="21"/>
      <c r="B21" s="22"/>
      <c r="C21" s="22"/>
      <c r="D21" s="23"/>
      <c r="E21" s="24"/>
      <c r="F21" s="34"/>
      <c r="H21" s="89" t="str">
        <f>IF(OR(D21="",F21="",A21=""),"",IF(E21="oui",0,IF(D21=OBJECTIFS!$C$45,VLOOKUP(F21,OBJECTIFS!$C$9:$D$11,2,FALSE),IF(D21=OBJECTIFS!$C$46,VLOOKUP(F21,OBJECTIFS!$C$16:$D$18,2,FALSE),IF(D21=OBJECTIFS!$C$47,VLOOKUP(F21,OBJECTIFS!$C$23:$D$25,2,FALSE),IF(D21=OBJECTIFS!$C$48,VLOOKUP(F21,OBJECTIFS!$C$30:$D$32,2,FALSE),IF(D21=OBJECTIFS!$C$49,VLOOKUP(F21,OBJECTIFS!$C$37:$D$39,2,FALSE))))))))</f>
        <v/>
      </c>
      <c r="J21" s="25"/>
      <c r="K21" s="90" t="str">
        <f>IF(OR($A21="",$D21="",J21=""),"",SUMIFS(OBJECTIFS!E$9:E$39,OBJECTIFS!$A$9:$A$39,$D21,OBJECTIFS!$C$9:$C$39,$F21))</f>
        <v/>
      </c>
      <c r="L21" s="90" t="str">
        <f>IF(OR(AND($D21=OBJECTIFS!$B$6,OBJECTIFS!E$8="dmt"),AND($D21=OBJECTIFS!$B$13,OBJECTIFS!$E$15="dmt"),AND($D21=OBJECTIFS!$B$20,OBJECTIFS!$E$22="dmt"),AND($D21=OBJECTIFS!$B$27,OBJECTIFS!$E$29="dmt"),AND($D21=OBJECTIFS!$B$34,OBJECTIFS!$E$36="dmt"),AND($D21=OBJECTIFS!$B$6,OBJECTIFS!$E$8="taux de chute"),AND($D21=OBJECTIFS!$B$13,OBJECTIFS!$E$15="taux de chute"),AND($D21=OBJECTIFS!$B$20,OBJECTIFS!$E$22="taux de chute"),AND($D21=OBJECTIFS!$B$27,OBJECTIFS!$E$29="taux de chute"),AND($D21=OBJECTIFS!$B$34,OBJECTIFS!$E$36="taux de chute")),IFERROR(K21/J21,""),IFERROR(J21/K21,""))</f>
        <v/>
      </c>
      <c r="M21" s="91">
        <f>IFERROR(IF(OR(J21="",K21="",L21=""),0,IF(L21&lt;OBJECTIFS!$E$56,0,IF(L21&lt;OBJECTIFS!$G$56,M$8*OBJECTIFS!$F$60,IF(L21&lt;OBJECTIFS!$I$56,M$8*OBJECTIFS!$H$60,M$8)))),0)</f>
        <v>0</v>
      </c>
      <c r="N21" s="161"/>
      <c r="O21" s="92" t="str">
        <f>IF(OR($A21="",$D21="",N21=""),"",SUMIFS(OBJECTIFS!F$9:F$39,OBJECTIFS!$A$9:$A$39,$D21,OBJECTIFS!$C$9:$C$39,$F21))</f>
        <v/>
      </c>
      <c r="P21" s="90" t="str">
        <f>IF(OR(AND($D21=OBJECTIFS!$B$6,OBJECTIFS!$F$8="dmt"),AND($D21=OBJECTIFS!$B$13,OBJECTIFS!$F$15="dmt"),AND($D21=OBJECTIFS!$B$20,OBJECTIFS!$F$22="dmt"),AND($D21=OBJECTIFS!$B$27,OBJECTIFS!$F$29="dmt"),AND($D21=OBJECTIFS!$B$34,OBJECTIFS!$F$36="dmt"),AND($D21=OBJECTIFS!$B$6,OBJECTIFS!$F$8="taux de chute"),AND($D21=OBJECTIFS!$B$13,OBJECTIFS!$F$15="taux de chute"),AND($D21=OBJECTIFS!$B$20,OBJECTIFS!$F$22="taux de chute"),AND($D21=OBJECTIFS!$B$27,OBJECTIFS!$F$29="taux de chute"),AND($D21=OBJECTIFS!$B$34,OBJECTIFS!$F$36="taux de chute")),IFERROR(O21/N21,""),IFERROR(N21/O21,""))</f>
        <v/>
      </c>
      <c r="Q21" s="91">
        <f>IFERROR(IF(OR(N21="",O21="",P21=""),0,IF(P21&lt;OBJECTIFS!$E$56,0,IF(P21&lt;OBJECTIFS!$G$56,Q$8*OBJECTIFS!$F$60,IF(P21&lt;OBJECTIFS!$I$56,Q$8*OBJECTIFS!$H$60,Q$8)))),0)</f>
        <v>0</v>
      </c>
      <c r="R21" s="164"/>
      <c r="S21" s="93" t="str">
        <f>IF(OR($A21="",$D21="",R21=""),"",SUMIFS(OBJECTIFS!G$9:G$39,OBJECTIFS!$A$9:$A$39,$D21,OBJECTIFS!$C$9:$C$39,$F21))</f>
        <v/>
      </c>
      <c r="T21" s="90" t="str">
        <f>IF(OR(AND($D21=OBJECTIFS!$B$6,OBJECTIFS!G$8="dmt"),AND($D21=OBJECTIFS!$B$13,OBJECTIFS!$G$15="dmt"),AND($D21=OBJECTIFS!$B$20,OBJECTIFS!$G$22="dmt"),AND($D21=OBJECTIFS!$B$27,OBJECTIFS!$G$29="dmt"),AND($D21=OBJECTIFS!$B$34,OBJECTIFS!$G$36="dmt"),AND($D21=OBJECTIFS!$B$6,OBJECTIFS!$G$8="taux de chute"),AND($D21=OBJECTIFS!$B$13,OBJECTIFS!$G$15="taux de chute"),AND($D21=OBJECTIFS!$B$20,OBJECTIFS!$G$22="taux de chute"),AND($D21=OBJECTIFS!$B$27,OBJECTIFS!$G$29="taux de chute"),AND($D21=OBJECTIFS!$B$34,OBJECTIFS!$G$36="taux de chute")),IFERROR(S21/R21,""),IFERROR(R21/S21,""))</f>
        <v/>
      </c>
      <c r="U21" s="94">
        <f>IFERROR(IF(OR(R21="",S21="",T21=""),0,IF(T21&lt;OBJECTIFS!$E$56,0,IF(T21&lt;OBJECTIFS!$G$56,U$8*OBJECTIFS!$F$60,IF(T21&lt;OBJECTIFS!$I$56,U$8*OBJECTIFS!$H$60,U$8)))),0)</f>
        <v>0</v>
      </c>
      <c r="V21" s="25"/>
      <c r="W21" s="90" t="str">
        <f>IF(OR($A21="",$D21="",V21=""),"",SUMIFS(OBJECTIFS!H$9:H$39,OBJECTIFS!$A$9:$A$39,$D21,OBJECTIFS!$C$9:$C$39,$F21))</f>
        <v/>
      </c>
      <c r="X21" s="90" t="str">
        <f>IF(OR(AND($D21=OBJECTIFS!$B$6,OBJECTIFS!H$8="dmt"),AND($D21=OBJECTIFS!$B$13,OBJECTIFS!$H$15="dmt"),AND($D21=OBJECTIFS!$B$20,OBJECTIFS!$H$22="dmt"),AND($D21=OBJECTIFS!$B$27,OBJECTIFS!$H$29="dmt"),AND($D21=OBJECTIFS!$B$34,OBJECTIFS!$H$36="dmt"),AND($D21=OBJECTIFS!$B$6,OBJECTIFS!$H$8="taux de chute"),AND($D21=OBJECTIFS!$B$13,OBJECTIFS!$H$15="taux de chute"),AND($D21=OBJECTIFS!$B$20,OBJECTIFS!$H$22="taux de chute"),AND($D21=OBJECTIFS!$B$27,OBJECTIFS!$H$29="taux de chute"),AND($D21=OBJECTIFS!$B$34,OBJECTIFS!$H$36="taux de chute")),IFERROR(W21/V21,""),IFERROR(V21/W21,""))</f>
        <v/>
      </c>
      <c r="Y21" s="91">
        <f>IFERROR(IF(OR(V21="",W21="",X21=""),0,IF(X21&lt;OBJECTIFS!$E$56,0,IF(X21&lt;OBJECTIFS!$G$56,Y$8*OBJECTIFS!$F$60,IF(X21&lt;OBJECTIFS!$I$56,Y$8*OBJECTIFS!$H$60,Y$8)))),0)</f>
        <v>0</v>
      </c>
      <c r="Z21" s="167"/>
      <c r="AA21" s="90" t="str">
        <f>IF(OR($A21="",$D21="",Z21=""),"",SUMIFS(OBJECTIFS!I$9:I$39,OBJECTIFS!$A$9:$A$39,$D21,OBJECTIFS!$C$9:$C$39,$F21))</f>
        <v/>
      </c>
      <c r="AB21" s="90" t="str">
        <f>IF(OR(AND($D21=OBJECTIFS!$B$6,OBJECTIFS!I$8="dmt"),AND($D21=OBJECTIFS!$B$13,OBJECTIFS!$I$15="dmt"),AND($D21=OBJECTIFS!$B$20,OBJECTIFS!$I$22="dmt"),AND($D21=OBJECTIFS!$B$27,OBJECTIFS!$I$29="dmt"),AND($D21=OBJECTIFS!$B$34,OBJECTIFS!$I$36="dmt"),AND($D21=OBJECTIFS!$B$6,OBJECTIFS!$I$8="taux de chute"),AND($D21=OBJECTIFS!$B$13,OBJECTIFS!$I$15="taux de chute"),AND($D21=OBJECTIFS!$B$20,OBJECTIFS!$I$22="taux de chute"),AND($D21=OBJECTIFS!$B$27,OBJECTIFS!$I$29="taux de chute"),AND($D21=OBJECTIFS!$B$34,OBJECTIFS!$I$36="taux de chute")),IFERROR(AA21/Z21,""),IFERROR(Z21/AA21,""))</f>
        <v/>
      </c>
      <c r="AC21" s="95">
        <f>IFERROR(IF(OR(Z21="",AA21="",AB21=""),0,IF(AB21&lt;OBJECTIFS!$E$56,0,IF(AB21&lt;OBJECTIFS!$G$56,AC$8*OBJECTIFS!$F$60,IF(AB21&lt;OBJECTIFS!$I$56,AC$8*OBJECTIFS!$H$60,AC$8)))),0)</f>
        <v>0</v>
      </c>
      <c r="AD21" s="186"/>
      <c r="AE21" s="187"/>
      <c r="AF21" s="96">
        <f t="shared" ca="1" si="11"/>
        <v>0</v>
      </c>
      <c r="AG21" s="63"/>
      <c r="AH21" s="186"/>
      <c r="AI21" s="24"/>
      <c r="AJ21" s="24"/>
      <c r="AK21" s="24"/>
      <c r="AL21" s="24"/>
      <c r="AM21" s="79">
        <f t="shared" si="12"/>
        <v>0</v>
      </c>
      <c r="AN21" s="79">
        <v>22</v>
      </c>
      <c r="AO21" s="80">
        <f t="shared" si="13"/>
        <v>0</v>
      </c>
      <c r="AP21" s="81" t="str">
        <f t="shared" ca="1" si="14"/>
        <v/>
      </c>
      <c r="AQ21" s="82"/>
      <c r="AR21" s="97">
        <f>IFERROR(VLOOKUP(B21,OBJECTIFS!$C$76:$E$137,2,FALSE),0)</f>
        <v>0</v>
      </c>
      <c r="AS21" s="98">
        <f>IFERROR(VLOOKUP(B21,OBJECTIFS!$H$76:$J$137,2,FALSE),0)</f>
        <v>0</v>
      </c>
      <c r="AT21" s="98">
        <f>IFERROR(VLOOKUP(B21,OBJECTIFS!$C$142:$E$203,2,FALSE),0)</f>
        <v>0</v>
      </c>
      <c r="AU21" s="98">
        <f>IFERROR(VLOOKUP(B21,OBJECTIFS!$H$142:$J$203,2,FALSE),0)</f>
        <v>0</v>
      </c>
      <c r="AV21" s="98">
        <f>IFERROR(VLOOKUP(B21,OBJECTIFS!$F$208:$H$269,3,FALSE),0)</f>
        <v>0</v>
      </c>
      <c r="AW21" s="81">
        <f t="shared" si="15"/>
        <v>0</v>
      </c>
      <c r="AX21" s="82"/>
      <c r="AY21" s="99" t="str">
        <f t="shared" ca="1" si="16"/>
        <v/>
      </c>
      <c r="AZ21" s="63"/>
      <c r="BA21" s="100">
        <f t="shared" ca="1" si="17"/>
        <v>0</v>
      </c>
      <c r="BB21" s="64" t="str">
        <f t="shared" ca="1" si="18"/>
        <v/>
      </c>
      <c r="BC21" s="101" t="str">
        <f t="shared" ca="1" si="19"/>
        <v/>
      </c>
    </row>
    <row r="22" spans="1:55" x14ac:dyDescent="0.2">
      <c r="A22" s="21"/>
      <c r="B22" s="22"/>
      <c r="C22" s="22"/>
      <c r="D22" s="23"/>
      <c r="E22" s="24"/>
      <c r="F22" s="34"/>
      <c r="H22" s="89" t="str">
        <f>IF(OR(D22="",F22="",A22=""),"",IF(E22="oui",0,IF(D22=OBJECTIFS!$C$45,VLOOKUP(F22,OBJECTIFS!$C$9:$D$11,2,FALSE),IF(D22=OBJECTIFS!$C$46,VLOOKUP(F22,OBJECTIFS!$C$16:$D$18,2,FALSE),IF(D22=OBJECTIFS!$C$47,VLOOKUP(F22,OBJECTIFS!$C$23:$D$25,2,FALSE),IF(D22=OBJECTIFS!$C$48,VLOOKUP(F22,OBJECTIFS!$C$30:$D$32,2,FALSE),IF(D22=OBJECTIFS!$C$49,VLOOKUP(F22,OBJECTIFS!$C$37:$D$39,2,FALSE))))))))</f>
        <v/>
      </c>
      <c r="J22" s="25"/>
      <c r="K22" s="90" t="str">
        <f>IF(OR($A22="",$D22="",J22=""),"",SUMIFS(OBJECTIFS!E$9:E$39,OBJECTIFS!$A$9:$A$39,$D22,OBJECTIFS!$C$9:$C$39,$F22))</f>
        <v/>
      </c>
      <c r="L22" s="90" t="str">
        <f>IF(OR(AND($D22=OBJECTIFS!$B$6,OBJECTIFS!E$8="dmt"),AND($D22=OBJECTIFS!$B$13,OBJECTIFS!$E$15="dmt"),AND($D22=OBJECTIFS!$B$20,OBJECTIFS!$E$22="dmt"),AND($D22=OBJECTIFS!$B$27,OBJECTIFS!$E$29="dmt"),AND($D22=OBJECTIFS!$B$34,OBJECTIFS!$E$36="dmt"),AND($D22=OBJECTIFS!$B$6,OBJECTIFS!$E$8="taux de chute"),AND($D22=OBJECTIFS!$B$13,OBJECTIFS!$E$15="taux de chute"),AND($D22=OBJECTIFS!$B$20,OBJECTIFS!$E$22="taux de chute"),AND($D22=OBJECTIFS!$B$27,OBJECTIFS!$E$29="taux de chute"),AND($D22=OBJECTIFS!$B$34,OBJECTIFS!$E$36="taux de chute")),IFERROR(K22/J22,""),IFERROR(J22/K22,""))</f>
        <v/>
      </c>
      <c r="M22" s="91">
        <f>IFERROR(IF(OR(J22="",K22="",L22=""),0,IF(L22&lt;OBJECTIFS!$E$56,0,IF(L22&lt;OBJECTIFS!$G$56,M$8*OBJECTIFS!$F$60,IF(L22&lt;OBJECTIFS!$I$56,M$8*OBJECTIFS!$H$60,M$8)))),0)</f>
        <v>0</v>
      </c>
      <c r="N22" s="161"/>
      <c r="O22" s="92" t="str">
        <f>IF(OR($A22="",$D22="",N22=""),"",SUMIFS(OBJECTIFS!F$9:F$39,OBJECTIFS!$A$9:$A$39,$D22,OBJECTIFS!$C$9:$C$39,$F22))</f>
        <v/>
      </c>
      <c r="P22" s="90" t="str">
        <f>IF(OR(AND($D22=OBJECTIFS!$B$6,OBJECTIFS!$F$8="dmt"),AND($D22=OBJECTIFS!$B$13,OBJECTIFS!$F$15="dmt"),AND($D22=OBJECTIFS!$B$20,OBJECTIFS!$F$22="dmt"),AND($D22=OBJECTIFS!$B$27,OBJECTIFS!$F$29="dmt"),AND($D22=OBJECTIFS!$B$34,OBJECTIFS!$F$36="dmt"),AND($D22=OBJECTIFS!$B$6,OBJECTIFS!$F$8="taux de chute"),AND($D22=OBJECTIFS!$B$13,OBJECTIFS!$F$15="taux de chute"),AND($D22=OBJECTIFS!$B$20,OBJECTIFS!$F$22="taux de chute"),AND($D22=OBJECTIFS!$B$27,OBJECTIFS!$F$29="taux de chute"),AND($D22=OBJECTIFS!$B$34,OBJECTIFS!$F$36="taux de chute")),IFERROR(O22/N22,""),IFERROR(N22/O22,""))</f>
        <v/>
      </c>
      <c r="Q22" s="91">
        <f>IFERROR(IF(OR(N22="",O22="",P22=""),0,IF(P22&lt;OBJECTIFS!$E$56,0,IF(P22&lt;OBJECTIFS!$G$56,Q$8*OBJECTIFS!$F$60,IF(P22&lt;OBJECTIFS!$I$56,Q$8*OBJECTIFS!$H$60,Q$8)))),0)</f>
        <v>0</v>
      </c>
      <c r="R22" s="164"/>
      <c r="S22" s="93" t="str">
        <f>IF(OR($A22="",$D22="",R22=""),"",SUMIFS(OBJECTIFS!G$9:G$39,OBJECTIFS!$A$9:$A$39,$D22,OBJECTIFS!$C$9:$C$39,$F22))</f>
        <v/>
      </c>
      <c r="T22" s="90" t="str">
        <f>IF(OR(AND($D22=OBJECTIFS!$B$6,OBJECTIFS!G$8="dmt"),AND($D22=OBJECTIFS!$B$13,OBJECTIFS!$G$15="dmt"),AND($D22=OBJECTIFS!$B$20,OBJECTIFS!$G$22="dmt"),AND($D22=OBJECTIFS!$B$27,OBJECTIFS!$G$29="dmt"),AND($D22=OBJECTIFS!$B$34,OBJECTIFS!$G$36="dmt"),AND($D22=OBJECTIFS!$B$6,OBJECTIFS!$G$8="taux de chute"),AND($D22=OBJECTIFS!$B$13,OBJECTIFS!$G$15="taux de chute"),AND($D22=OBJECTIFS!$B$20,OBJECTIFS!$G$22="taux de chute"),AND($D22=OBJECTIFS!$B$27,OBJECTIFS!$G$29="taux de chute"),AND($D22=OBJECTIFS!$B$34,OBJECTIFS!$G$36="taux de chute")),IFERROR(S22/R22,""),IFERROR(R22/S22,""))</f>
        <v/>
      </c>
      <c r="U22" s="94">
        <f>IFERROR(IF(OR(R22="",S22="",T22=""),0,IF(T22&lt;OBJECTIFS!$E$56,0,IF(T22&lt;OBJECTIFS!$G$56,U$8*OBJECTIFS!$F$60,IF(T22&lt;OBJECTIFS!$I$56,U$8*OBJECTIFS!$H$60,U$8)))),0)</f>
        <v>0</v>
      </c>
      <c r="V22" s="25"/>
      <c r="W22" s="90" t="str">
        <f>IF(OR($A22="",$D22="",V22=""),"",SUMIFS(OBJECTIFS!H$9:H$39,OBJECTIFS!$A$9:$A$39,$D22,OBJECTIFS!$C$9:$C$39,$F22))</f>
        <v/>
      </c>
      <c r="X22" s="90" t="str">
        <f>IF(OR(AND($D22=OBJECTIFS!$B$6,OBJECTIFS!H$8="dmt"),AND($D22=OBJECTIFS!$B$13,OBJECTIFS!$H$15="dmt"),AND($D22=OBJECTIFS!$B$20,OBJECTIFS!$H$22="dmt"),AND($D22=OBJECTIFS!$B$27,OBJECTIFS!$H$29="dmt"),AND($D22=OBJECTIFS!$B$34,OBJECTIFS!$H$36="dmt"),AND($D22=OBJECTIFS!$B$6,OBJECTIFS!$H$8="taux de chute"),AND($D22=OBJECTIFS!$B$13,OBJECTIFS!$H$15="taux de chute"),AND($D22=OBJECTIFS!$B$20,OBJECTIFS!$H$22="taux de chute"),AND($D22=OBJECTIFS!$B$27,OBJECTIFS!$H$29="taux de chute"),AND($D22=OBJECTIFS!$B$34,OBJECTIFS!$H$36="taux de chute")),IFERROR(W22/V22,""),IFERROR(V22/W22,""))</f>
        <v/>
      </c>
      <c r="Y22" s="91">
        <f>IFERROR(IF(OR(V22="",W22="",X22=""),0,IF(X22&lt;OBJECTIFS!$E$56,0,IF(X22&lt;OBJECTIFS!$G$56,Y$8*OBJECTIFS!$F$60,IF(X22&lt;OBJECTIFS!$I$56,Y$8*OBJECTIFS!$H$60,Y$8)))),0)</f>
        <v>0</v>
      </c>
      <c r="Z22" s="167"/>
      <c r="AA22" s="90" t="str">
        <f>IF(OR($A22="",$D22="",Z22=""),"",SUMIFS(OBJECTIFS!I$9:I$39,OBJECTIFS!$A$9:$A$39,$D22,OBJECTIFS!$C$9:$C$39,$F22))</f>
        <v/>
      </c>
      <c r="AB22" s="90" t="str">
        <f>IF(OR(AND($D22=OBJECTIFS!$B$6,OBJECTIFS!I$8="dmt"),AND($D22=OBJECTIFS!$B$13,OBJECTIFS!$I$15="dmt"),AND($D22=OBJECTIFS!$B$20,OBJECTIFS!$I$22="dmt"),AND($D22=OBJECTIFS!$B$27,OBJECTIFS!$I$29="dmt"),AND($D22=OBJECTIFS!$B$34,OBJECTIFS!$I$36="dmt"),AND($D22=OBJECTIFS!$B$6,OBJECTIFS!$I$8="taux de chute"),AND($D22=OBJECTIFS!$B$13,OBJECTIFS!$I$15="taux de chute"),AND($D22=OBJECTIFS!$B$20,OBJECTIFS!$I$22="taux de chute"),AND($D22=OBJECTIFS!$B$27,OBJECTIFS!$I$29="taux de chute"),AND($D22=OBJECTIFS!$B$34,OBJECTIFS!$I$36="taux de chute")),IFERROR(AA22/Z22,""),IFERROR(Z22/AA22,""))</f>
        <v/>
      </c>
      <c r="AC22" s="95">
        <f>IFERROR(IF(OR(Z22="",AA22="",AB22=""),0,IF(AB22&lt;OBJECTIFS!$E$56,0,IF(AB22&lt;OBJECTIFS!$G$56,AC$8*OBJECTIFS!$F$60,IF(AB22&lt;OBJECTIFS!$I$56,AC$8*OBJECTIFS!$H$60,AC$8)))),0)</f>
        <v>0</v>
      </c>
      <c r="AD22" s="186"/>
      <c r="AE22" s="187"/>
      <c r="AF22" s="96">
        <f t="shared" ca="1" si="11"/>
        <v>0</v>
      </c>
      <c r="AG22" s="63"/>
      <c r="AH22" s="186"/>
      <c r="AI22" s="24"/>
      <c r="AJ22" s="24"/>
      <c r="AK22" s="24"/>
      <c r="AL22" s="24"/>
      <c r="AM22" s="79">
        <f t="shared" si="12"/>
        <v>0</v>
      </c>
      <c r="AN22" s="79">
        <v>22</v>
      </c>
      <c r="AO22" s="80">
        <f t="shared" si="13"/>
        <v>0</v>
      </c>
      <c r="AP22" s="81" t="str">
        <f t="shared" ca="1" si="14"/>
        <v/>
      </c>
      <c r="AQ22" s="82"/>
      <c r="AR22" s="97">
        <f>IFERROR(VLOOKUP(B22,OBJECTIFS!$C$76:$E$137,2,FALSE),0)</f>
        <v>0</v>
      </c>
      <c r="AS22" s="98">
        <f>IFERROR(VLOOKUP(B22,OBJECTIFS!$H$76:$J$137,2,FALSE),0)</f>
        <v>0</v>
      </c>
      <c r="AT22" s="98">
        <f>IFERROR(VLOOKUP(B22,OBJECTIFS!$C$142:$E$203,2,FALSE),0)</f>
        <v>0</v>
      </c>
      <c r="AU22" s="98">
        <f>IFERROR(VLOOKUP(B22,OBJECTIFS!$H$142:$J$203,2,FALSE),0)</f>
        <v>0</v>
      </c>
      <c r="AV22" s="98">
        <f>IFERROR(VLOOKUP(B22,OBJECTIFS!$F$208:$H$269,3,FALSE),0)</f>
        <v>0</v>
      </c>
      <c r="AW22" s="81">
        <f t="shared" si="15"/>
        <v>0</v>
      </c>
      <c r="AX22" s="82"/>
      <c r="AY22" s="99" t="str">
        <f t="shared" ca="1" si="16"/>
        <v/>
      </c>
      <c r="AZ22" s="63"/>
      <c r="BA22" s="100">
        <f t="shared" ca="1" si="17"/>
        <v>0</v>
      </c>
      <c r="BB22" s="64" t="str">
        <f t="shared" ca="1" si="18"/>
        <v/>
      </c>
      <c r="BC22" s="101" t="str">
        <f t="shared" ca="1" si="19"/>
        <v/>
      </c>
    </row>
    <row r="23" spans="1:55" x14ac:dyDescent="0.2">
      <c r="A23" s="21"/>
      <c r="B23" s="22"/>
      <c r="C23" s="22"/>
      <c r="D23" s="23"/>
      <c r="E23" s="24"/>
      <c r="F23" s="34"/>
      <c r="H23" s="89" t="str">
        <f>IF(OR(D23="",F23="",A23=""),"",IF(E23="oui",0,IF(D23=OBJECTIFS!$C$45,VLOOKUP(F23,OBJECTIFS!$C$9:$D$11,2,FALSE),IF(D23=OBJECTIFS!$C$46,VLOOKUP(F23,OBJECTIFS!$C$16:$D$18,2,FALSE),IF(D23=OBJECTIFS!$C$47,VLOOKUP(F23,OBJECTIFS!$C$23:$D$25,2,FALSE),IF(D23=OBJECTIFS!$C$48,VLOOKUP(F23,OBJECTIFS!$C$30:$D$32,2,FALSE),IF(D23=OBJECTIFS!$C$49,VLOOKUP(F23,OBJECTIFS!$C$37:$D$39,2,FALSE))))))))</f>
        <v/>
      </c>
      <c r="J23" s="25"/>
      <c r="K23" s="90" t="str">
        <f>IF(OR($A23="",$D23="",J23=""),"",SUMIFS(OBJECTIFS!E$9:E$39,OBJECTIFS!$A$9:$A$39,$D23,OBJECTIFS!$C$9:$C$39,$F23))</f>
        <v/>
      </c>
      <c r="L23" s="90" t="str">
        <f>IF(OR(AND($D23=OBJECTIFS!$B$6,OBJECTIFS!E$8="dmt"),AND($D23=OBJECTIFS!$B$13,OBJECTIFS!$E$15="dmt"),AND($D23=OBJECTIFS!$B$20,OBJECTIFS!$E$22="dmt"),AND($D23=OBJECTIFS!$B$27,OBJECTIFS!$E$29="dmt"),AND($D23=OBJECTIFS!$B$34,OBJECTIFS!$E$36="dmt"),AND($D23=OBJECTIFS!$B$6,OBJECTIFS!$E$8="taux de chute"),AND($D23=OBJECTIFS!$B$13,OBJECTIFS!$E$15="taux de chute"),AND($D23=OBJECTIFS!$B$20,OBJECTIFS!$E$22="taux de chute"),AND($D23=OBJECTIFS!$B$27,OBJECTIFS!$E$29="taux de chute"),AND($D23=OBJECTIFS!$B$34,OBJECTIFS!$E$36="taux de chute")),IFERROR(K23/J23,""),IFERROR(J23/K23,""))</f>
        <v/>
      </c>
      <c r="M23" s="91">
        <f>IFERROR(IF(OR(J23="",K23="",L23=""),0,IF(L23&lt;OBJECTIFS!$E$56,0,IF(L23&lt;OBJECTIFS!$G$56,M$8*OBJECTIFS!$F$60,IF(L23&lt;OBJECTIFS!$I$56,M$8*OBJECTIFS!$H$60,M$8)))),0)</f>
        <v>0</v>
      </c>
      <c r="N23" s="161"/>
      <c r="O23" s="92" t="str">
        <f>IF(OR($A23="",$D23="",N23=""),"",SUMIFS(OBJECTIFS!F$9:F$39,OBJECTIFS!$A$9:$A$39,$D23,OBJECTIFS!$C$9:$C$39,$F23))</f>
        <v/>
      </c>
      <c r="P23" s="90" t="str">
        <f>IF(OR(AND($D23=OBJECTIFS!$B$6,OBJECTIFS!$F$8="dmt"),AND($D23=OBJECTIFS!$B$13,OBJECTIFS!$F$15="dmt"),AND($D23=OBJECTIFS!$B$20,OBJECTIFS!$F$22="dmt"),AND($D23=OBJECTIFS!$B$27,OBJECTIFS!$F$29="dmt"),AND($D23=OBJECTIFS!$B$34,OBJECTIFS!$F$36="dmt"),AND($D23=OBJECTIFS!$B$6,OBJECTIFS!$F$8="taux de chute"),AND($D23=OBJECTIFS!$B$13,OBJECTIFS!$F$15="taux de chute"),AND($D23=OBJECTIFS!$B$20,OBJECTIFS!$F$22="taux de chute"),AND($D23=OBJECTIFS!$B$27,OBJECTIFS!$F$29="taux de chute"),AND($D23=OBJECTIFS!$B$34,OBJECTIFS!$F$36="taux de chute")),IFERROR(O23/N23,""),IFERROR(N23/O23,""))</f>
        <v/>
      </c>
      <c r="Q23" s="91">
        <f>IFERROR(IF(OR(N23="",O23="",P23=""),0,IF(P23&lt;OBJECTIFS!$E$56,0,IF(P23&lt;OBJECTIFS!$G$56,Q$8*OBJECTIFS!$F$60,IF(P23&lt;OBJECTIFS!$I$56,Q$8*OBJECTIFS!$H$60,Q$8)))),0)</f>
        <v>0</v>
      </c>
      <c r="R23" s="164"/>
      <c r="S23" s="93" t="str">
        <f>IF(OR($A23="",$D23="",R23=""),"",SUMIFS(OBJECTIFS!G$9:G$39,OBJECTIFS!$A$9:$A$39,$D23,OBJECTIFS!$C$9:$C$39,$F23))</f>
        <v/>
      </c>
      <c r="T23" s="90" t="str">
        <f>IF(OR(AND($D23=OBJECTIFS!$B$6,OBJECTIFS!G$8="dmt"),AND($D23=OBJECTIFS!$B$13,OBJECTIFS!$G$15="dmt"),AND($D23=OBJECTIFS!$B$20,OBJECTIFS!$G$22="dmt"),AND($D23=OBJECTIFS!$B$27,OBJECTIFS!$G$29="dmt"),AND($D23=OBJECTIFS!$B$34,OBJECTIFS!$G$36="dmt"),AND($D23=OBJECTIFS!$B$6,OBJECTIFS!$G$8="taux de chute"),AND($D23=OBJECTIFS!$B$13,OBJECTIFS!$G$15="taux de chute"),AND($D23=OBJECTIFS!$B$20,OBJECTIFS!$G$22="taux de chute"),AND($D23=OBJECTIFS!$B$27,OBJECTIFS!$G$29="taux de chute"),AND($D23=OBJECTIFS!$B$34,OBJECTIFS!$G$36="taux de chute")),IFERROR(S23/R23,""),IFERROR(R23/S23,""))</f>
        <v/>
      </c>
      <c r="U23" s="94">
        <f>IFERROR(IF(OR(R23="",S23="",T23=""),0,IF(T23&lt;OBJECTIFS!$E$56,0,IF(T23&lt;OBJECTIFS!$G$56,U$8*OBJECTIFS!$F$60,IF(T23&lt;OBJECTIFS!$I$56,U$8*OBJECTIFS!$H$60,U$8)))),0)</f>
        <v>0</v>
      </c>
      <c r="V23" s="25"/>
      <c r="W23" s="90" t="str">
        <f>IF(OR($A23="",$D23="",V23=""),"",SUMIFS(OBJECTIFS!H$9:H$39,OBJECTIFS!$A$9:$A$39,$D23,OBJECTIFS!$C$9:$C$39,$F23))</f>
        <v/>
      </c>
      <c r="X23" s="90" t="str">
        <f>IF(OR(AND($D23=OBJECTIFS!$B$6,OBJECTIFS!H$8="dmt"),AND($D23=OBJECTIFS!$B$13,OBJECTIFS!$H$15="dmt"),AND($D23=OBJECTIFS!$B$20,OBJECTIFS!$H$22="dmt"),AND($D23=OBJECTIFS!$B$27,OBJECTIFS!$H$29="dmt"),AND($D23=OBJECTIFS!$B$34,OBJECTIFS!$H$36="dmt"),AND($D23=OBJECTIFS!$B$6,OBJECTIFS!$H$8="taux de chute"),AND($D23=OBJECTIFS!$B$13,OBJECTIFS!$H$15="taux de chute"),AND($D23=OBJECTIFS!$B$20,OBJECTIFS!$H$22="taux de chute"),AND($D23=OBJECTIFS!$B$27,OBJECTIFS!$H$29="taux de chute"),AND($D23=OBJECTIFS!$B$34,OBJECTIFS!$H$36="taux de chute")),IFERROR(W23/V23,""),IFERROR(V23/W23,""))</f>
        <v/>
      </c>
      <c r="Y23" s="91">
        <f>IFERROR(IF(OR(V23="",W23="",X23=""),0,IF(X23&lt;OBJECTIFS!$E$56,0,IF(X23&lt;OBJECTIFS!$G$56,Y$8*OBJECTIFS!$F$60,IF(X23&lt;OBJECTIFS!$I$56,Y$8*OBJECTIFS!$H$60,Y$8)))),0)</f>
        <v>0</v>
      </c>
      <c r="Z23" s="167"/>
      <c r="AA23" s="90" t="str">
        <f>IF(OR($A23="",$D23="",Z23=""),"",SUMIFS(OBJECTIFS!I$9:I$39,OBJECTIFS!$A$9:$A$39,$D23,OBJECTIFS!$C$9:$C$39,$F23))</f>
        <v/>
      </c>
      <c r="AB23" s="90" t="str">
        <f>IF(OR(AND($D23=OBJECTIFS!$B$6,OBJECTIFS!I$8="dmt"),AND($D23=OBJECTIFS!$B$13,OBJECTIFS!$I$15="dmt"),AND($D23=OBJECTIFS!$B$20,OBJECTIFS!$I$22="dmt"),AND($D23=OBJECTIFS!$B$27,OBJECTIFS!$I$29="dmt"),AND($D23=OBJECTIFS!$B$34,OBJECTIFS!$I$36="dmt"),AND($D23=OBJECTIFS!$B$6,OBJECTIFS!$I$8="taux de chute"),AND($D23=OBJECTIFS!$B$13,OBJECTIFS!$I$15="taux de chute"),AND($D23=OBJECTIFS!$B$20,OBJECTIFS!$I$22="taux de chute"),AND($D23=OBJECTIFS!$B$27,OBJECTIFS!$I$29="taux de chute"),AND($D23=OBJECTIFS!$B$34,OBJECTIFS!$I$36="taux de chute")),IFERROR(AA23/Z23,""),IFERROR(Z23/AA23,""))</f>
        <v/>
      </c>
      <c r="AC23" s="95">
        <f>IFERROR(IF(OR(Z23="",AA23="",AB23=""),0,IF(AB23&lt;OBJECTIFS!$E$56,0,IF(AB23&lt;OBJECTIFS!$G$56,AC$8*OBJECTIFS!$F$60,IF(AB23&lt;OBJECTIFS!$I$56,AC$8*OBJECTIFS!$H$60,AC$8)))),0)</f>
        <v>0</v>
      </c>
      <c r="AD23" s="186"/>
      <c r="AE23" s="187"/>
      <c r="AF23" s="96">
        <f t="shared" ca="1" si="11"/>
        <v>0</v>
      </c>
      <c r="AG23" s="63"/>
      <c r="AH23" s="186"/>
      <c r="AI23" s="24"/>
      <c r="AJ23" s="24"/>
      <c r="AK23" s="24"/>
      <c r="AL23" s="24"/>
      <c r="AM23" s="79">
        <f t="shared" si="12"/>
        <v>0</v>
      </c>
      <c r="AN23" s="79">
        <v>22</v>
      </c>
      <c r="AO23" s="80">
        <f t="shared" si="13"/>
        <v>0</v>
      </c>
      <c r="AP23" s="81" t="str">
        <f t="shared" ca="1" si="14"/>
        <v/>
      </c>
      <c r="AQ23" s="82"/>
      <c r="AR23" s="97">
        <f>IFERROR(VLOOKUP(B23,OBJECTIFS!$C$76:$E$137,2,FALSE),0)</f>
        <v>0</v>
      </c>
      <c r="AS23" s="98">
        <f>IFERROR(VLOOKUP(B23,OBJECTIFS!$H$76:$J$137,2,FALSE),0)</f>
        <v>0</v>
      </c>
      <c r="AT23" s="98">
        <f>IFERROR(VLOOKUP(B23,OBJECTIFS!$C$142:$E$203,2,FALSE),0)</f>
        <v>0</v>
      </c>
      <c r="AU23" s="98">
        <f>IFERROR(VLOOKUP(B23,OBJECTIFS!$H$142:$J$203,2,FALSE),0)</f>
        <v>0</v>
      </c>
      <c r="AV23" s="98">
        <f>IFERROR(VLOOKUP(B23,OBJECTIFS!$F$208:$H$269,3,FALSE),0)</f>
        <v>0</v>
      </c>
      <c r="AW23" s="81">
        <f t="shared" si="15"/>
        <v>0</v>
      </c>
      <c r="AX23" s="82"/>
      <c r="AY23" s="99" t="str">
        <f t="shared" ca="1" si="16"/>
        <v/>
      </c>
      <c r="AZ23" s="63"/>
      <c r="BA23" s="100">
        <f t="shared" ca="1" si="17"/>
        <v>0</v>
      </c>
      <c r="BB23" s="64" t="str">
        <f t="shared" ca="1" si="18"/>
        <v/>
      </c>
      <c r="BC23" s="101" t="str">
        <f t="shared" ca="1" si="19"/>
        <v/>
      </c>
    </row>
    <row r="24" spans="1:55" x14ac:dyDescent="0.2">
      <c r="A24" s="21"/>
      <c r="B24" s="22"/>
      <c r="C24" s="22"/>
      <c r="D24" s="23"/>
      <c r="E24" s="24"/>
      <c r="F24" s="34"/>
      <c r="H24" s="89" t="str">
        <f>IF(OR(D24="",F24="",A24=""),"",IF(E24="oui",0,IF(D24=OBJECTIFS!$C$45,VLOOKUP(F24,OBJECTIFS!$C$9:$D$11,2,FALSE),IF(D24=OBJECTIFS!$C$46,VLOOKUP(F24,OBJECTIFS!$C$16:$D$18,2,FALSE),IF(D24=OBJECTIFS!$C$47,VLOOKUP(F24,OBJECTIFS!$C$23:$D$25,2,FALSE),IF(D24=OBJECTIFS!$C$48,VLOOKUP(F24,OBJECTIFS!$C$30:$D$32,2,FALSE),IF(D24=OBJECTIFS!$C$49,VLOOKUP(F24,OBJECTIFS!$C$37:$D$39,2,FALSE))))))))</f>
        <v/>
      </c>
      <c r="J24" s="25"/>
      <c r="K24" s="90" t="str">
        <f>IF(OR($A24="",$D24="",J24=""),"",SUMIFS(OBJECTIFS!E$9:E$39,OBJECTIFS!$A$9:$A$39,$D24,OBJECTIFS!$C$9:$C$39,$F24))</f>
        <v/>
      </c>
      <c r="L24" s="90" t="str">
        <f>IF(OR(AND($D24=OBJECTIFS!$B$6,OBJECTIFS!E$8="dmt"),AND($D24=OBJECTIFS!$B$13,OBJECTIFS!$E$15="dmt"),AND($D24=OBJECTIFS!$B$20,OBJECTIFS!$E$22="dmt"),AND($D24=OBJECTIFS!$B$27,OBJECTIFS!$E$29="dmt"),AND($D24=OBJECTIFS!$B$34,OBJECTIFS!$E$36="dmt"),AND($D24=OBJECTIFS!$B$6,OBJECTIFS!$E$8="taux de chute"),AND($D24=OBJECTIFS!$B$13,OBJECTIFS!$E$15="taux de chute"),AND($D24=OBJECTIFS!$B$20,OBJECTIFS!$E$22="taux de chute"),AND($D24=OBJECTIFS!$B$27,OBJECTIFS!$E$29="taux de chute"),AND($D24=OBJECTIFS!$B$34,OBJECTIFS!$E$36="taux de chute")),IFERROR(K24/J24,""),IFERROR(J24/K24,""))</f>
        <v/>
      </c>
      <c r="M24" s="91">
        <f>IFERROR(IF(OR(J24="",K24="",L24=""),0,IF(L24&lt;OBJECTIFS!$E$56,0,IF(L24&lt;OBJECTIFS!$G$56,M$8*OBJECTIFS!$F$60,IF(L24&lt;OBJECTIFS!$I$56,M$8*OBJECTIFS!$H$60,M$8)))),0)</f>
        <v>0</v>
      </c>
      <c r="N24" s="161"/>
      <c r="O24" s="92" t="str">
        <f>IF(OR($A24="",$D24="",N24=""),"",SUMIFS(OBJECTIFS!F$9:F$39,OBJECTIFS!$A$9:$A$39,$D24,OBJECTIFS!$C$9:$C$39,$F24))</f>
        <v/>
      </c>
      <c r="P24" s="90" t="str">
        <f>IF(OR(AND($D24=OBJECTIFS!$B$6,OBJECTIFS!$F$8="dmt"),AND($D24=OBJECTIFS!$B$13,OBJECTIFS!$F$15="dmt"),AND($D24=OBJECTIFS!$B$20,OBJECTIFS!$F$22="dmt"),AND($D24=OBJECTIFS!$B$27,OBJECTIFS!$F$29="dmt"),AND($D24=OBJECTIFS!$B$34,OBJECTIFS!$F$36="dmt"),AND($D24=OBJECTIFS!$B$6,OBJECTIFS!$F$8="taux de chute"),AND($D24=OBJECTIFS!$B$13,OBJECTIFS!$F$15="taux de chute"),AND($D24=OBJECTIFS!$B$20,OBJECTIFS!$F$22="taux de chute"),AND($D24=OBJECTIFS!$B$27,OBJECTIFS!$F$29="taux de chute"),AND($D24=OBJECTIFS!$B$34,OBJECTIFS!$F$36="taux de chute")),IFERROR(O24/N24,""),IFERROR(N24/O24,""))</f>
        <v/>
      </c>
      <c r="Q24" s="91">
        <f>IFERROR(IF(OR(N24="",O24="",P24=""),0,IF(P24&lt;OBJECTIFS!$E$56,0,IF(P24&lt;OBJECTIFS!$G$56,Q$8*OBJECTIFS!$F$60,IF(P24&lt;OBJECTIFS!$I$56,Q$8*OBJECTIFS!$H$60,Q$8)))),0)</f>
        <v>0</v>
      </c>
      <c r="R24" s="164"/>
      <c r="S24" s="93" t="str">
        <f>IF(OR($A24="",$D24="",R24=""),"",SUMIFS(OBJECTIFS!G$9:G$39,OBJECTIFS!$A$9:$A$39,$D24,OBJECTIFS!$C$9:$C$39,$F24))</f>
        <v/>
      </c>
      <c r="T24" s="90" t="str">
        <f>IF(OR(AND($D24=OBJECTIFS!$B$6,OBJECTIFS!G$8="dmt"),AND($D24=OBJECTIFS!$B$13,OBJECTIFS!$G$15="dmt"),AND($D24=OBJECTIFS!$B$20,OBJECTIFS!$G$22="dmt"),AND($D24=OBJECTIFS!$B$27,OBJECTIFS!$G$29="dmt"),AND($D24=OBJECTIFS!$B$34,OBJECTIFS!$G$36="dmt"),AND($D24=OBJECTIFS!$B$6,OBJECTIFS!$G$8="taux de chute"),AND($D24=OBJECTIFS!$B$13,OBJECTIFS!$G$15="taux de chute"),AND($D24=OBJECTIFS!$B$20,OBJECTIFS!$G$22="taux de chute"),AND($D24=OBJECTIFS!$B$27,OBJECTIFS!$G$29="taux de chute"),AND($D24=OBJECTIFS!$B$34,OBJECTIFS!$G$36="taux de chute")),IFERROR(S24/R24,""),IFERROR(R24/S24,""))</f>
        <v/>
      </c>
      <c r="U24" s="94">
        <f>IFERROR(IF(OR(R24="",S24="",T24=""),0,IF(T24&lt;OBJECTIFS!$E$56,0,IF(T24&lt;OBJECTIFS!$G$56,U$8*OBJECTIFS!$F$60,IF(T24&lt;OBJECTIFS!$I$56,U$8*OBJECTIFS!$H$60,U$8)))),0)</f>
        <v>0</v>
      </c>
      <c r="V24" s="25"/>
      <c r="W24" s="90" t="str">
        <f>IF(OR($A24="",$D24="",V24=""),"",SUMIFS(OBJECTIFS!H$9:H$39,OBJECTIFS!$A$9:$A$39,$D24,OBJECTIFS!$C$9:$C$39,$F24))</f>
        <v/>
      </c>
      <c r="X24" s="90" t="str">
        <f>IF(OR(AND($D24=OBJECTIFS!$B$6,OBJECTIFS!H$8="dmt"),AND($D24=OBJECTIFS!$B$13,OBJECTIFS!$H$15="dmt"),AND($D24=OBJECTIFS!$B$20,OBJECTIFS!$H$22="dmt"),AND($D24=OBJECTIFS!$B$27,OBJECTIFS!$H$29="dmt"),AND($D24=OBJECTIFS!$B$34,OBJECTIFS!$H$36="dmt"),AND($D24=OBJECTIFS!$B$6,OBJECTIFS!$H$8="taux de chute"),AND($D24=OBJECTIFS!$B$13,OBJECTIFS!$H$15="taux de chute"),AND($D24=OBJECTIFS!$B$20,OBJECTIFS!$H$22="taux de chute"),AND($D24=OBJECTIFS!$B$27,OBJECTIFS!$H$29="taux de chute"),AND($D24=OBJECTIFS!$B$34,OBJECTIFS!$H$36="taux de chute")),IFERROR(W24/V24,""),IFERROR(V24/W24,""))</f>
        <v/>
      </c>
      <c r="Y24" s="91">
        <f>IFERROR(IF(OR(V24="",W24="",X24=""),0,IF(X24&lt;OBJECTIFS!$E$56,0,IF(X24&lt;OBJECTIFS!$G$56,Y$8*OBJECTIFS!$F$60,IF(X24&lt;OBJECTIFS!$I$56,Y$8*OBJECTIFS!$H$60,Y$8)))),0)</f>
        <v>0</v>
      </c>
      <c r="Z24" s="167"/>
      <c r="AA24" s="90" t="str">
        <f>IF(OR($A24="",$D24="",Z24=""),"",SUMIFS(OBJECTIFS!I$9:I$39,OBJECTIFS!$A$9:$A$39,$D24,OBJECTIFS!$C$9:$C$39,$F24))</f>
        <v/>
      </c>
      <c r="AB24" s="90" t="str">
        <f>IF(OR(AND($D24=OBJECTIFS!$B$6,OBJECTIFS!I$8="dmt"),AND($D24=OBJECTIFS!$B$13,OBJECTIFS!$I$15="dmt"),AND($D24=OBJECTIFS!$B$20,OBJECTIFS!$I$22="dmt"),AND($D24=OBJECTIFS!$B$27,OBJECTIFS!$I$29="dmt"),AND($D24=OBJECTIFS!$B$34,OBJECTIFS!$I$36="dmt"),AND($D24=OBJECTIFS!$B$6,OBJECTIFS!$I$8="taux de chute"),AND($D24=OBJECTIFS!$B$13,OBJECTIFS!$I$15="taux de chute"),AND($D24=OBJECTIFS!$B$20,OBJECTIFS!$I$22="taux de chute"),AND($D24=OBJECTIFS!$B$27,OBJECTIFS!$I$29="taux de chute"),AND($D24=OBJECTIFS!$B$34,OBJECTIFS!$I$36="taux de chute")),IFERROR(AA24/Z24,""),IFERROR(Z24/AA24,""))</f>
        <v/>
      </c>
      <c r="AC24" s="95">
        <f>IFERROR(IF(OR(Z24="",AA24="",AB24=""),0,IF(AB24&lt;OBJECTIFS!$E$56,0,IF(AB24&lt;OBJECTIFS!$G$56,AC$8*OBJECTIFS!$F$60,IF(AB24&lt;OBJECTIFS!$I$56,AC$8*OBJECTIFS!$H$60,AC$8)))),0)</f>
        <v>0</v>
      </c>
      <c r="AD24" s="186"/>
      <c r="AE24" s="187"/>
      <c r="AF24" s="96">
        <f t="shared" ca="1" si="11"/>
        <v>0</v>
      </c>
      <c r="AG24" s="63"/>
      <c r="AH24" s="186"/>
      <c r="AI24" s="24"/>
      <c r="AJ24" s="24"/>
      <c r="AK24" s="24"/>
      <c r="AL24" s="24"/>
      <c r="AM24" s="79">
        <f t="shared" si="12"/>
        <v>0</v>
      </c>
      <c r="AN24" s="79">
        <v>22</v>
      </c>
      <c r="AO24" s="80">
        <f t="shared" si="13"/>
        <v>0</v>
      </c>
      <c r="AP24" s="81" t="str">
        <f t="shared" ca="1" si="14"/>
        <v/>
      </c>
      <c r="AQ24" s="82"/>
      <c r="AR24" s="97">
        <f>IFERROR(VLOOKUP(B24,OBJECTIFS!$C$76:$E$137,2,FALSE),0)</f>
        <v>0</v>
      </c>
      <c r="AS24" s="98">
        <f>IFERROR(VLOOKUP(B24,OBJECTIFS!$H$76:$J$137,2,FALSE),0)</f>
        <v>0</v>
      </c>
      <c r="AT24" s="98">
        <f>IFERROR(VLOOKUP(B24,OBJECTIFS!$C$142:$E$203,2,FALSE),0)</f>
        <v>0</v>
      </c>
      <c r="AU24" s="98">
        <f>IFERROR(VLOOKUP(B24,OBJECTIFS!$H$142:$J$203,2,FALSE),0)</f>
        <v>0</v>
      </c>
      <c r="AV24" s="98">
        <f>IFERROR(VLOOKUP(B24,OBJECTIFS!$F$208:$H$269,3,FALSE),0)</f>
        <v>0</v>
      </c>
      <c r="AW24" s="81">
        <f t="shared" si="15"/>
        <v>0</v>
      </c>
      <c r="AX24" s="82"/>
      <c r="AY24" s="99" t="str">
        <f t="shared" ca="1" si="16"/>
        <v/>
      </c>
      <c r="AZ24" s="63"/>
      <c r="BA24" s="100">
        <f t="shared" ca="1" si="17"/>
        <v>0</v>
      </c>
      <c r="BB24" s="64" t="str">
        <f t="shared" ca="1" si="18"/>
        <v/>
      </c>
      <c r="BC24" s="101" t="str">
        <f t="shared" ca="1" si="19"/>
        <v/>
      </c>
    </row>
    <row r="25" spans="1:55" x14ac:dyDescent="0.2">
      <c r="A25" s="21"/>
      <c r="B25" s="22"/>
      <c r="C25" s="22"/>
      <c r="D25" s="23"/>
      <c r="E25" s="24"/>
      <c r="F25" s="34"/>
      <c r="H25" s="89" t="str">
        <f>IF(OR(D25="",F25="",A25=""),"",IF(E25="oui",0,IF(D25=OBJECTIFS!$C$45,VLOOKUP(F25,OBJECTIFS!$C$9:$D$11,2,FALSE),IF(D25=OBJECTIFS!$C$46,VLOOKUP(F25,OBJECTIFS!$C$16:$D$18,2,FALSE),IF(D25=OBJECTIFS!$C$47,VLOOKUP(F25,OBJECTIFS!$C$23:$D$25,2,FALSE),IF(D25=OBJECTIFS!$C$48,VLOOKUP(F25,OBJECTIFS!$C$30:$D$32,2,FALSE),IF(D25=OBJECTIFS!$C$49,VLOOKUP(F25,OBJECTIFS!$C$37:$D$39,2,FALSE))))))))</f>
        <v/>
      </c>
      <c r="J25" s="25"/>
      <c r="K25" s="90" t="str">
        <f>IF(OR($A25="",$D25="",J25=""),"",SUMIFS(OBJECTIFS!E$9:E$39,OBJECTIFS!$A$9:$A$39,$D25,OBJECTIFS!$C$9:$C$39,$F25))</f>
        <v/>
      </c>
      <c r="L25" s="90" t="str">
        <f>IF(OR(AND($D25=OBJECTIFS!$B$6,OBJECTIFS!E$8="dmt"),AND($D25=OBJECTIFS!$B$13,OBJECTIFS!$E$15="dmt"),AND($D25=OBJECTIFS!$B$20,OBJECTIFS!$E$22="dmt"),AND($D25=OBJECTIFS!$B$27,OBJECTIFS!$E$29="dmt"),AND($D25=OBJECTIFS!$B$34,OBJECTIFS!$E$36="dmt"),AND($D25=OBJECTIFS!$B$6,OBJECTIFS!$E$8="taux de chute"),AND($D25=OBJECTIFS!$B$13,OBJECTIFS!$E$15="taux de chute"),AND($D25=OBJECTIFS!$B$20,OBJECTIFS!$E$22="taux de chute"),AND($D25=OBJECTIFS!$B$27,OBJECTIFS!$E$29="taux de chute"),AND($D25=OBJECTIFS!$B$34,OBJECTIFS!$E$36="taux de chute")),IFERROR(K25/J25,""),IFERROR(J25/K25,""))</f>
        <v/>
      </c>
      <c r="M25" s="91">
        <f>IFERROR(IF(OR(J25="",K25="",L25=""),0,IF(L25&lt;OBJECTIFS!$E$56,0,IF(L25&lt;OBJECTIFS!$G$56,M$8*OBJECTIFS!$F$60,IF(L25&lt;OBJECTIFS!$I$56,M$8*OBJECTIFS!$H$60,M$8)))),0)</f>
        <v>0</v>
      </c>
      <c r="N25" s="161"/>
      <c r="O25" s="92" t="str">
        <f>IF(OR($A25="",$D25="",N25=""),"",SUMIFS(OBJECTIFS!F$9:F$39,OBJECTIFS!$A$9:$A$39,$D25,OBJECTIFS!$C$9:$C$39,$F25))</f>
        <v/>
      </c>
      <c r="P25" s="90" t="str">
        <f>IF(OR(AND($D25=OBJECTIFS!$B$6,OBJECTIFS!$F$8="dmt"),AND($D25=OBJECTIFS!$B$13,OBJECTIFS!$F$15="dmt"),AND($D25=OBJECTIFS!$B$20,OBJECTIFS!$F$22="dmt"),AND($D25=OBJECTIFS!$B$27,OBJECTIFS!$F$29="dmt"),AND($D25=OBJECTIFS!$B$34,OBJECTIFS!$F$36="dmt"),AND($D25=OBJECTIFS!$B$6,OBJECTIFS!$F$8="taux de chute"),AND($D25=OBJECTIFS!$B$13,OBJECTIFS!$F$15="taux de chute"),AND($D25=OBJECTIFS!$B$20,OBJECTIFS!$F$22="taux de chute"),AND($D25=OBJECTIFS!$B$27,OBJECTIFS!$F$29="taux de chute"),AND($D25=OBJECTIFS!$B$34,OBJECTIFS!$F$36="taux de chute")),IFERROR(O25/N25,""),IFERROR(N25/O25,""))</f>
        <v/>
      </c>
      <c r="Q25" s="91">
        <f>IFERROR(IF(OR(N25="",O25="",P25=""),0,IF(P25&lt;OBJECTIFS!$E$56,0,IF(P25&lt;OBJECTIFS!$G$56,Q$8*OBJECTIFS!$F$60,IF(P25&lt;OBJECTIFS!$I$56,Q$8*OBJECTIFS!$H$60,Q$8)))),0)</f>
        <v>0</v>
      </c>
      <c r="R25" s="164"/>
      <c r="S25" s="93" t="str">
        <f>IF(OR($A25="",$D25="",R25=""),"",SUMIFS(OBJECTIFS!G$9:G$39,OBJECTIFS!$A$9:$A$39,$D25,OBJECTIFS!$C$9:$C$39,$F25))</f>
        <v/>
      </c>
      <c r="T25" s="90" t="str">
        <f>IF(OR(AND($D25=OBJECTIFS!$B$6,OBJECTIFS!G$8="dmt"),AND($D25=OBJECTIFS!$B$13,OBJECTIFS!$G$15="dmt"),AND($D25=OBJECTIFS!$B$20,OBJECTIFS!$G$22="dmt"),AND($D25=OBJECTIFS!$B$27,OBJECTIFS!$G$29="dmt"),AND($D25=OBJECTIFS!$B$34,OBJECTIFS!$G$36="dmt"),AND($D25=OBJECTIFS!$B$6,OBJECTIFS!$G$8="taux de chute"),AND($D25=OBJECTIFS!$B$13,OBJECTIFS!$G$15="taux de chute"),AND($D25=OBJECTIFS!$B$20,OBJECTIFS!$G$22="taux de chute"),AND($D25=OBJECTIFS!$B$27,OBJECTIFS!$G$29="taux de chute"),AND($D25=OBJECTIFS!$B$34,OBJECTIFS!$G$36="taux de chute")),IFERROR(S25/R25,""),IFERROR(R25/S25,""))</f>
        <v/>
      </c>
      <c r="U25" s="94">
        <f>IFERROR(IF(OR(R25="",S25="",T25=""),0,IF(T25&lt;OBJECTIFS!$E$56,0,IF(T25&lt;OBJECTIFS!$G$56,U$8*OBJECTIFS!$F$60,IF(T25&lt;OBJECTIFS!$I$56,U$8*OBJECTIFS!$H$60,U$8)))),0)</f>
        <v>0</v>
      </c>
      <c r="V25" s="25"/>
      <c r="W25" s="90" t="str">
        <f>IF(OR($A25="",$D25="",V25=""),"",SUMIFS(OBJECTIFS!H$9:H$39,OBJECTIFS!$A$9:$A$39,$D25,OBJECTIFS!$C$9:$C$39,$F25))</f>
        <v/>
      </c>
      <c r="X25" s="90" t="str">
        <f>IF(OR(AND($D25=OBJECTIFS!$B$6,OBJECTIFS!H$8="dmt"),AND($D25=OBJECTIFS!$B$13,OBJECTIFS!$H$15="dmt"),AND($D25=OBJECTIFS!$B$20,OBJECTIFS!$H$22="dmt"),AND($D25=OBJECTIFS!$B$27,OBJECTIFS!$H$29="dmt"),AND($D25=OBJECTIFS!$B$34,OBJECTIFS!$H$36="dmt"),AND($D25=OBJECTIFS!$B$6,OBJECTIFS!$H$8="taux de chute"),AND($D25=OBJECTIFS!$B$13,OBJECTIFS!$H$15="taux de chute"),AND($D25=OBJECTIFS!$B$20,OBJECTIFS!$H$22="taux de chute"),AND($D25=OBJECTIFS!$B$27,OBJECTIFS!$H$29="taux de chute"),AND($D25=OBJECTIFS!$B$34,OBJECTIFS!$H$36="taux de chute")),IFERROR(W25/V25,""),IFERROR(V25/W25,""))</f>
        <v/>
      </c>
      <c r="Y25" s="91">
        <f>IFERROR(IF(OR(V25="",W25="",X25=""),0,IF(X25&lt;OBJECTIFS!$E$56,0,IF(X25&lt;OBJECTIFS!$G$56,Y$8*OBJECTIFS!$F$60,IF(X25&lt;OBJECTIFS!$I$56,Y$8*OBJECTIFS!$H$60,Y$8)))),0)</f>
        <v>0</v>
      </c>
      <c r="Z25" s="167"/>
      <c r="AA25" s="90" t="str">
        <f>IF(OR($A25="",$D25="",Z25=""),"",SUMIFS(OBJECTIFS!I$9:I$39,OBJECTIFS!$A$9:$A$39,$D25,OBJECTIFS!$C$9:$C$39,$F25))</f>
        <v/>
      </c>
      <c r="AB25" s="90" t="str">
        <f>IF(OR(AND($D25=OBJECTIFS!$B$6,OBJECTIFS!I$8="dmt"),AND($D25=OBJECTIFS!$B$13,OBJECTIFS!$I$15="dmt"),AND($D25=OBJECTIFS!$B$20,OBJECTIFS!$I$22="dmt"),AND($D25=OBJECTIFS!$B$27,OBJECTIFS!$I$29="dmt"),AND($D25=OBJECTIFS!$B$34,OBJECTIFS!$I$36="dmt"),AND($D25=OBJECTIFS!$B$6,OBJECTIFS!$I$8="taux de chute"),AND($D25=OBJECTIFS!$B$13,OBJECTIFS!$I$15="taux de chute"),AND($D25=OBJECTIFS!$B$20,OBJECTIFS!$I$22="taux de chute"),AND($D25=OBJECTIFS!$B$27,OBJECTIFS!$I$29="taux de chute"),AND($D25=OBJECTIFS!$B$34,OBJECTIFS!$I$36="taux de chute")),IFERROR(AA25/Z25,""),IFERROR(Z25/AA25,""))</f>
        <v/>
      </c>
      <c r="AC25" s="95">
        <f>IFERROR(IF(OR(Z25="",AA25="",AB25=""),0,IF(AB25&lt;OBJECTIFS!$E$56,0,IF(AB25&lt;OBJECTIFS!$G$56,AC$8*OBJECTIFS!$F$60,IF(AB25&lt;OBJECTIFS!$I$56,AC$8*OBJECTIFS!$H$60,AC$8)))),0)</f>
        <v>0</v>
      </c>
      <c r="AD25" s="186"/>
      <c r="AE25" s="187"/>
      <c r="AF25" s="96">
        <f t="shared" ca="1" si="11"/>
        <v>0</v>
      </c>
      <c r="AG25" s="63"/>
      <c r="AH25" s="186"/>
      <c r="AI25" s="24"/>
      <c r="AJ25" s="24"/>
      <c r="AK25" s="24"/>
      <c r="AL25" s="24"/>
      <c r="AM25" s="79">
        <f t="shared" si="12"/>
        <v>0</v>
      </c>
      <c r="AN25" s="79">
        <v>22</v>
      </c>
      <c r="AO25" s="80">
        <f t="shared" si="13"/>
        <v>0</v>
      </c>
      <c r="AP25" s="81" t="str">
        <f t="shared" ca="1" si="14"/>
        <v/>
      </c>
      <c r="AQ25" s="82"/>
      <c r="AR25" s="97">
        <f>IFERROR(VLOOKUP(B25,OBJECTIFS!$C$76:$E$137,2,FALSE),0)</f>
        <v>0</v>
      </c>
      <c r="AS25" s="98">
        <f>IFERROR(VLOOKUP(B25,OBJECTIFS!$H$76:$J$137,2,FALSE),0)</f>
        <v>0</v>
      </c>
      <c r="AT25" s="98">
        <f>IFERROR(VLOOKUP(B25,OBJECTIFS!$C$142:$E$203,2,FALSE),0)</f>
        <v>0</v>
      </c>
      <c r="AU25" s="98">
        <f>IFERROR(VLOOKUP(B25,OBJECTIFS!$H$142:$J$203,2,FALSE),0)</f>
        <v>0</v>
      </c>
      <c r="AV25" s="98">
        <f>IFERROR(VLOOKUP(B25,OBJECTIFS!$F$208:$H$269,3,FALSE),0)</f>
        <v>0</v>
      </c>
      <c r="AW25" s="81">
        <f t="shared" si="15"/>
        <v>0</v>
      </c>
      <c r="AX25" s="82"/>
      <c r="AY25" s="99" t="str">
        <f t="shared" ca="1" si="16"/>
        <v/>
      </c>
      <c r="AZ25" s="63"/>
      <c r="BA25" s="100">
        <f t="shared" ca="1" si="17"/>
        <v>0</v>
      </c>
      <c r="BB25" s="64" t="str">
        <f t="shared" ca="1" si="18"/>
        <v/>
      </c>
      <c r="BC25" s="101" t="str">
        <f t="shared" ca="1" si="19"/>
        <v/>
      </c>
    </row>
    <row r="26" spans="1:55" x14ac:dyDescent="0.2">
      <c r="A26" s="21"/>
      <c r="B26" s="22"/>
      <c r="C26" s="22"/>
      <c r="D26" s="23"/>
      <c r="E26" s="24"/>
      <c r="F26" s="34"/>
      <c r="H26" s="89" t="str">
        <f>IF(OR(D26="",F26="",A26=""),"",IF(E26="oui",0,IF(D26=OBJECTIFS!$C$45,VLOOKUP(F26,OBJECTIFS!$C$9:$D$11,2,FALSE),IF(D26=OBJECTIFS!$C$46,VLOOKUP(F26,OBJECTIFS!$C$16:$D$18,2,FALSE),IF(D26=OBJECTIFS!$C$47,VLOOKUP(F26,OBJECTIFS!$C$23:$D$25,2,FALSE),IF(D26=OBJECTIFS!$C$48,VLOOKUP(F26,OBJECTIFS!$C$30:$D$32,2,FALSE),IF(D26=OBJECTIFS!$C$49,VLOOKUP(F26,OBJECTIFS!$C$37:$D$39,2,FALSE))))))))</f>
        <v/>
      </c>
      <c r="J26" s="25"/>
      <c r="K26" s="90" t="str">
        <f>IF(OR($A26="",$D26="",J26=""),"",SUMIFS(OBJECTIFS!E$9:E$39,OBJECTIFS!$A$9:$A$39,$D26,OBJECTIFS!$C$9:$C$39,$F26))</f>
        <v/>
      </c>
      <c r="L26" s="90" t="str">
        <f>IF(OR(AND($D26=OBJECTIFS!$B$6,OBJECTIFS!E$8="dmt"),AND($D26=OBJECTIFS!$B$13,OBJECTIFS!$E$15="dmt"),AND($D26=OBJECTIFS!$B$20,OBJECTIFS!$E$22="dmt"),AND($D26=OBJECTIFS!$B$27,OBJECTIFS!$E$29="dmt"),AND($D26=OBJECTIFS!$B$34,OBJECTIFS!$E$36="dmt"),AND($D26=OBJECTIFS!$B$6,OBJECTIFS!$E$8="taux de chute"),AND($D26=OBJECTIFS!$B$13,OBJECTIFS!$E$15="taux de chute"),AND($D26=OBJECTIFS!$B$20,OBJECTIFS!$E$22="taux de chute"),AND($D26=OBJECTIFS!$B$27,OBJECTIFS!$E$29="taux de chute"),AND($D26=OBJECTIFS!$B$34,OBJECTIFS!$E$36="taux de chute")),IFERROR(K26/J26,""),IFERROR(J26/K26,""))</f>
        <v/>
      </c>
      <c r="M26" s="91">
        <f>IFERROR(IF(OR(J26="",K26="",L26=""),0,IF(L26&lt;OBJECTIFS!$E$56,0,IF(L26&lt;OBJECTIFS!$G$56,M$8*OBJECTIFS!$F$60,IF(L26&lt;OBJECTIFS!$I$56,M$8*OBJECTIFS!$H$60,M$8)))),0)</f>
        <v>0</v>
      </c>
      <c r="N26" s="161"/>
      <c r="O26" s="92" t="str">
        <f>IF(OR($A26="",$D26="",N26=""),"",SUMIFS(OBJECTIFS!F$9:F$39,OBJECTIFS!$A$9:$A$39,$D26,OBJECTIFS!$C$9:$C$39,$F26))</f>
        <v/>
      </c>
      <c r="P26" s="90" t="str">
        <f>IF(OR(AND($D26=OBJECTIFS!$B$6,OBJECTIFS!$F$8="dmt"),AND($D26=OBJECTIFS!$B$13,OBJECTIFS!$F$15="dmt"),AND($D26=OBJECTIFS!$B$20,OBJECTIFS!$F$22="dmt"),AND($D26=OBJECTIFS!$B$27,OBJECTIFS!$F$29="dmt"),AND($D26=OBJECTIFS!$B$34,OBJECTIFS!$F$36="dmt"),AND($D26=OBJECTIFS!$B$6,OBJECTIFS!$F$8="taux de chute"),AND($D26=OBJECTIFS!$B$13,OBJECTIFS!$F$15="taux de chute"),AND($D26=OBJECTIFS!$B$20,OBJECTIFS!$F$22="taux de chute"),AND($D26=OBJECTIFS!$B$27,OBJECTIFS!$F$29="taux de chute"),AND($D26=OBJECTIFS!$B$34,OBJECTIFS!$F$36="taux de chute")),IFERROR(O26/N26,""),IFERROR(N26/O26,""))</f>
        <v/>
      </c>
      <c r="Q26" s="91">
        <f>IFERROR(IF(OR(N26="",O26="",P26=""),0,IF(P26&lt;OBJECTIFS!$E$56,0,IF(P26&lt;OBJECTIFS!$G$56,Q$8*OBJECTIFS!$F$60,IF(P26&lt;OBJECTIFS!$I$56,Q$8*OBJECTIFS!$H$60,Q$8)))),0)</f>
        <v>0</v>
      </c>
      <c r="R26" s="164"/>
      <c r="S26" s="93" t="str">
        <f>IF(OR($A26="",$D26="",R26=""),"",SUMIFS(OBJECTIFS!G$9:G$39,OBJECTIFS!$A$9:$A$39,$D26,OBJECTIFS!$C$9:$C$39,$F26))</f>
        <v/>
      </c>
      <c r="T26" s="90" t="str">
        <f>IF(OR(AND($D26=OBJECTIFS!$B$6,OBJECTIFS!G$8="dmt"),AND($D26=OBJECTIFS!$B$13,OBJECTIFS!$G$15="dmt"),AND($D26=OBJECTIFS!$B$20,OBJECTIFS!$G$22="dmt"),AND($D26=OBJECTIFS!$B$27,OBJECTIFS!$G$29="dmt"),AND($D26=OBJECTIFS!$B$34,OBJECTIFS!$G$36="dmt"),AND($D26=OBJECTIFS!$B$6,OBJECTIFS!$G$8="taux de chute"),AND($D26=OBJECTIFS!$B$13,OBJECTIFS!$G$15="taux de chute"),AND($D26=OBJECTIFS!$B$20,OBJECTIFS!$G$22="taux de chute"),AND($D26=OBJECTIFS!$B$27,OBJECTIFS!$G$29="taux de chute"),AND($D26=OBJECTIFS!$B$34,OBJECTIFS!$G$36="taux de chute")),IFERROR(S26/R26,""),IFERROR(R26/S26,""))</f>
        <v/>
      </c>
      <c r="U26" s="94">
        <f>IFERROR(IF(OR(R26="",S26="",T26=""),0,IF(T26&lt;OBJECTIFS!$E$56,0,IF(T26&lt;OBJECTIFS!$G$56,U$8*OBJECTIFS!$F$60,IF(T26&lt;OBJECTIFS!$I$56,U$8*OBJECTIFS!$H$60,U$8)))),0)</f>
        <v>0</v>
      </c>
      <c r="V26" s="25"/>
      <c r="W26" s="90" t="str">
        <f>IF(OR($A26="",$D26="",V26=""),"",SUMIFS(OBJECTIFS!H$9:H$39,OBJECTIFS!$A$9:$A$39,$D26,OBJECTIFS!$C$9:$C$39,$F26))</f>
        <v/>
      </c>
      <c r="X26" s="90" t="str">
        <f>IF(OR(AND($D26=OBJECTIFS!$B$6,OBJECTIFS!H$8="dmt"),AND($D26=OBJECTIFS!$B$13,OBJECTIFS!$H$15="dmt"),AND($D26=OBJECTIFS!$B$20,OBJECTIFS!$H$22="dmt"),AND($D26=OBJECTIFS!$B$27,OBJECTIFS!$H$29="dmt"),AND($D26=OBJECTIFS!$B$34,OBJECTIFS!$H$36="dmt"),AND($D26=OBJECTIFS!$B$6,OBJECTIFS!$H$8="taux de chute"),AND($D26=OBJECTIFS!$B$13,OBJECTIFS!$H$15="taux de chute"),AND($D26=OBJECTIFS!$B$20,OBJECTIFS!$H$22="taux de chute"),AND($D26=OBJECTIFS!$B$27,OBJECTIFS!$H$29="taux de chute"),AND($D26=OBJECTIFS!$B$34,OBJECTIFS!$H$36="taux de chute")),IFERROR(W26/V26,""),IFERROR(V26/W26,""))</f>
        <v/>
      </c>
      <c r="Y26" s="91">
        <f>IFERROR(IF(OR(V26="",W26="",X26=""),0,IF(X26&lt;OBJECTIFS!$E$56,0,IF(X26&lt;OBJECTIFS!$G$56,Y$8*OBJECTIFS!$F$60,IF(X26&lt;OBJECTIFS!$I$56,Y$8*OBJECTIFS!$H$60,Y$8)))),0)</f>
        <v>0</v>
      </c>
      <c r="Z26" s="167"/>
      <c r="AA26" s="90" t="str">
        <f>IF(OR($A26="",$D26="",Z26=""),"",SUMIFS(OBJECTIFS!I$9:I$39,OBJECTIFS!$A$9:$A$39,$D26,OBJECTIFS!$C$9:$C$39,$F26))</f>
        <v/>
      </c>
      <c r="AB26" s="90" t="str">
        <f>IF(OR(AND($D26=OBJECTIFS!$B$6,OBJECTIFS!I$8="dmt"),AND($D26=OBJECTIFS!$B$13,OBJECTIFS!$I$15="dmt"),AND($D26=OBJECTIFS!$B$20,OBJECTIFS!$I$22="dmt"),AND($D26=OBJECTIFS!$B$27,OBJECTIFS!$I$29="dmt"),AND($D26=OBJECTIFS!$B$34,OBJECTIFS!$I$36="dmt"),AND($D26=OBJECTIFS!$B$6,OBJECTIFS!$I$8="taux de chute"),AND($D26=OBJECTIFS!$B$13,OBJECTIFS!$I$15="taux de chute"),AND($D26=OBJECTIFS!$B$20,OBJECTIFS!$I$22="taux de chute"),AND($D26=OBJECTIFS!$B$27,OBJECTIFS!$I$29="taux de chute"),AND($D26=OBJECTIFS!$B$34,OBJECTIFS!$I$36="taux de chute")),IFERROR(AA26/Z26,""),IFERROR(Z26/AA26,""))</f>
        <v/>
      </c>
      <c r="AC26" s="95">
        <f>IFERROR(IF(OR(Z26="",AA26="",AB26=""),0,IF(AB26&lt;OBJECTIFS!$E$56,0,IF(AB26&lt;OBJECTIFS!$G$56,AC$8*OBJECTIFS!$F$60,IF(AB26&lt;OBJECTIFS!$I$56,AC$8*OBJECTIFS!$H$60,AC$8)))),0)</f>
        <v>0</v>
      </c>
      <c r="AD26" s="186"/>
      <c r="AE26" s="187"/>
      <c r="AF26" s="96">
        <f t="shared" ca="1" si="11"/>
        <v>0</v>
      </c>
      <c r="AG26" s="63"/>
      <c r="AH26" s="186"/>
      <c r="AI26" s="24"/>
      <c r="AJ26" s="24"/>
      <c r="AK26" s="24"/>
      <c r="AL26" s="24"/>
      <c r="AM26" s="79">
        <f t="shared" si="12"/>
        <v>0</v>
      </c>
      <c r="AN26" s="79">
        <v>22</v>
      </c>
      <c r="AO26" s="80">
        <f t="shared" si="13"/>
        <v>0</v>
      </c>
      <c r="AP26" s="81" t="str">
        <f t="shared" ca="1" si="14"/>
        <v/>
      </c>
      <c r="AQ26" s="82"/>
      <c r="AR26" s="97">
        <f>IFERROR(VLOOKUP(B26,OBJECTIFS!$C$76:$E$137,2,FALSE),0)</f>
        <v>0</v>
      </c>
      <c r="AS26" s="98">
        <f>IFERROR(VLOOKUP(B26,OBJECTIFS!$H$76:$J$137,2,FALSE),0)</f>
        <v>0</v>
      </c>
      <c r="AT26" s="98">
        <f>IFERROR(VLOOKUP(B26,OBJECTIFS!$C$142:$E$203,2,FALSE),0)</f>
        <v>0</v>
      </c>
      <c r="AU26" s="98">
        <f>IFERROR(VLOOKUP(B26,OBJECTIFS!$H$142:$J$203,2,FALSE),0)</f>
        <v>0</v>
      </c>
      <c r="AV26" s="98">
        <f>IFERROR(VLOOKUP(B26,OBJECTIFS!$F$208:$H$269,3,FALSE),0)</f>
        <v>0</v>
      </c>
      <c r="AW26" s="81">
        <f t="shared" si="15"/>
        <v>0</v>
      </c>
      <c r="AX26" s="82"/>
      <c r="AY26" s="99" t="str">
        <f t="shared" ca="1" si="16"/>
        <v/>
      </c>
      <c r="AZ26" s="63"/>
      <c r="BA26" s="100">
        <f t="shared" ca="1" si="17"/>
        <v>0</v>
      </c>
      <c r="BB26" s="64" t="str">
        <f t="shared" ca="1" si="18"/>
        <v/>
      </c>
      <c r="BC26" s="101" t="str">
        <f t="shared" ca="1" si="19"/>
        <v/>
      </c>
    </row>
    <row r="27" spans="1:55" x14ac:dyDescent="0.2">
      <c r="A27" s="21"/>
      <c r="B27" s="22"/>
      <c r="C27" s="22"/>
      <c r="D27" s="23"/>
      <c r="E27" s="24"/>
      <c r="F27" s="34"/>
      <c r="H27" s="89" t="str">
        <f>IF(OR(D27="",F27="",A27=""),"",IF(E27="oui",0,IF(D27=OBJECTIFS!$C$45,VLOOKUP(F27,OBJECTIFS!$C$9:$D$11,2,FALSE),IF(D27=OBJECTIFS!$C$46,VLOOKUP(F27,OBJECTIFS!$C$16:$D$18,2,FALSE),IF(D27=OBJECTIFS!$C$47,VLOOKUP(F27,OBJECTIFS!$C$23:$D$25,2,FALSE),IF(D27=OBJECTIFS!$C$48,VLOOKUP(F27,OBJECTIFS!$C$30:$D$32,2,FALSE),IF(D27=OBJECTIFS!$C$49,VLOOKUP(F27,OBJECTIFS!$C$37:$D$39,2,FALSE))))))))</f>
        <v/>
      </c>
      <c r="J27" s="25"/>
      <c r="K27" s="90" t="str">
        <f>IF(OR($A27="",$D27="",J27=""),"",SUMIFS(OBJECTIFS!E$9:E$39,OBJECTIFS!$A$9:$A$39,$D27,OBJECTIFS!$C$9:$C$39,$F27))</f>
        <v/>
      </c>
      <c r="L27" s="90" t="str">
        <f>IF(OR(AND($D27=OBJECTIFS!$B$6,OBJECTIFS!E$8="dmt"),AND($D27=OBJECTIFS!$B$13,OBJECTIFS!$E$15="dmt"),AND($D27=OBJECTIFS!$B$20,OBJECTIFS!$E$22="dmt"),AND($D27=OBJECTIFS!$B$27,OBJECTIFS!$E$29="dmt"),AND($D27=OBJECTIFS!$B$34,OBJECTIFS!$E$36="dmt"),AND($D27=OBJECTIFS!$B$6,OBJECTIFS!$E$8="taux de chute"),AND($D27=OBJECTIFS!$B$13,OBJECTIFS!$E$15="taux de chute"),AND($D27=OBJECTIFS!$B$20,OBJECTIFS!$E$22="taux de chute"),AND($D27=OBJECTIFS!$B$27,OBJECTIFS!$E$29="taux de chute"),AND($D27=OBJECTIFS!$B$34,OBJECTIFS!$E$36="taux de chute")),IFERROR(K27/J27,""),IFERROR(J27/K27,""))</f>
        <v/>
      </c>
      <c r="M27" s="91">
        <f>IFERROR(IF(OR(J27="",K27="",L27=""),0,IF(L27&lt;OBJECTIFS!$E$56,0,IF(L27&lt;OBJECTIFS!$G$56,M$8*OBJECTIFS!$F$60,IF(L27&lt;OBJECTIFS!$I$56,M$8*OBJECTIFS!$H$60,M$8)))),0)</f>
        <v>0</v>
      </c>
      <c r="N27" s="161"/>
      <c r="O27" s="92" t="str">
        <f>IF(OR($A27="",$D27="",N27=""),"",SUMIFS(OBJECTIFS!F$9:F$39,OBJECTIFS!$A$9:$A$39,$D27,OBJECTIFS!$C$9:$C$39,$F27))</f>
        <v/>
      </c>
      <c r="P27" s="90" t="str">
        <f>IF(OR(AND($D27=OBJECTIFS!$B$6,OBJECTIFS!$F$8="dmt"),AND($D27=OBJECTIFS!$B$13,OBJECTIFS!$F$15="dmt"),AND($D27=OBJECTIFS!$B$20,OBJECTIFS!$F$22="dmt"),AND($D27=OBJECTIFS!$B$27,OBJECTIFS!$F$29="dmt"),AND($D27=OBJECTIFS!$B$34,OBJECTIFS!$F$36="dmt"),AND($D27=OBJECTIFS!$B$6,OBJECTIFS!$F$8="taux de chute"),AND($D27=OBJECTIFS!$B$13,OBJECTIFS!$F$15="taux de chute"),AND($D27=OBJECTIFS!$B$20,OBJECTIFS!$F$22="taux de chute"),AND($D27=OBJECTIFS!$B$27,OBJECTIFS!$F$29="taux de chute"),AND($D27=OBJECTIFS!$B$34,OBJECTIFS!$F$36="taux de chute")),IFERROR(O27/N27,""),IFERROR(N27/O27,""))</f>
        <v/>
      </c>
      <c r="Q27" s="91">
        <f>IFERROR(IF(OR(N27="",O27="",P27=""),0,IF(P27&lt;OBJECTIFS!$E$56,0,IF(P27&lt;OBJECTIFS!$G$56,Q$8*OBJECTIFS!$F$60,IF(P27&lt;OBJECTIFS!$I$56,Q$8*OBJECTIFS!$H$60,Q$8)))),0)</f>
        <v>0</v>
      </c>
      <c r="R27" s="164"/>
      <c r="S27" s="93" t="str">
        <f>IF(OR($A27="",$D27="",R27=""),"",SUMIFS(OBJECTIFS!G$9:G$39,OBJECTIFS!$A$9:$A$39,$D27,OBJECTIFS!$C$9:$C$39,$F27))</f>
        <v/>
      </c>
      <c r="T27" s="90" t="str">
        <f>IF(OR(AND($D27=OBJECTIFS!$B$6,OBJECTIFS!G$8="dmt"),AND($D27=OBJECTIFS!$B$13,OBJECTIFS!$G$15="dmt"),AND($D27=OBJECTIFS!$B$20,OBJECTIFS!$G$22="dmt"),AND($D27=OBJECTIFS!$B$27,OBJECTIFS!$G$29="dmt"),AND($D27=OBJECTIFS!$B$34,OBJECTIFS!$G$36="dmt"),AND($D27=OBJECTIFS!$B$6,OBJECTIFS!$G$8="taux de chute"),AND($D27=OBJECTIFS!$B$13,OBJECTIFS!$G$15="taux de chute"),AND($D27=OBJECTIFS!$B$20,OBJECTIFS!$G$22="taux de chute"),AND($D27=OBJECTIFS!$B$27,OBJECTIFS!$G$29="taux de chute"),AND($D27=OBJECTIFS!$B$34,OBJECTIFS!$G$36="taux de chute")),IFERROR(S27/R27,""),IFERROR(R27/S27,""))</f>
        <v/>
      </c>
      <c r="U27" s="94">
        <f>IFERROR(IF(OR(R27="",S27="",T27=""),0,IF(T27&lt;OBJECTIFS!$E$56,0,IF(T27&lt;OBJECTIFS!$G$56,U$8*OBJECTIFS!$F$60,IF(T27&lt;OBJECTIFS!$I$56,U$8*OBJECTIFS!$H$60,U$8)))),0)</f>
        <v>0</v>
      </c>
      <c r="V27" s="25"/>
      <c r="W27" s="90" t="str">
        <f>IF(OR($A27="",$D27="",V27=""),"",SUMIFS(OBJECTIFS!H$9:H$39,OBJECTIFS!$A$9:$A$39,$D27,OBJECTIFS!$C$9:$C$39,$F27))</f>
        <v/>
      </c>
      <c r="X27" s="90" t="str">
        <f>IF(OR(AND($D27=OBJECTIFS!$B$6,OBJECTIFS!H$8="dmt"),AND($D27=OBJECTIFS!$B$13,OBJECTIFS!$H$15="dmt"),AND($D27=OBJECTIFS!$B$20,OBJECTIFS!$H$22="dmt"),AND($D27=OBJECTIFS!$B$27,OBJECTIFS!$H$29="dmt"),AND($D27=OBJECTIFS!$B$34,OBJECTIFS!$H$36="dmt"),AND($D27=OBJECTIFS!$B$6,OBJECTIFS!$H$8="taux de chute"),AND($D27=OBJECTIFS!$B$13,OBJECTIFS!$H$15="taux de chute"),AND($D27=OBJECTIFS!$B$20,OBJECTIFS!$H$22="taux de chute"),AND($D27=OBJECTIFS!$B$27,OBJECTIFS!$H$29="taux de chute"),AND($D27=OBJECTIFS!$B$34,OBJECTIFS!$H$36="taux de chute")),IFERROR(W27/V27,""),IFERROR(V27/W27,""))</f>
        <v/>
      </c>
      <c r="Y27" s="91">
        <f>IFERROR(IF(OR(V27="",W27="",X27=""),0,IF(X27&lt;OBJECTIFS!$E$56,0,IF(X27&lt;OBJECTIFS!$G$56,Y$8*OBJECTIFS!$F$60,IF(X27&lt;OBJECTIFS!$I$56,Y$8*OBJECTIFS!$H$60,Y$8)))),0)</f>
        <v>0</v>
      </c>
      <c r="Z27" s="167"/>
      <c r="AA27" s="90" t="str">
        <f>IF(OR($A27="",$D27="",Z27=""),"",SUMIFS(OBJECTIFS!I$9:I$39,OBJECTIFS!$A$9:$A$39,$D27,OBJECTIFS!$C$9:$C$39,$F27))</f>
        <v/>
      </c>
      <c r="AB27" s="90" t="str">
        <f>IF(OR(AND($D27=OBJECTIFS!$B$6,OBJECTIFS!I$8="dmt"),AND($D27=OBJECTIFS!$B$13,OBJECTIFS!$I$15="dmt"),AND($D27=OBJECTIFS!$B$20,OBJECTIFS!$I$22="dmt"),AND($D27=OBJECTIFS!$B$27,OBJECTIFS!$I$29="dmt"),AND($D27=OBJECTIFS!$B$34,OBJECTIFS!$I$36="dmt"),AND($D27=OBJECTIFS!$B$6,OBJECTIFS!$I$8="taux de chute"),AND($D27=OBJECTIFS!$B$13,OBJECTIFS!$I$15="taux de chute"),AND($D27=OBJECTIFS!$B$20,OBJECTIFS!$I$22="taux de chute"),AND($D27=OBJECTIFS!$B$27,OBJECTIFS!$I$29="taux de chute"),AND($D27=OBJECTIFS!$B$34,OBJECTIFS!$I$36="taux de chute")),IFERROR(AA27/Z27,""),IFERROR(Z27/AA27,""))</f>
        <v/>
      </c>
      <c r="AC27" s="95">
        <f>IFERROR(IF(OR(Z27="",AA27="",AB27=""),0,IF(AB27&lt;OBJECTIFS!$E$56,0,IF(AB27&lt;OBJECTIFS!$G$56,AC$8*OBJECTIFS!$F$60,IF(AB27&lt;OBJECTIFS!$I$56,AC$8*OBJECTIFS!$H$60,AC$8)))),0)</f>
        <v>0</v>
      </c>
      <c r="AD27" s="186"/>
      <c r="AE27" s="187"/>
      <c r="AF27" s="96">
        <f t="shared" ca="1" si="11"/>
        <v>0</v>
      </c>
      <c r="AG27" s="63"/>
      <c r="AH27" s="186"/>
      <c r="AI27" s="24"/>
      <c r="AJ27" s="24"/>
      <c r="AK27" s="24"/>
      <c r="AL27" s="24"/>
      <c r="AM27" s="79">
        <f t="shared" si="12"/>
        <v>0</v>
      </c>
      <c r="AN27" s="79">
        <v>22</v>
      </c>
      <c r="AO27" s="80">
        <f t="shared" si="13"/>
        <v>0</v>
      </c>
      <c r="AP27" s="81" t="str">
        <f t="shared" ca="1" si="14"/>
        <v/>
      </c>
      <c r="AQ27" s="82"/>
      <c r="AR27" s="97">
        <f>IFERROR(VLOOKUP(B27,OBJECTIFS!$C$76:$E$137,2,FALSE),0)</f>
        <v>0</v>
      </c>
      <c r="AS27" s="98">
        <f>IFERROR(VLOOKUP(B27,OBJECTIFS!$H$76:$J$137,2,FALSE),0)</f>
        <v>0</v>
      </c>
      <c r="AT27" s="98">
        <f>IFERROR(VLOOKUP(B27,OBJECTIFS!$C$142:$E$203,2,FALSE),0)</f>
        <v>0</v>
      </c>
      <c r="AU27" s="98">
        <f>IFERROR(VLOOKUP(B27,OBJECTIFS!$H$142:$J$203,2,FALSE),0)</f>
        <v>0</v>
      </c>
      <c r="AV27" s="98">
        <f>IFERROR(VLOOKUP(B27,OBJECTIFS!$F$208:$H$269,3,FALSE),0)</f>
        <v>0</v>
      </c>
      <c r="AW27" s="81">
        <f t="shared" si="15"/>
        <v>0</v>
      </c>
      <c r="AX27" s="82"/>
      <c r="AY27" s="99" t="str">
        <f t="shared" ca="1" si="16"/>
        <v/>
      </c>
      <c r="AZ27" s="63"/>
      <c r="BA27" s="100">
        <f t="shared" ca="1" si="17"/>
        <v>0</v>
      </c>
      <c r="BB27" s="64" t="str">
        <f t="shared" ca="1" si="18"/>
        <v/>
      </c>
      <c r="BC27" s="101" t="str">
        <f t="shared" ca="1" si="19"/>
        <v/>
      </c>
    </row>
    <row r="28" spans="1:55" x14ac:dyDescent="0.2">
      <c r="A28" s="21"/>
      <c r="B28" s="22"/>
      <c r="C28" s="22"/>
      <c r="D28" s="23"/>
      <c r="E28" s="24"/>
      <c r="F28" s="34"/>
      <c r="H28" s="89" t="str">
        <f>IF(OR(D28="",F28="",A28=""),"",IF(E28="oui",0,IF(D28=OBJECTIFS!$C$45,VLOOKUP(F28,OBJECTIFS!$C$9:$D$11,2,FALSE),IF(D28=OBJECTIFS!$C$46,VLOOKUP(F28,OBJECTIFS!$C$16:$D$18,2,FALSE),IF(D28=OBJECTIFS!$C$47,VLOOKUP(F28,OBJECTIFS!$C$23:$D$25,2,FALSE),IF(D28=OBJECTIFS!$C$48,VLOOKUP(F28,OBJECTIFS!$C$30:$D$32,2,FALSE),IF(D28=OBJECTIFS!$C$49,VLOOKUP(F28,OBJECTIFS!$C$37:$D$39,2,FALSE))))))))</f>
        <v/>
      </c>
      <c r="J28" s="25"/>
      <c r="K28" s="90" t="str">
        <f>IF(OR($A28="",$D28="",J28=""),"",SUMIFS(OBJECTIFS!E$9:E$39,OBJECTIFS!$A$9:$A$39,$D28,OBJECTIFS!$C$9:$C$39,$F28))</f>
        <v/>
      </c>
      <c r="L28" s="90" t="str">
        <f>IF(OR(AND($D28=OBJECTIFS!$B$6,OBJECTIFS!E$8="dmt"),AND($D28=OBJECTIFS!$B$13,OBJECTIFS!$E$15="dmt"),AND($D28=OBJECTIFS!$B$20,OBJECTIFS!$E$22="dmt"),AND($D28=OBJECTIFS!$B$27,OBJECTIFS!$E$29="dmt"),AND($D28=OBJECTIFS!$B$34,OBJECTIFS!$E$36="dmt"),AND($D28=OBJECTIFS!$B$6,OBJECTIFS!$E$8="taux de chute"),AND($D28=OBJECTIFS!$B$13,OBJECTIFS!$E$15="taux de chute"),AND($D28=OBJECTIFS!$B$20,OBJECTIFS!$E$22="taux de chute"),AND($D28=OBJECTIFS!$B$27,OBJECTIFS!$E$29="taux de chute"),AND($D28=OBJECTIFS!$B$34,OBJECTIFS!$E$36="taux de chute")),IFERROR(K28/J28,""),IFERROR(J28/K28,""))</f>
        <v/>
      </c>
      <c r="M28" s="91">
        <f>IFERROR(IF(OR(J28="",K28="",L28=""),0,IF(L28&lt;OBJECTIFS!$E$56,0,IF(L28&lt;OBJECTIFS!$G$56,M$8*OBJECTIFS!$F$60,IF(L28&lt;OBJECTIFS!$I$56,M$8*OBJECTIFS!$H$60,M$8)))),0)</f>
        <v>0</v>
      </c>
      <c r="N28" s="161"/>
      <c r="O28" s="92" t="str">
        <f>IF(OR($A28="",$D28="",N28=""),"",SUMIFS(OBJECTIFS!F$9:F$39,OBJECTIFS!$A$9:$A$39,$D28,OBJECTIFS!$C$9:$C$39,$F28))</f>
        <v/>
      </c>
      <c r="P28" s="90" t="str">
        <f>IF(OR(AND($D28=OBJECTIFS!$B$6,OBJECTIFS!$F$8="dmt"),AND($D28=OBJECTIFS!$B$13,OBJECTIFS!$F$15="dmt"),AND($D28=OBJECTIFS!$B$20,OBJECTIFS!$F$22="dmt"),AND($D28=OBJECTIFS!$B$27,OBJECTIFS!$F$29="dmt"),AND($D28=OBJECTIFS!$B$34,OBJECTIFS!$F$36="dmt"),AND($D28=OBJECTIFS!$B$6,OBJECTIFS!$F$8="taux de chute"),AND($D28=OBJECTIFS!$B$13,OBJECTIFS!$F$15="taux de chute"),AND($D28=OBJECTIFS!$B$20,OBJECTIFS!$F$22="taux de chute"),AND($D28=OBJECTIFS!$B$27,OBJECTIFS!$F$29="taux de chute"),AND($D28=OBJECTIFS!$B$34,OBJECTIFS!$F$36="taux de chute")),IFERROR(O28/N28,""),IFERROR(N28/O28,""))</f>
        <v/>
      </c>
      <c r="Q28" s="91">
        <f>IFERROR(IF(OR(N28="",O28="",P28=""),0,IF(P28&lt;OBJECTIFS!$E$56,0,IF(P28&lt;OBJECTIFS!$G$56,Q$8*OBJECTIFS!$F$60,IF(P28&lt;OBJECTIFS!$I$56,Q$8*OBJECTIFS!$H$60,Q$8)))),0)</f>
        <v>0</v>
      </c>
      <c r="R28" s="164"/>
      <c r="S28" s="93" t="str">
        <f>IF(OR($A28="",$D28="",R28=""),"",SUMIFS(OBJECTIFS!G$9:G$39,OBJECTIFS!$A$9:$A$39,$D28,OBJECTIFS!$C$9:$C$39,$F28))</f>
        <v/>
      </c>
      <c r="T28" s="90" t="str">
        <f>IF(OR(AND($D28=OBJECTIFS!$B$6,OBJECTIFS!G$8="dmt"),AND($D28=OBJECTIFS!$B$13,OBJECTIFS!$G$15="dmt"),AND($D28=OBJECTIFS!$B$20,OBJECTIFS!$G$22="dmt"),AND($D28=OBJECTIFS!$B$27,OBJECTIFS!$G$29="dmt"),AND($D28=OBJECTIFS!$B$34,OBJECTIFS!$G$36="dmt"),AND($D28=OBJECTIFS!$B$6,OBJECTIFS!$G$8="taux de chute"),AND($D28=OBJECTIFS!$B$13,OBJECTIFS!$G$15="taux de chute"),AND($D28=OBJECTIFS!$B$20,OBJECTIFS!$G$22="taux de chute"),AND($D28=OBJECTIFS!$B$27,OBJECTIFS!$G$29="taux de chute"),AND($D28=OBJECTIFS!$B$34,OBJECTIFS!$G$36="taux de chute")),IFERROR(S28/R28,""),IFERROR(R28/S28,""))</f>
        <v/>
      </c>
      <c r="U28" s="94">
        <f>IFERROR(IF(OR(R28="",S28="",T28=""),0,IF(T28&lt;OBJECTIFS!$E$56,0,IF(T28&lt;OBJECTIFS!$G$56,U$8*OBJECTIFS!$F$60,IF(T28&lt;OBJECTIFS!$I$56,U$8*OBJECTIFS!$H$60,U$8)))),0)</f>
        <v>0</v>
      </c>
      <c r="V28" s="25"/>
      <c r="W28" s="90" t="str">
        <f>IF(OR($A28="",$D28="",V28=""),"",SUMIFS(OBJECTIFS!H$9:H$39,OBJECTIFS!$A$9:$A$39,$D28,OBJECTIFS!$C$9:$C$39,$F28))</f>
        <v/>
      </c>
      <c r="X28" s="90" t="str">
        <f>IF(OR(AND($D28=OBJECTIFS!$B$6,OBJECTIFS!H$8="dmt"),AND($D28=OBJECTIFS!$B$13,OBJECTIFS!$H$15="dmt"),AND($D28=OBJECTIFS!$B$20,OBJECTIFS!$H$22="dmt"),AND($D28=OBJECTIFS!$B$27,OBJECTIFS!$H$29="dmt"),AND($D28=OBJECTIFS!$B$34,OBJECTIFS!$H$36="dmt"),AND($D28=OBJECTIFS!$B$6,OBJECTIFS!$H$8="taux de chute"),AND($D28=OBJECTIFS!$B$13,OBJECTIFS!$H$15="taux de chute"),AND($D28=OBJECTIFS!$B$20,OBJECTIFS!$H$22="taux de chute"),AND($D28=OBJECTIFS!$B$27,OBJECTIFS!$H$29="taux de chute"),AND($D28=OBJECTIFS!$B$34,OBJECTIFS!$H$36="taux de chute")),IFERROR(W28/V28,""),IFERROR(V28/W28,""))</f>
        <v/>
      </c>
      <c r="Y28" s="91">
        <f>IFERROR(IF(OR(V28="",W28="",X28=""),0,IF(X28&lt;OBJECTIFS!$E$56,0,IF(X28&lt;OBJECTIFS!$G$56,Y$8*OBJECTIFS!$F$60,IF(X28&lt;OBJECTIFS!$I$56,Y$8*OBJECTIFS!$H$60,Y$8)))),0)</f>
        <v>0</v>
      </c>
      <c r="Z28" s="167"/>
      <c r="AA28" s="90" t="str">
        <f>IF(OR($A28="",$D28="",Z28=""),"",SUMIFS(OBJECTIFS!I$9:I$39,OBJECTIFS!$A$9:$A$39,$D28,OBJECTIFS!$C$9:$C$39,$F28))</f>
        <v/>
      </c>
      <c r="AB28" s="90" t="str">
        <f>IF(OR(AND($D28=OBJECTIFS!$B$6,OBJECTIFS!I$8="dmt"),AND($D28=OBJECTIFS!$B$13,OBJECTIFS!$I$15="dmt"),AND($D28=OBJECTIFS!$B$20,OBJECTIFS!$I$22="dmt"),AND($D28=OBJECTIFS!$B$27,OBJECTIFS!$I$29="dmt"),AND($D28=OBJECTIFS!$B$34,OBJECTIFS!$I$36="dmt"),AND($D28=OBJECTIFS!$B$6,OBJECTIFS!$I$8="taux de chute"),AND($D28=OBJECTIFS!$B$13,OBJECTIFS!$I$15="taux de chute"),AND($D28=OBJECTIFS!$B$20,OBJECTIFS!$I$22="taux de chute"),AND($D28=OBJECTIFS!$B$27,OBJECTIFS!$I$29="taux de chute"),AND($D28=OBJECTIFS!$B$34,OBJECTIFS!$I$36="taux de chute")),IFERROR(AA28/Z28,""),IFERROR(Z28/AA28,""))</f>
        <v/>
      </c>
      <c r="AC28" s="95">
        <f>IFERROR(IF(OR(Z28="",AA28="",AB28=""),0,IF(AB28&lt;OBJECTIFS!$E$56,0,IF(AB28&lt;OBJECTIFS!$G$56,AC$8*OBJECTIFS!$F$60,IF(AB28&lt;OBJECTIFS!$I$56,AC$8*OBJECTIFS!$H$60,AC$8)))),0)</f>
        <v>0</v>
      </c>
      <c r="AD28" s="186"/>
      <c r="AE28" s="187"/>
      <c r="AF28" s="96">
        <f t="shared" ca="1" si="11"/>
        <v>0</v>
      </c>
      <c r="AG28" s="63"/>
      <c r="AH28" s="186"/>
      <c r="AI28" s="24"/>
      <c r="AJ28" s="24"/>
      <c r="AK28" s="24"/>
      <c r="AL28" s="24"/>
      <c r="AM28" s="79">
        <f t="shared" si="12"/>
        <v>0</v>
      </c>
      <c r="AN28" s="79">
        <v>22</v>
      </c>
      <c r="AO28" s="80">
        <f t="shared" si="13"/>
        <v>0</v>
      </c>
      <c r="AP28" s="81" t="str">
        <f t="shared" ca="1" si="14"/>
        <v/>
      </c>
      <c r="AQ28" s="82"/>
      <c r="AR28" s="97">
        <f>IFERROR(VLOOKUP(B28,OBJECTIFS!$C$76:$E$137,2,FALSE),0)</f>
        <v>0</v>
      </c>
      <c r="AS28" s="98">
        <f>IFERROR(VLOOKUP(B28,OBJECTIFS!$H$76:$J$137,2,FALSE),0)</f>
        <v>0</v>
      </c>
      <c r="AT28" s="98">
        <f>IFERROR(VLOOKUP(B28,OBJECTIFS!$C$142:$E$203,2,FALSE),0)</f>
        <v>0</v>
      </c>
      <c r="AU28" s="98">
        <f>IFERROR(VLOOKUP(B28,OBJECTIFS!$H$142:$J$203,2,FALSE),0)</f>
        <v>0</v>
      </c>
      <c r="AV28" s="98">
        <f>IFERROR(VLOOKUP(B28,OBJECTIFS!$F$208:$H$269,3,FALSE),0)</f>
        <v>0</v>
      </c>
      <c r="AW28" s="81">
        <f t="shared" si="15"/>
        <v>0</v>
      </c>
      <c r="AX28" s="82"/>
      <c r="AY28" s="99" t="str">
        <f t="shared" ca="1" si="16"/>
        <v/>
      </c>
      <c r="AZ28" s="63"/>
      <c r="BA28" s="100">
        <f t="shared" ca="1" si="17"/>
        <v>0</v>
      </c>
      <c r="BB28" s="64" t="str">
        <f t="shared" ca="1" si="18"/>
        <v/>
      </c>
      <c r="BC28" s="101" t="str">
        <f t="shared" ca="1" si="19"/>
        <v/>
      </c>
    </row>
    <row r="29" spans="1:55" x14ac:dyDescent="0.2">
      <c r="A29" s="21"/>
      <c r="B29" s="22"/>
      <c r="C29" s="22"/>
      <c r="D29" s="23"/>
      <c r="E29" s="24"/>
      <c r="F29" s="34"/>
      <c r="H29" s="89" t="str">
        <f>IF(OR(D29="",F29="",A29=""),"",IF(E29="oui",0,IF(D29=OBJECTIFS!$C$45,VLOOKUP(F29,OBJECTIFS!$C$9:$D$11,2,FALSE),IF(D29=OBJECTIFS!$C$46,VLOOKUP(F29,OBJECTIFS!$C$16:$D$18,2,FALSE),IF(D29=OBJECTIFS!$C$47,VLOOKUP(F29,OBJECTIFS!$C$23:$D$25,2,FALSE),IF(D29=OBJECTIFS!$C$48,VLOOKUP(F29,OBJECTIFS!$C$30:$D$32,2,FALSE),IF(D29=OBJECTIFS!$C$49,VLOOKUP(F29,OBJECTIFS!$C$37:$D$39,2,FALSE))))))))</f>
        <v/>
      </c>
      <c r="J29" s="25"/>
      <c r="K29" s="90" t="str">
        <f>IF(OR($A29="",$D29="",J29=""),"",SUMIFS(OBJECTIFS!E$9:E$39,OBJECTIFS!$A$9:$A$39,$D29,OBJECTIFS!$C$9:$C$39,$F29))</f>
        <v/>
      </c>
      <c r="L29" s="90" t="str">
        <f>IF(OR(AND($D29=OBJECTIFS!$B$6,OBJECTIFS!E$8="dmt"),AND($D29=OBJECTIFS!$B$13,OBJECTIFS!$E$15="dmt"),AND($D29=OBJECTIFS!$B$20,OBJECTIFS!$E$22="dmt"),AND($D29=OBJECTIFS!$B$27,OBJECTIFS!$E$29="dmt"),AND($D29=OBJECTIFS!$B$34,OBJECTIFS!$E$36="dmt"),AND($D29=OBJECTIFS!$B$6,OBJECTIFS!$E$8="taux de chute"),AND($D29=OBJECTIFS!$B$13,OBJECTIFS!$E$15="taux de chute"),AND($D29=OBJECTIFS!$B$20,OBJECTIFS!$E$22="taux de chute"),AND($D29=OBJECTIFS!$B$27,OBJECTIFS!$E$29="taux de chute"),AND($D29=OBJECTIFS!$B$34,OBJECTIFS!$E$36="taux de chute")),IFERROR(K29/J29,""),IFERROR(J29/K29,""))</f>
        <v/>
      </c>
      <c r="M29" s="91">
        <f>IFERROR(IF(OR(J29="",K29="",L29=""),0,IF(L29&lt;OBJECTIFS!$E$56,0,IF(L29&lt;OBJECTIFS!$G$56,M$8*OBJECTIFS!$F$60,IF(L29&lt;OBJECTIFS!$I$56,M$8*OBJECTIFS!$H$60,M$8)))),0)</f>
        <v>0</v>
      </c>
      <c r="N29" s="161"/>
      <c r="O29" s="92" t="str">
        <f>IF(OR($A29="",$D29="",N29=""),"",SUMIFS(OBJECTIFS!F$9:F$39,OBJECTIFS!$A$9:$A$39,$D29,OBJECTIFS!$C$9:$C$39,$F29))</f>
        <v/>
      </c>
      <c r="P29" s="90" t="str">
        <f>IF(OR(AND($D29=OBJECTIFS!$B$6,OBJECTIFS!$F$8="dmt"),AND($D29=OBJECTIFS!$B$13,OBJECTIFS!$F$15="dmt"),AND($D29=OBJECTIFS!$B$20,OBJECTIFS!$F$22="dmt"),AND($D29=OBJECTIFS!$B$27,OBJECTIFS!$F$29="dmt"),AND($D29=OBJECTIFS!$B$34,OBJECTIFS!$F$36="dmt"),AND($D29=OBJECTIFS!$B$6,OBJECTIFS!$F$8="taux de chute"),AND($D29=OBJECTIFS!$B$13,OBJECTIFS!$F$15="taux de chute"),AND($D29=OBJECTIFS!$B$20,OBJECTIFS!$F$22="taux de chute"),AND($D29=OBJECTIFS!$B$27,OBJECTIFS!$F$29="taux de chute"),AND($D29=OBJECTIFS!$B$34,OBJECTIFS!$F$36="taux de chute")),IFERROR(O29/N29,""),IFERROR(N29/O29,""))</f>
        <v/>
      </c>
      <c r="Q29" s="91">
        <f>IFERROR(IF(OR(N29="",O29="",P29=""),0,IF(P29&lt;OBJECTIFS!$E$56,0,IF(P29&lt;OBJECTIFS!$G$56,Q$8*OBJECTIFS!$F$60,IF(P29&lt;OBJECTIFS!$I$56,Q$8*OBJECTIFS!$H$60,Q$8)))),0)</f>
        <v>0</v>
      </c>
      <c r="R29" s="164"/>
      <c r="S29" s="93" t="str">
        <f>IF(OR($A29="",$D29="",R29=""),"",SUMIFS(OBJECTIFS!G$9:G$39,OBJECTIFS!$A$9:$A$39,$D29,OBJECTIFS!$C$9:$C$39,$F29))</f>
        <v/>
      </c>
      <c r="T29" s="90" t="str">
        <f>IF(OR(AND($D29=OBJECTIFS!$B$6,OBJECTIFS!G$8="dmt"),AND($D29=OBJECTIFS!$B$13,OBJECTIFS!$G$15="dmt"),AND($D29=OBJECTIFS!$B$20,OBJECTIFS!$G$22="dmt"),AND($D29=OBJECTIFS!$B$27,OBJECTIFS!$G$29="dmt"),AND($D29=OBJECTIFS!$B$34,OBJECTIFS!$G$36="dmt"),AND($D29=OBJECTIFS!$B$6,OBJECTIFS!$G$8="taux de chute"),AND($D29=OBJECTIFS!$B$13,OBJECTIFS!$G$15="taux de chute"),AND($D29=OBJECTIFS!$B$20,OBJECTIFS!$G$22="taux de chute"),AND($D29=OBJECTIFS!$B$27,OBJECTIFS!$G$29="taux de chute"),AND($D29=OBJECTIFS!$B$34,OBJECTIFS!$G$36="taux de chute")),IFERROR(S29/R29,""),IFERROR(R29/S29,""))</f>
        <v/>
      </c>
      <c r="U29" s="94">
        <f>IFERROR(IF(OR(R29="",S29="",T29=""),0,IF(T29&lt;OBJECTIFS!$E$56,0,IF(T29&lt;OBJECTIFS!$G$56,U$8*OBJECTIFS!$F$60,IF(T29&lt;OBJECTIFS!$I$56,U$8*OBJECTIFS!$H$60,U$8)))),0)</f>
        <v>0</v>
      </c>
      <c r="V29" s="25"/>
      <c r="W29" s="90" t="str">
        <f>IF(OR($A29="",$D29="",V29=""),"",SUMIFS(OBJECTIFS!H$9:H$39,OBJECTIFS!$A$9:$A$39,$D29,OBJECTIFS!$C$9:$C$39,$F29))</f>
        <v/>
      </c>
      <c r="X29" s="90" t="str">
        <f>IF(OR(AND($D29=OBJECTIFS!$B$6,OBJECTIFS!H$8="dmt"),AND($D29=OBJECTIFS!$B$13,OBJECTIFS!$H$15="dmt"),AND($D29=OBJECTIFS!$B$20,OBJECTIFS!$H$22="dmt"),AND($D29=OBJECTIFS!$B$27,OBJECTIFS!$H$29="dmt"),AND($D29=OBJECTIFS!$B$34,OBJECTIFS!$H$36="dmt"),AND($D29=OBJECTIFS!$B$6,OBJECTIFS!$H$8="taux de chute"),AND($D29=OBJECTIFS!$B$13,OBJECTIFS!$H$15="taux de chute"),AND($D29=OBJECTIFS!$B$20,OBJECTIFS!$H$22="taux de chute"),AND($D29=OBJECTIFS!$B$27,OBJECTIFS!$H$29="taux de chute"),AND($D29=OBJECTIFS!$B$34,OBJECTIFS!$H$36="taux de chute")),IFERROR(W29/V29,""),IFERROR(V29/W29,""))</f>
        <v/>
      </c>
      <c r="Y29" s="91">
        <f>IFERROR(IF(OR(V29="",W29="",X29=""),0,IF(X29&lt;OBJECTIFS!$E$56,0,IF(X29&lt;OBJECTIFS!$G$56,Y$8*OBJECTIFS!$F$60,IF(X29&lt;OBJECTIFS!$I$56,Y$8*OBJECTIFS!$H$60,Y$8)))),0)</f>
        <v>0</v>
      </c>
      <c r="Z29" s="167"/>
      <c r="AA29" s="90" t="str">
        <f>IF(OR($A29="",$D29="",Z29=""),"",SUMIFS(OBJECTIFS!I$9:I$39,OBJECTIFS!$A$9:$A$39,$D29,OBJECTIFS!$C$9:$C$39,$F29))</f>
        <v/>
      </c>
      <c r="AB29" s="90" t="str">
        <f>IF(OR(AND($D29=OBJECTIFS!$B$6,OBJECTIFS!I$8="dmt"),AND($D29=OBJECTIFS!$B$13,OBJECTIFS!$I$15="dmt"),AND($D29=OBJECTIFS!$B$20,OBJECTIFS!$I$22="dmt"),AND($D29=OBJECTIFS!$B$27,OBJECTIFS!$I$29="dmt"),AND($D29=OBJECTIFS!$B$34,OBJECTIFS!$I$36="dmt"),AND($D29=OBJECTIFS!$B$6,OBJECTIFS!$I$8="taux de chute"),AND($D29=OBJECTIFS!$B$13,OBJECTIFS!$I$15="taux de chute"),AND($D29=OBJECTIFS!$B$20,OBJECTIFS!$I$22="taux de chute"),AND($D29=OBJECTIFS!$B$27,OBJECTIFS!$I$29="taux de chute"),AND($D29=OBJECTIFS!$B$34,OBJECTIFS!$I$36="taux de chute")),IFERROR(AA29/Z29,""),IFERROR(Z29/AA29,""))</f>
        <v/>
      </c>
      <c r="AC29" s="95">
        <f>IFERROR(IF(OR(Z29="",AA29="",AB29=""),0,IF(AB29&lt;OBJECTIFS!$E$56,0,IF(AB29&lt;OBJECTIFS!$G$56,AC$8*OBJECTIFS!$F$60,IF(AB29&lt;OBJECTIFS!$I$56,AC$8*OBJECTIFS!$H$60,AC$8)))),0)</f>
        <v>0</v>
      </c>
      <c r="AD29" s="186"/>
      <c r="AE29" s="187"/>
      <c r="AF29" s="96">
        <f t="shared" ca="1" si="11"/>
        <v>0</v>
      </c>
      <c r="AG29" s="63"/>
      <c r="AH29" s="186"/>
      <c r="AI29" s="24"/>
      <c r="AJ29" s="24"/>
      <c r="AK29" s="24"/>
      <c r="AL29" s="24"/>
      <c r="AM29" s="79">
        <f t="shared" si="12"/>
        <v>0</v>
      </c>
      <c r="AN29" s="79">
        <v>22</v>
      </c>
      <c r="AO29" s="80">
        <f t="shared" si="13"/>
        <v>0</v>
      </c>
      <c r="AP29" s="81" t="str">
        <f t="shared" ca="1" si="14"/>
        <v/>
      </c>
      <c r="AQ29" s="82"/>
      <c r="AR29" s="97">
        <f>IFERROR(VLOOKUP(B29,OBJECTIFS!$C$76:$E$137,2,FALSE),0)</f>
        <v>0</v>
      </c>
      <c r="AS29" s="98">
        <f>IFERROR(VLOOKUP(B29,OBJECTIFS!$H$76:$J$137,2,FALSE),0)</f>
        <v>0</v>
      </c>
      <c r="AT29" s="98">
        <f>IFERROR(VLOOKUP(B29,OBJECTIFS!$C$142:$E$203,2,FALSE),0)</f>
        <v>0</v>
      </c>
      <c r="AU29" s="98">
        <f>IFERROR(VLOOKUP(B29,OBJECTIFS!$H$142:$J$203,2,FALSE),0)</f>
        <v>0</v>
      </c>
      <c r="AV29" s="98">
        <f>IFERROR(VLOOKUP(B29,OBJECTIFS!$F$208:$H$269,3,FALSE),0)</f>
        <v>0</v>
      </c>
      <c r="AW29" s="81">
        <f t="shared" si="15"/>
        <v>0</v>
      </c>
      <c r="AX29" s="82"/>
      <c r="AY29" s="99" t="str">
        <f t="shared" ca="1" si="16"/>
        <v/>
      </c>
      <c r="AZ29" s="63"/>
      <c r="BA29" s="100">
        <f t="shared" ca="1" si="17"/>
        <v>0</v>
      </c>
      <c r="BB29" s="64" t="str">
        <f t="shared" ca="1" si="18"/>
        <v/>
      </c>
      <c r="BC29" s="101" t="str">
        <f t="shared" ca="1" si="19"/>
        <v/>
      </c>
    </row>
    <row r="30" spans="1:55" x14ac:dyDescent="0.2">
      <c r="A30" s="21"/>
      <c r="B30" s="22"/>
      <c r="C30" s="22"/>
      <c r="D30" s="23"/>
      <c r="E30" s="24"/>
      <c r="F30" s="34"/>
      <c r="H30" s="89" t="str">
        <f>IF(OR(D30="",F30="",A30=""),"",IF(E30="oui",0,IF(D30=OBJECTIFS!$C$45,VLOOKUP(F30,OBJECTIFS!$C$9:$D$11,2,FALSE),IF(D30=OBJECTIFS!$C$46,VLOOKUP(F30,OBJECTIFS!$C$16:$D$18,2,FALSE),IF(D30=OBJECTIFS!$C$47,VLOOKUP(F30,OBJECTIFS!$C$23:$D$25,2,FALSE),IF(D30=OBJECTIFS!$C$48,VLOOKUP(F30,OBJECTIFS!$C$30:$D$32,2,FALSE),IF(D30=OBJECTIFS!$C$49,VLOOKUP(F30,OBJECTIFS!$C$37:$D$39,2,FALSE))))))))</f>
        <v/>
      </c>
      <c r="J30" s="25"/>
      <c r="K30" s="90" t="str">
        <f>IF(OR($A30="",$D30="",J30=""),"",SUMIFS(OBJECTIFS!E$9:E$39,OBJECTIFS!$A$9:$A$39,$D30,OBJECTIFS!$C$9:$C$39,$F30))</f>
        <v/>
      </c>
      <c r="L30" s="90" t="str">
        <f>IF(OR(AND($D30=OBJECTIFS!$B$6,OBJECTIFS!E$8="dmt"),AND($D30=OBJECTIFS!$B$13,OBJECTIFS!$E$15="dmt"),AND($D30=OBJECTIFS!$B$20,OBJECTIFS!$E$22="dmt"),AND($D30=OBJECTIFS!$B$27,OBJECTIFS!$E$29="dmt"),AND($D30=OBJECTIFS!$B$34,OBJECTIFS!$E$36="dmt"),AND($D30=OBJECTIFS!$B$6,OBJECTIFS!$E$8="taux de chute"),AND($D30=OBJECTIFS!$B$13,OBJECTIFS!$E$15="taux de chute"),AND($D30=OBJECTIFS!$B$20,OBJECTIFS!$E$22="taux de chute"),AND($D30=OBJECTIFS!$B$27,OBJECTIFS!$E$29="taux de chute"),AND($D30=OBJECTIFS!$B$34,OBJECTIFS!$E$36="taux de chute")),IFERROR(K30/J30,""),IFERROR(J30/K30,""))</f>
        <v/>
      </c>
      <c r="M30" s="91">
        <f>IFERROR(IF(OR(J30="",K30="",L30=""),0,IF(L30&lt;OBJECTIFS!$E$56,0,IF(L30&lt;OBJECTIFS!$G$56,M$8*OBJECTIFS!$F$60,IF(L30&lt;OBJECTIFS!$I$56,M$8*OBJECTIFS!$H$60,M$8)))),0)</f>
        <v>0</v>
      </c>
      <c r="N30" s="161"/>
      <c r="O30" s="92" t="str">
        <f>IF(OR($A30="",$D30="",N30=""),"",SUMIFS(OBJECTIFS!F$9:F$39,OBJECTIFS!$A$9:$A$39,$D30,OBJECTIFS!$C$9:$C$39,$F30))</f>
        <v/>
      </c>
      <c r="P30" s="90" t="str">
        <f>IF(OR(AND($D30=OBJECTIFS!$B$6,OBJECTIFS!$F$8="dmt"),AND($D30=OBJECTIFS!$B$13,OBJECTIFS!$F$15="dmt"),AND($D30=OBJECTIFS!$B$20,OBJECTIFS!$F$22="dmt"),AND($D30=OBJECTIFS!$B$27,OBJECTIFS!$F$29="dmt"),AND($D30=OBJECTIFS!$B$34,OBJECTIFS!$F$36="dmt"),AND($D30=OBJECTIFS!$B$6,OBJECTIFS!$F$8="taux de chute"),AND($D30=OBJECTIFS!$B$13,OBJECTIFS!$F$15="taux de chute"),AND($D30=OBJECTIFS!$B$20,OBJECTIFS!$F$22="taux de chute"),AND($D30=OBJECTIFS!$B$27,OBJECTIFS!$F$29="taux de chute"),AND($D30=OBJECTIFS!$B$34,OBJECTIFS!$F$36="taux de chute")),IFERROR(O30/N30,""),IFERROR(N30/O30,""))</f>
        <v/>
      </c>
      <c r="Q30" s="91">
        <f>IFERROR(IF(OR(N30="",O30="",P30=""),0,IF(P30&lt;OBJECTIFS!$E$56,0,IF(P30&lt;OBJECTIFS!$G$56,Q$8*OBJECTIFS!$F$60,IF(P30&lt;OBJECTIFS!$I$56,Q$8*OBJECTIFS!$H$60,Q$8)))),0)</f>
        <v>0</v>
      </c>
      <c r="R30" s="164"/>
      <c r="S30" s="93" t="str">
        <f>IF(OR($A30="",$D30="",R30=""),"",SUMIFS(OBJECTIFS!G$9:G$39,OBJECTIFS!$A$9:$A$39,$D30,OBJECTIFS!$C$9:$C$39,$F30))</f>
        <v/>
      </c>
      <c r="T30" s="90" t="str">
        <f>IF(OR(AND($D30=OBJECTIFS!$B$6,OBJECTIFS!G$8="dmt"),AND($D30=OBJECTIFS!$B$13,OBJECTIFS!$G$15="dmt"),AND($D30=OBJECTIFS!$B$20,OBJECTIFS!$G$22="dmt"),AND($D30=OBJECTIFS!$B$27,OBJECTIFS!$G$29="dmt"),AND($D30=OBJECTIFS!$B$34,OBJECTIFS!$G$36="dmt"),AND($D30=OBJECTIFS!$B$6,OBJECTIFS!$G$8="taux de chute"),AND($D30=OBJECTIFS!$B$13,OBJECTIFS!$G$15="taux de chute"),AND($D30=OBJECTIFS!$B$20,OBJECTIFS!$G$22="taux de chute"),AND($D30=OBJECTIFS!$B$27,OBJECTIFS!$G$29="taux de chute"),AND($D30=OBJECTIFS!$B$34,OBJECTIFS!$G$36="taux de chute")),IFERROR(S30/R30,""),IFERROR(R30/S30,""))</f>
        <v/>
      </c>
      <c r="U30" s="94">
        <f>IFERROR(IF(OR(R30="",S30="",T30=""),0,IF(T30&lt;OBJECTIFS!$E$56,0,IF(T30&lt;OBJECTIFS!$G$56,U$8*OBJECTIFS!$F$60,IF(T30&lt;OBJECTIFS!$I$56,U$8*OBJECTIFS!$H$60,U$8)))),0)</f>
        <v>0</v>
      </c>
      <c r="V30" s="25"/>
      <c r="W30" s="90" t="str">
        <f>IF(OR($A30="",$D30="",V30=""),"",SUMIFS(OBJECTIFS!H$9:H$39,OBJECTIFS!$A$9:$A$39,$D30,OBJECTIFS!$C$9:$C$39,$F30))</f>
        <v/>
      </c>
      <c r="X30" s="90" t="str">
        <f>IF(OR(AND($D30=OBJECTIFS!$B$6,OBJECTIFS!H$8="dmt"),AND($D30=OBJECTIFS!$B$13,OBJECTIFS!$H$15="dmt"),AND($D30=OBJECTIFS!$B$20,OBJECTIFS!$H$22="dmt"),AND($D30=OBJECTIFS!$B$27,OBJECTIFS!$H$29="dmt"),AND($D30=OBJECTIFS!$B$34,OBJECTIFS!$H$36="dmt"),AND($D30=OBJECTIFS!$B$6,OBJECTIFS!$H$8="taux de chute"),AND($D30=OBJECTIFS!$B$13,OBJECTIFS!$H$15="taux de chute"),AND($D30=OBJECTIFS!$B$20,OBJECTIFS!$H$22="taux de chute"),AND($D30=OBJECTIFS!$B$27,OBJECTIFS!$H$29="taux de chute"),AND($D30=OBJECTIFS!$B$34,OBJECTIFS!$H$36="taux de chute")),IFERROR(W30/V30,""),IFERROR(V30/W30,""))</f>
        <v/>
      </c>
      <c r="Y30" s="91">
        <f>IFERROR(IF(OR(V30="",W30="",X30=""),0,IF(X30&lt;OBJECTIFS!$E$56,0,IF(X30&lt;OBJECTIFS!$G$56,Y$8*OBJECTIFS!$F$60,IF(X30&lt;OBJECTIFS!$I$56,Y$8*OBJECTIFS!$H$60,Y$8)))),0)</f>
        <v>0</v>
      </c>
      <c r="Z30" s="167"/>
      <c r="AA30" s="90" t="str">
        <f>IF(OR($A30="",$D30="",Z30=""),"",SUMIFS(OBJECTIFS!I$9:I$39,OBJECTIFS!$A$9:$A$39,$D30,OBJECTIFS!$C$9:$C$39,$F30))</f>
        <v/>
      </c>
      <c r="AB30" s="90" t="str">
        <f>IF(OR(AND($D30=OBJECTIFS!$B$6,OBJECTIFS!I$8="dmt"),AND($D30=OBJECTIFS!$B$13,OBJECTIFS!$I$15="dmt"),AND($D30=OBJECTIFS!$B$20,OBJECTIFS!$I$22="dmt"),AND($D30=OBJECTIFS!$B$27,OBJECTIFS!$I$29="dmt"),AND($D30=OBJECTIFS!$B$34,OBJECTIFS!$I$36="dmt"),AND($D30=OBJECTIFS!$B$6,OBJECTIFS!$I$8="taux de chute"),AND($D30=OBJECTIFS!$B$13,OBJECTIFS!$I$15="taux de chute"),AND($D30=OBJECTIFS!$B$20,OBJECTIFS!$I$22="taux de chute"),AND($D30=OBJECTIFS!$B$27,OBJECTIFS!$I$29="taux de chute"),AND($D30=OBJECTIFS!$B$34,OBJECTIFS!$I$36="taux de chute")),IFERROR(AA30/Z30,""),IFERROR(Z30/AA30,""))</f>
        <v/>
      </c>
      <c r="AC30" s="95">
        <f>IFERROR(IF(OR(Z30="",AA30="",AB30=""),0,IF(AB30&lt;OBJECTIFS!$E$56,0,IF(AB30&lt;OBJECTIFS!$G$56,AC$8*OBJECTIFS!$F$60,IF(AB30&lt;OBJECTIFS!$I$56,AC$8*OBJECTIFS!$H$60,AC$8)))),0)</f>
        <v>0</v>
      </c>
      <c r="AD30" s="186"/>
      <c r="AE30" s="187"/>
      <c r="AF30" s="96">
        <f t="shared" ca="1" si="11"/>
        <v>0</v>
      </c>
      <c r="AG30" s="63"/>
      <c r="AH30" s="186"/>
      <c r="AI30" s="24"/>
      <c r="AJ30" s="24"/>
      <c r="AK30" s="24"/>
      <c r="AL30" s="24"/>
      <c r="AM30" s="79">
        <f t="shared" si="12"/>
        <v>0</v>
      </c>
      <c r="AN30" s="79">
        <v>22</v>
      </c>
      <c r="AO30" s="80">
        <f t="shared" si="13"/>
        <v>0</v>
      </c>
      <c r="AP30" s="81" t="str">
        <f t="shared" ca="1" si="14"/>
        <v/>
      </c>
      <c r="AQ30" s="82"/>
      <c r="AR30" s="97">
        <f>IFERROR(VLOOKUP(B30,OBJECTIFS!$C$76:$E$137,2,FALSE),0)</f>
        <v>0</v>
      </c>
      <c r="AS30" s="98">
        <f>IFERROR(VLOOKUP(B30,OBJECTIFS!$H$76:$J$137,2,FALSE),0)</f>
        <v>0</v>
      </c>
      <c r="AT30" s="98">
        <f>IFERROR(VLOOKUP(B30,OBJECTIFS!$C$142:$E$203,2,FALSE),0)</f>
        <v>0</v>
      </c>
      <c r="AU30" s="98">
        <f>IFERROR(VLOOKUP(B30,OBJECTIFS!$H$142:$J$203,2,FALSE),0)</f>
        <v>0</v>
      </c>
      <c r="AV30" s="98">
        <f>IFERROR(VLOOKUP(B30,OBJECTIFS!$F$208:$H$269,3,FALSE),0)</f>
        <v>0</v>
      </c>
      <c r="AW30" s="81">
        <f t="shared" si="15"/>
        <v>0</v>
      </c>
      <c r="AX30" s="82"/>
      <c r="AY30" s="99" t="str">
        <f t="shared" ca="1" si="16"/>
        <v/>
      </c>
      <c r="AZ30" s="63"/>
      <c r="BA30" s="100">
        <f t="shared" ca="1" si="17"/>
        <v>0</v>
      </c>
      <c r="BB30" s="64" t="str">
        <f t="shared" ca="1" si="18"/>
        <v/>
      </c>
      <c r="BC30" s="101" t="str">
        <f t="shared" ca="1" si="19"/>
        <v/>
      </c>
    </row>
    <row r="31" spans="1:55" x14ac:dyDescent="0.2">
      <c r="A31" s="21"/>
      <c r="B31" s="22"/>
      <c r="C31" s="22"/>
      <c r="D31" s="23"/>
      <c r="E31" s="24"/>
      <c r="F31" s="34"/>
      <c r="H31" s="89" t="str">
        <f>IF(OR(D31="",F31="",A31=""),"",IF(E31="oui",0,IF(D31=OBJECTIFS!$C$45,VLOOKUP(F31,OBJECTIFS!$C$9:$D$11,2,FALSE),IF(D31=OBJECTIFS!$C$46,VLOOKUP(F31,OBJECTIFS!$C$16:$D$18,2,FALSE),IF(D31=OBJECTIFS!$C$47,VLOOKUP(F31,OBJECTIFS!$C$23:$D$25,2,FALSE),IF(D31=OBJECTIFS!$C$48,VLOOKUP(F31,OBJECTIFS!$C$30:$D$32,2,FALSE),IF(D31=OBJECTIFS!$C$49,VLOOKUP(F31,OBJECTIFS!$C$37:$D$39,2,FALSE))))))))</f>
        <v/>
      </c>
      <c r="J31" s="25"/>
      <c r="K31" s="90" t="str">
        <f>IF(OR($A31="",$D31="",J31=""),"",SUMIFS(OBJECTIFS!E$9:E$39,OBJECTIFS!$A$9:$A$39,$D31,OBJECTIFS!$C$9:$C$39,$F31))</f>
        <v/>
      </c>
      <c r="L31" s="90" t="str">
        <f>IF(OR(AND($D31=OBJECTIFS!$B$6,OBJECTIFS!E$8="dmt"),AND($D31=OBJECTIFS!$B$13,OBJECTIFS!$E$15="dmt"),AND($D31=OBJECTIFS!$B$20,OBJECTIFS!$E$22="dmt"),AND($D31=OBJECTIFS!$B$27,OBJECTIFS!$E$29="dmt"),AND($D31=OBJECTIFS!$B$34,OBJECTIFS!$E$36="dmt"),AND($D31=OBJECTIFS!$B$6,OBJECTIFS!$E$8="taux de chute"),AND($D31=OBJECTIFS!$B$13,OBJECTIFS!$E$15="taux de chute"),AND($D31=OBJECTIFS!$B$20,OBJECTIFS!$E$22="taux de chute"),AND($D31=OBJECTIFS!$B$27,OBJECTIFS!$E$29="taux de chute"),AND($D31=OBJECTIFS!$B$34,OBJECTIFS!$E$36="taux de chute")),IFERROR(K31/J31,""),IFERROR(J31/K31,""))</f>
        <v/>
      </c>
      <c r="M31" s="91">
        <f>IFERROR(IF(OR(J31="",K31="",L31=""),0,IF(L31&lt;OBJECTIFS!$E$56,0,IF(L31&lt;OBJECTIFS!$G$56,M$8*OBJECTIFS!$F$60,IF(L31&lt;OBJECTIFS!$I$56,M$8*OBJECTIFS!$H$60,M$8)))),0)</f>
        <v>0</v>
      </c>
      <c r="N31" s="161"/>
      <c r="O31" s="92" t="str">
        <f>IF(OR($A31="",$D31="",N31=""),"",SUMIFS(OBJECTIFS!F$9:F$39,OBJECTIFS!$A$9:$A$39,$D31,OBJECTIFS!$C$9:$C$39,$F31))</f>
        <v/>
      </c>
      <c r="P31" s="90" t="str">
        <f>IF(OR(AND($D31=OBJECTIFS!$B$6,OBJECTIFS!$F$8="dmt"),AND($D31=OBJECTIFS!$B$13,OBJECTIFS!$F$15="dmt"),AND($D31=OBJECTIFS!$B$20,OBJECTIFS!$F$22="dmt"),AND($D31=OBJECTIFS!$B$27,OBJECTIFS!$F$29="dmt"),AND($D31=OBJECTIFS!$B$34,OBJECTIFS!$F$36="dmt"),AND($D31=OBJECTIFS!$B$6,OBJECTIFS!$F$8="taux de chute"),AND($D31=OBJECTIFS!$B$13,OBJECTIFS!$F$15="taux de chute"),AND($D31=OBJECTIFS!$B$20,OBJECTIFS!$F$22="taux de chute"),AND($D31=OBJECTIFS!$B$27,OBJECTIFS!$F$29="taux de chute"),AND($D31=OBJECTIFS!$B$34,OBJECTIFS!$F$36="taux de chute")),IFERROR(O31/N31,""),IFERROR(N31/O31,""))</f>
        <v/>
      </c>
      <c r="Q31" s="91">
        <f>IFERROR(IF(OR(N31="",O31="",P31=""),0,IF(P31&lt;OBJECTIFS!$E$56,0,IF(P31&lt;OBJECTIFS!$G$56,Q$8*OBJECTIFS!$F$60,IF(P31&lt;OBJECTIFS!$I$56,Q$8*OBJECTIFS!$H$60,Q$8)))),0)</f>
        <v>0</v>
      </c>
      <c r="R31" s="164"/>
      <c r="S31" s="93" t="str">
        <f>IF(OR($A31="",$D31="",R31=""),"",SUMIFS(OBJECTIFS!G$9:G$39,OBJECTIFS!$A$9:$A$39,$D31,OBJECTIFS!$C$9:$C$39,$F31))</f>
        <v/>
      </c>
      <c r="T31" s="90" t="str">
        <f>IF(OR(AND($D31=OBJECTIFS!$B$6,OBJECTIFS!G$8="dmt"),AND($D31=OBJECTIFS!$B$13,OBJECTIFS!$G$15="dmt"),AND($D31=OBJECTIFS!$B$20,OBJECTIFS!$G$22="dmt"),AND($D31=OBJECTIFS!$B$27,OBJECTIFS!$G$29="dmt"),AND($D31=OBJECTIFS!$B$34,OBJECTIFS!$G$36="dmt"),AND($D31=OBJECTIFS!$B$6,OBJECTIFS!$G$8="taux de chute"),AND($D31=OBJECTIFS!$B$13,OBJECTIFS!$G$15="taux de chute"),AND($D31=OBJECTIFS!$B$20,OBJECTIFS!$G$22="taux de chute"),AND($D31=OBJECTIFS!$B$27,OBJECTIFS!$G$29="taux de chute"),AND($D31=OBJECTIFS!$B$34,OBJECTIFS!$G$36="taux de chute")),IFERROR(S31/R31,""),IFERROR(R31/S31,""))</f>
        <v/>
      </c>
      <c r="U31" s="94">
        <f>IFERROR(IF(OR(R31="",S31="",T31=""),0,IF(T31&lt;OBJECTIFS!$E$56,0,IF(T31&lt;OBJECTIFS!$G$56,U$8*OBJECTIFS!$F$60,IF(T31&lt;OBJECTIFS!$I$56,U$8*OBJECTIFS!$H$60,U$8)))),0)</f>
        <v>0</v>
      </c>
      <c r="V31" s="25"/>
      <c r="W31" s="90" t="str">
        <f>IF(OR($A31="",$D31="",V31=""),"",SUMIFS(OBJECTIFS!H$9:H$39,OBJECTIFS!$A$9:$A$39,$D31,OBJECTIFS!$C$9:$C$39,$F31))</f>
        <v/>
      </c>
      <c r="X31" s="90" t="str">
        <f>IF(OR(AND($D31=OBJECTIFS!$B$6,OBJECTIFS!H$8="dmt"),AND($D31=OBJECTIFS!$B$13,OBJECTIFS!$H$15="dmt"),AND($D31=OBJECTIFS!$B$20,OBJECTIFS!$H$22="dmt"),AND($D31=OBJECTIFS!$B$27,OBJECTIFS!$H$29="dmt"),AND($D31=OBJECTIFS!$B$34,OBJECTIFS!$H$36="dmt"),AND($D31=OBJECTIFS!$B$6,OBJECTIFS!$H$8="taux de chute"),AND($D31=OBJECTIFS!$B$13,OBJECTIFS!$H$15="taux de chute"),AND($D31=OBJECTIFS!$B$20,OBJECTIFS!$H$22="taux de chute"),AND($D31=OBJECTIFS!$B$27,OBJECTIFS!$H$29="taux de chute"),AND($D31=OBJECTIFS!$B$34,OBJECTIFS!$H$36="taux de chute")),IFERROR(W31/V31,""),IFERROR(V31/W31,""))</f>
        <v/>
      </c>
      <c r="Y31" s="91">
        <f>IFERROR(IF(OR(V31="",W31="",X31=""),0,IF(X31&lt;OBJECTIFS!$E$56,0,IF(X31&lt;OBJECTIFS!$G$56,Y$8*OBJECTIFS!$F$60,IF(X31&lt;OBJECTIFS!$I$56,Y$8*OBJECTIFS!$H$60,Y$8)))),0)</f>
        <v>0</v>
      </c>
      <c r="Z31" s="167"/>
      <c r="AA31" s="90" t="str">
        <f>IF(OR($A31="",$D31="",Z31=""),"",SUMIFS(OBJECTIFS!I$9:I$39,OBJECTIFS!$A$9:$A$39,$D31,OBJECTIFS!$C$9:$C$39,$F31))</f>
        <v/>
      </c>
      <c r="AB31" s="90" t="str">
        <f>IF(OR(AND($D31=OBJECTIFS!$B$6,OBJECTIFS!I$8="dmt"),AND($D31=OBJECTIFS!$B$13,OBJECTIFS!$I$15="dmt"),AND($D31=OBJECTIFS!$B$20,OBJECTIFS!$I$22="dmt"),AND($D31=OBJECTIFS!$B$27,OBJECTIFS!$I$29="dmt"),AND($D31=OBJECTIFS!$B$34,OBJECTIFS!$I$36="dmt"),AND($D31=OBJECTIFS!$B$6,OBJECTIFS!$I$8="taux de chute"),AND($D31=OBJECTIFS!$B$13,OBJECTIFS!$I$15="taux de chute"),AND($D31=OBJECTIFS!$B$20,OBJECTIFS!$I$22="taux de chute"),AND($D31=OBJECTIFS!$B$27,OBJECTIFS!$I$29="taux de chute"),AND($D31=OBJECTIFS!$B$34,OBJECTIFS!$I$36="taux de chute")),IFERROR(AA31/Z31,""),IFERROR(Z31/AA31,""))</f>
        <v/>
      </c>
      <c r="AC31" s="95">
        <f>IFERROR(IF(OR(Z31="",AA31="",AB31=""),0,IF(AB31&lt;OBJECTIFS!$E$56,0,IF(AB31&lt;OBJECTIFS!$G$56,AC$8*OBJECTIFS!$F$60,IF(AB31&lt;OBJECTIFS!$I$56,AC$8*OBJECTIFS!$H$60,AC$8)))),0)</f>
        <v>0</v>
      </c>
      <c r="AD31" s="186"/>
      <c r="AE31" s="187"/>
      <c r="AF31" s="96">
        <f t="shared" ca="1" si="11"/>
        <v>0</v>
      </c>
      <c r="AG31" s="63"/>
      <c r="AH31" s="186"/>
      <c r="AI31" s="24"/>
      <c r="AJ31" s="24"/>
      <c r="AK31" s="24"/>
      <c r="AL31" s="24"/>
      <c r="AM31" s="79">
        <f t="shared" si="12"/>
        <v>0</v>
      </c>
      <c r="AN31" s="79">
        <v>22</v>
      </c>
      <c r="AO31" s="80">
        <f t="shared" si="13"/>
        <v>0</v>
      </c>
      <c r="AP31" s="81" t="str">
        <f t="shared" ca="1" si="14"/>
        <v/>
      </c>
      <c r="AQ31" s="82"/>
      <c r="AR31" s="97">
        <f>IFERROR(VLOOKUP(B31,OBJECTIFS!$C$76:$E$137,2,FALSE),0)</f>
        <v>0</v>
      </c>
      <c r="AS31" s="98">
        <f>IFERROR(VLOOKUP(B31,OBJECTIFS!$H$76:$J$137,2,FALSE),0)</f>
        <v>0</v>
      </c>
      <c r="AT31" s="98">
        <f>IFERROR(VLOOKUP(B31,OBJECTIFS!$C$142:$E$203,2,FALSE),0)</f>
        <v>0</v>
      </c>
      <c r="AU31" s="98">
        <f>IFERROR(VLOOKUP(B31,OBJECTIFS!$H$142:$J$203,2,FALSE),0)</f>
        <v>0</v>
      </c>
      <c r="AV31" s="98">
        <f>IFERROR(VLOOKUP(B31,OBJECTIFS!$F$208:$H$269,3,FALSE),0)</f>
        <v>0</v>
      </c>
      <c r="AW31" s="81">
        <f t="shared" si="15"/>
        <v>0</v>
      </c>
      <c r="AX31" s="82"/>
      <c r="AY31" s="99" t="str">
        <f t="shared" ca="1" si="16"/>
        <v/>
      </c>
      <c r="AZ31" s="63"/>
      <c r="BA31" s="100">
        <f t="shared" ca="1" si="17"/>
        <v>0</v>
      </c>
      <c r="BB31" s="64" t="str">
        <f t="shared" ca="1" si="18"/>
        <v/>
      </c>
      <c r="BC31" s="101" t="str">
        <f t="shared" ca="1" si="19"/>
        <v/>
      </c>
    </row>
    <row r="32" spans="1:55" x14ac:dyDescent="0.2">
      <c r="A32" s="21"/>
      <c r="B32" s="22"/>
      <c r="C32" s="22"/>
      <c r="D32" s="23"/>
      <c r="E32" s="24"/>
      <c r="F32" s="34"/>
      <c r="H32" s="89" t="str">
        <f>IF(OR(D32="",F32="",A32=""),"",IF(E32="oui",0,IF(D32=OBJECTIFS!$C$45,VLOOKUP(F32,OBJECTIFS!$C$9:$D$11,2,FALSE),IF(D32=OBJECTIFS!$C$46,VLOOKUP(F32,OBJECTIFS!$C$16:$D$18,2,FALSE),IF(D32=OBJECTIFS!$C$47,VLOOKUP(F32,OBJECTIFS!$C$23:$D$25,2,FALSE),IF(D32=OBJECTIFS!$C$48,VLOOKUP(F32,OBJECTIFS!$C$30:$D$32,2,FALSE),IF(D32=OBJECTIFS!$C$49,VLOOKUP(F32,OBJECTIFS!$C$37:$D$39,2,FALSE))))))))</f>
        <v/>
      </c>
      <c r="J32" s="25"/>
      <c r="K32" s="90" t="str">
        <f>IF(OR($A32="",$D32="",J32=""),"",SUMIFS(OBJECTIFS!E$9:E$39,OBJECTIFS!$A$9:$A$39,$D32,OBJECTIFS!$C$9:$C$39,$F32))</f>
        <v/>
      </c>
      <c r="L32" s="90" t="str">
        <f>IF(OR(AND($D32=OBJECTIFS!$B$6,OBJECTIFS!E$8="dmt"),AND($D32=OBJECTIFS!$B$13,OBJECTIFS!$E$15="dmt"),AND($D32=OBJECTIFS!$B$20,OBJECTIFS!$E$22="dmt"),AND($D32=OBJECTIFS!$B$27,OBJECTIFS!$E$29="dmt"),AND($D32=OBJECTIFS!$B$34,OBJECTIFS!$E$36="dmt"),AND($D32=OBJECTIFS!$B$6,OBJECTIFS!$E$8="taux de chute"),AND($D32=OBJECTIFS!$B$13,OBJECTIFS!$E$15="taux de chute"),AND($D32=OBJECTIFS!$B$20,OBJECTIFS!$E$22="taux de chute"),AND($D32=OBJECTIFS!$B$27,OBJECTIFS!$E$29="taux de chute"),AND($D32=OBJECTIFS!$B$34,OBJECTIFS!$E$36="taux de chute")),IFERROR(K32/J32,""),IFERROR(J32/K32,""))</f>
        <v/>
      </c>
      <c r="M32" s="91">
        <f>IFERROR(IF(OR(J32="",K32="",L32=""),0,IF(L32&lt;OBJECTIFS!$E$56,0,IF(L32&lt;OBJECTIFS!$G$56,M$8*OBJECTIFS!$F$60,IF(L32&lt;OBJECTIFS!$I$56,M$8*OBJECTIFS!$H$60,M$8)))),0)</f>
        <v>0</v>
      </c>
      <c r="N32" s="161"/>
      <c r="O32" s="92" t="str">
        <f>IF(OR($A32="",$D32="",N32=""),"",SUMIFS(OBJECTIFS!F$9:F$39,OBJECTIFS!$A$9:$A$39,$D32,OBJECTIFS!$C$9:$C$39,$F32))</f>
        <v/>
      </c>
      <c r="P32" s="90" t="str">
        <f>IF(OR(AND($D32=OBJECTIFS!$B$6,OBJECTIFS!$F$8="dmt"),AND($D32=OBJECTIFS!$B$13,OBJECTIFS!$F$15="dmt"),AND($D32=OBJECTIFS!$B$20,OBJECTIFS!$F$22="dmt"),AND($D32=OBJECTIFS!$B$27,OBJECTIFS!$F$29="dmt"),AND($D32=OBJECTIFS!$B$34,OBJECTIFS!$F$36="dmt"),AND($D32=OBJECTIFS!$B$6,OBJECTIFS!$F$8="taux de chute"),AND($D32=OBJECTIFS!$B$13,OBJECTIFS!$F$15="taux de chute"),AND($D32=OBJECTIFS!$B$20,OBJECTIFS!$F$22="taux de chute"),AND($D32=OBJECTIFS!$B$27,OBJECTIFS!$F$29="taux de chute"),AND($D32=OBJECTIFS!$B$34,OBJECTIFS!$F$36="taux de chute")),IFERROR(O32/N32,""),IFERROR(N32/O32,""))</f>
        <v/>
      </c>
      <c r="Q32" s="91">
        <f>IFERROR(IF(OR(N32="",O32="",P32=""),0,IF(P32&lt;OBJECTIFS!$E$56,0,IF(P32&lt;OBJECTIFS!$G$56,Q$8*OBJECTIFS!$F$60,IF(P32&lt;OBJECTIFS!$I$56,Q$8*OBJECTIFS!$H$60,Q$8)))),0)</f>
        <v>0</v>
      </c>
      <c r="R32" s="164"/>
      <c r="S32" s="93" t="str">
        <f>IF(OR($A32="",$D32="",R32=""),"",SUMIFS(OBJECTIFS!G$9:G$39,OBJECTIFS!$A$9:$A$39,$D32,OBJECTIFS!$C$9:$C$39,$F32))</f>
        <v/>
      </c>
      <c r="T32" s="90" t="str">
        <f>IF(OR(AND($D32=OBJECTIFS!$B$6,OBJECTIFS!G$8="dmt"),AND($D32=OBJECTIFS!$B$13,OBJECTIFS!$G$15="dmt"),AND($D32=OBJECTIFS!$B$20,OBJECTIFS!$G$22="dmt"),AND($D32=OBJECTIFS!$B$27,OBJECTIFS!$G$29="dmt"),AND($D32=OBJECTIFS!$B$34,OBJECTIFS!$G$36="dmt"),AND($D32=OBJECTIFS!$B$6,OBJECTIFS!$G$8="taux de chute"),AND($D32=OBJECTIFS!$B$13,OBJECTIFS!$G$15="taux de chute"),AND($D32=OBJECTIFS!$B$20,OBJECTIFS!$G$22="taux de chute"),AND($D32=OBJECTIFS!$B$27,OBJECTIFS!$G$29="taux de chute"),AND($D32=OBJECTIFS!$B$34,OBJECTIFS!$G$36="taux de chute")),IFERROR(S32/R32,""),IFERROR(R32/S32,""))</f>
        <v/>
      </c>
      <c r="U32" s="94">
        <f>IFERROR(IF(OR(R32="",S32="",T32=""),0,IF(T32&lt;OBJECTIFS!$E$56,0,IF(T32&lt;OBJECTIFS!$G$56,U$8*OBJECTIFS!$F$60,IF(T32&lt;OBJECTIFS!$I$56,U$8*OBJECTIFS!$H$60,U$8)))),0)</f>
        <v>0</v>
      </c>
      <c r="V32" s="25"/>
      <c r="W32" s="90" t="str">
        <f>IF(OR($A32="",$D32="",V32=""),"",SUMIFS(OBJECTIFS!H$9:H$39,OBJECTIFS!$A$9:$A$39,$D32,OBJECTIFS!$C$9:$C$39,$F32))</f>
        <v/>
      </c>
      <c r="X32" s="90" t="str">
        <f>IF(OR(AND($D32=OBJECTIFS!$B$6,OBJECTIFS!H$8="dmt"),AND($D32=OBJECTIFS!$B$13,OBJECTIFS!$H$15="dmt"),AND($D32=OBJECTIFS!$B$20,OBJECTIFS!$H$22="dmt"),AND($D32=OBJECTIFS!$B$27,OBJECTIFS!$H$29="dmt"),AND($D32=OBJECTIFS!$B$34,OBJECTIFS!$H$36="dmt"),AND($D32=OBJECTIFS!$B$6,OBJECTIFS!$H$8="taux de chute"),AND($D32=OBJECTIFS!$B$13,OBJECTIFS!$H$15="taux de chute"),AND($D32=OBJECTIFS!$B$20,OBJECTIFS!$H$22="taux de chute"),AND($D32=OBJECTIFS!$B$27,OBJECTIFS!$H$29="taux de chute"),AND($D32=OBJECTIFS!$B$34,OBJECTIFS!$H$36="taux de chute")),IFERROR(W32/V32,""),IFERROR(V32/W32,""))</f>
        <v/>
      </c>
      <c r="Y32" s="91">
        <f>IFERROR(IF(OR(V32="",W32="",X32=""),0,IF(X32&lt;OBJECTIFS!$E$56,0,IF(X32&lt;OBJECTIFS!$G$56,Y$8*OBJECTIFS!$F$60,IF(X32&lt;OBJECTIFS!$I$56,Y$8*OBJECTIFS!$H$60,Y$8)))),0)</f>
        <v>0</v>
      </c>
      <c r="Z32" s="167"/>
      <c r="AA32" s="90" t="str">
        <f>IF(OR($A32="",$D32="",Z32=""),"",SUMIFS(OBJECTIFS!I$9:I$39,OBJECTIFS!$A$9:$A$39,$D32,OBJECTIFS!$C$9:$C$39,$F32))</f>
        <v/>
      </c>
      <c r="AB32" s="90" t="str">
        <f>IF(OR(AND($D32=OBJECTIFS!$B$6,OBJECTIFS!I$8="dmt"),AND($D32=OBJECTIFS!$B$13,OBJECTIFS!$I$15="dmt"),AND($D32=OBJECTIFS!$B$20,OBJECTIFS!$I$22="dmt"),AND($D32=OBJECTIFS!$B$27,OBJECTIFS!$I$29="dmt"),AND($D32=OBJECTIFS!$B$34,OBJECTIFS!$I$36="dmt"),AND($D32=OBJECTIFS!$B$6,OBJECTIFS!$I$8="taux de chute"),AND($D32=OBJECTIFS!$B$13,OBJECTIFS!$I$15="taux de chute"),AND($D32=OBJECTIFS!$B$20,OBJECTIFS!$I$22="taux de chute"),AND($D32=OBJECTIFS!$B$27,OBJECTIFS!$I$29="taux de chute"),AND($D32=OBJECTIFS!$B$34,OBJECTIFS!$I$36="taux de chute")),IFERROR(AA32/Z32,""),IFERROR(Z32/AA32,""))</f>
        <v/>
      </c>
      <c r="AC32" s="95">
        <f>IFERROR(IF(OR(Z32="",AA32="",AB32=""),0,IF(AB32&lt;OBJECTIFS!$E$56,0,IF(AB32&lt;OBJECTIFS!$G$56,AC$8*OBJECTIFS!$F$60,IF(AB32&lt;OBJECTIFS!$I$56,AC$8*OBJECTIFS!$H$60,AC$8)))),0)</f>
        <v>0</v>
      </c>
      <c r="AD32" s="186"/>
      <c r="AE32" s="187"/>
      <c r="AF32" s="96">
        <f t="shared" ca="1" si="11"/>
        <v>0</v>
      </c>
      <c r="AG32" s="63"/>
      <c r="AH32" s="186"/>
      <c r="AI32" s="24"/>
      <c r="AJ32" s="24"/>
      <c r="AK32" s="24"/>
      <c r="AL32" s="24"/>
      <c r="AM32" s="79">
        <f t="shared" si="12"/>
        <v>0</v>
      </c>
      <c r="AN32" s="79">
        <v>22</v>
      </c>
      <c r="AO32" s="80">
        <f t="shared" si="13"/>
        <v>0</v>
      </c>
      <c r="AP32" s="81" t="str">
        <f t="shared" ca="1" si="14"/>
        <v/>
      </c>
      <c r="AQ32" s="82"/>
      <c r="AR32" s="97">
        <f>IFERROR(VLOOKUP(B32,OBJECTIFS!$C$76:$E$137,2,FALSE),0)</f>
        <v>0</v>
      </c>
      <c r="AS32" s="98">
        <f>IFERROR(VLOOKUP(B32,OBJECTIFS!$H$76:$J$137,2,FALSE),0)</f>
        <v>0</v>
      </c>
      <c r="AT32" s="98">
        <f>IFERROR(VLOOKUP(B32,OBJECTIFS!$C$142:$E$203,2,FALSE),0)</f>
        <v>0</v>
      </c>
      <c r="AU32" s="98">
        <f>IFERROR(VLOOKUP(B32,OBJECTIFS!$H$142:$J$203,2,FALSE),0)</f>
        <v>0</v>
      </c>
      <c r="AV32" s="98">
        <f>IFERROR(VLOOKUP(B32,OBJECTIFS!$F$208:$H$269,3,FALSE),0)</f>
        <v>0</v>
      </c>
      <c r="AW32" s="81">
        <f t="shared" si="15"/>
        <v>0</v>
      </c>
      <c r="AX32" s="82"/>
      <c r="AY32" s="99" t="str">
        <f t="shared" ca="1" si="16"/>
        <v/>
      </c>
      <c r="AZ32" s="63"/>
      <c r="BA32" s="100">
        <f t="shared" ca="1" si="17"/>
        <v>0</v>
      </c>
      <c r="BB32" s="64" t="str">
        <f t="shared" ca="1" si="18"/>
        <v/>
      </c>
      <c r="BC32" s="101" t="str">
        <f t="shared" ca="1" si="19"/>
        <v/>
      </c>
    </row>
    <row r="33" spans="1:55" x14ac:dyDescent="0.2">
      <c r="A33" s="21"/>
      <c r="B33" s="22"/>
      <c r="C33" s="22"/>
      <c r="D33" s="23"/>
      <c r="E33" s="24"/>
      <c r="F33" s="34"/>
      <c r="H33" s="89" t="str">
        <f>IF(OR(D33="",F33="",A33=""),"",IF(E33="oui",0,IF(D33=OBJECTIFS!$C$45,VLOOKUP(F33,OBJECTIFS!$C$9:$D$11,2,FALSE),IF(D33=OBJECTIFS!$C$46,VLOOKUP(F33,OBJECTIFS!$C$16:$D$18,2,FALSE),IF(D33=OBJECTIFS!$C$47,VLOOKUP(F33,OBJECTIFS!$C$23:$D$25,2,FALSE),IF(D33=OBJECTIFS!$C$48,VLOOKUP(F33,OBJECTIFS!$C$30:$D$32,2,FALSE),IF(D33=OBJECTIFS!$C$49,VLOOKUP(F33,OBJECTIFS!$C$37:$D$39,2,FALSE))))))))</f>
        <v/>
      </c>
      <c r="J33" s="25"/>
      <c r="K33" s="90" t="str">
        <f>IF(OR($A33="",$D33="",J33=""),"",SUMIFS(OBJECTIFS!E$9:E$39,OBJECTIFS!$A$9:$A$39,$D33,OBJECTIFS!$C$9:$C$39,$F33))</f>
        <v/>
      </c>
      <c r="L33" s="90" t="str">
        <f>IF(OR(AND($D33=OBJECTIFS!$B$6,OBJECTIFS!E$8="dmt"),AND($D33=OBJECTIFS!$B$13,OBJECTIFS!$E$15="dmt"),AND($D33=OBJECTIFS!$B$20,OBJECTIFS!$E$22="dmt"),AND($D33=OBJECTIFS!$B$27,OBJECTIFS!$E$29="dmt"),AND($D33=OBJECTIFS!$B$34,OBJECTIFS!$E$36="dmt"),AND($D33=OBJECTIFS!$B$6,OBJECTIFS!$E$8="taux de chute"),AND($D33=OBJECTIFS!$B$13,OBJECTIFS!$E$15="taux de chute"),AND($D33=OBJECTIFS!$B$20,OBJECTIFS!$E$22="taux de chute"),AND($D33=OBJECTIFS!$B$27,OBJECTIFS!$E$29="taux de chute"),AND($D33=OBJECTIFS!$B$34,OBJECTIFS!$E$36="taux de chute")),IFERROR(K33/J33,""),IFERROR(J33/K33,""))</f>
        <v/>
      </c>
      <c r="M33" s="91">
        <f>IFERROR(IF(OR(J33="",K33="",L33=""),0,IF(L33&lt;OBJECTIFS!$E$56,0,IF(L33&lt;OBJECTIFS!$G$56,M$8*OBJECTIFS!$F$60,IF(L33&lt;OBJECTIFS!$I$56,M$8*OBJECTIFS!$H$60,M$8)))),0)</f>
        <v>0</v>
      </c>
      <c r="N33" s="161"/>
      <c r="O33" s="92" t="str">
        <f>IF(OR($A33="",$D33="",N33=""),"",SUMIFS(OBJECTIFS!F$9:F$39,OBJECTIFS!$A$9:$A$39,$D33,OBJECTIFS!$C$9:$C$39,$F33))</f>
        <v/>
      </c>
      <c r="P33" s="90" t="str">
        <f>IF(OR(AND($D33=OBJECTIFS!$B$6,OBJECTIFS!$F$8="dmt"),AND($D33=OBJECTIFS!$B$13,OBJECTIFS!$F$15="dmt"),AND($D33=OBJECTIFS!$B$20,OBJECTIFS!$F$22="dmt"),AND($D33=OBJECTIFS!$B$27,OBJECTIFS!$F$29="dmt"),AND($D33=OBJECTIFS!$B$34,OBJECTIFS!$F$36="dmt"),AND($D33=OBJECTIFS!$B$6,OBJECTIFS!$F$8="taux de chute"),AND($D33=OBJECTIFS!$B$13,OBJECTIFS!$F$15="taux de chute"),AND($D33=OBJECTIFS!$B$20,OBJECTIFS!$F$22="taux de chute"),AND($D33=OBJECTIFS!$B$27,OBJECTIFS!$F$29="taux de chute"),AND($D33=OBJECTIFS!$B$34,OBJECTIFS!$F$36="taux de chute")),IFERROR(O33/N33,""),IFERROR(N33/O33,""))</f>
        <v/>
      </c>
      <c r="Q33" s="91">
        <f>IFERROR(IF(OR(N33="",O33="",P33=""),0,IF(P33&lt;OBJECTIFS!$E$56,0,IF(P33&lt;OBJECTIFS!$G$56,Q$8*OBJECTIFS!$F$60,IF(P33&lt;OBJECTIFS!$I$56,Q$8*OBJECTIFS!$H$60,Q$8)))),0)</f>
        <v>0</v>
      </c>
      <c r="R33" s="164"/>
      <c r="S33" s="93" t="str">
        <f>IF(OR($A33="",$D33="",R33=""),"",SUMIFS(OBJECTIFS!G$9:G$39,OBJECTIFS!$A$9:$A$39,$D33,OBJECTIFS!$C$9:$C$39,$F33))</f>
        <v/>
      </c>
      <c r="T33" s="90" t="str">
        <f>IF(OR(AND($D33=OBJECTIFS!$B$6,OBJECTIFS!G$8="dmt"),AND($D33=OBJECTIFS!$B$13,OBJECTIFS!$G$15="dmt"),AND($D33=OBJECTIFS!$B$20,OBJECTIFS!$G$22="dmt"),AND($D33=OBJECTIFS!$B$27,OBJECTIFS!$G$29="dmt"),AND($D33=OBJECTIFS!$B$34,OBJECTIFS!$G$36="dmt"),AND($D33=OBJECTIFS!$B$6,OBJECTIFS!$G$8="taux de chute"),AND($D33=OBJECTIFS!$B$13,OBJECTIFS!$G$15="taux de chute"),AND($D33=OBJECTIFS!$B$20,OBJECTIFS!$G$22="taux de chute"),AND($D33=OBJECTIFS!$B$27,OBJECTIFS!$G$29="taux de chute"),AND($D33=OBJECTIFS!$B$34,OBJECTIFS!$G$36="taux de chute")),IFERROR(S33/R33,""),IFERROR(R33/S33,""))</f>
        <v/>
      </c>
      <c r="U33" s="94">
        <f>IFERROR(IF(OR(R33="",S33="",T33=""),0,IF(T33&lt;OBJECTIFS!$E$56,0,IF(T33&lt;OBJECTIFS!$G$56,U$8*OBJECTIFS!$F$60,IF(T33&lt;OBJECTIFS!$I$56,U$8*OBJECTIFS!$H$60,U$8)))),0)</f>
        <v>0</v>
      </c>
      <c r="V33" s="25"/>
      <c r="W33" s="90" t="str">
        <f>IF(OR($A33="",$D33="",V33=""),"",SUMIFS(OBJECTIFS!H$9:H$39,OBJECTIFS!$A$9:$A$39,$D33,OBJECTIFS!$C$9:$C$39,$F33))</f>
        <v/>
      </c>
      <c r="X33" s="90" t="str">
        <f>IF(OR(AND($D33=OBJECTIFS!$B$6,OBJECTIFS!H$8="dmt"),AND($D33=OBJECTIFS!$B$13,OBJECTIFS!$H$15="dmt"),AND($D33=OBJECTIFS!$B$20,OBJECTIFS!$H$22="dmt"),AND($D33=OBJECTIFS!$B$27,OBJECTIFS!$H$29="dmt"),AND($D33=OBJECTIFS!$B$34,OBJECTIFS!$H$36="dmt"),AND($D33=OBJECTIFS!$B$6,OBJECTIFS!$H$8="taux de chute"),AND($D33=OBJECTIFS!$B$13,OBJECTIFS!$H$15="taux de chute"),AND($D33=OBJECTIFS!$B$20,OBJECTIFS!$H$22="taux de chute"),AND($D33=OBJECTIFS!$B$27,OBJECTIFS!$H$29="taux de chute"),AND($D33=OBJECTIFS!$B$34,OBJECTIFS!$H$36="taux de chute")),IFERROR(W33/V33,""),IFERROR(V33/W33,""))</f>
        <v/>
      </c>
      <c r="Y33" s="91">
        <f>IFERROR(IF(OR(V33="",W33="",X33=""),0,IF(X33&lt;OBJECTIFS!$E$56,0,IF(X33&lt;OBJECTIFS!$G$56,Y$8*OBJECTIFS!$F$60,IF(X33&lt;OBJECTIFS!$I$56,Y$8*OBJECTIFS!$H$60,Y$8)))),0)</f>
        <v>0</v>
      </c>
      <c r="Z33" s="167"/>
      <c r="AA33" s="90" t="str">
        <f>IF(OR($A33="",$D33="",Z33=""),"",SUMIFS(OBJECTIFS!I$9:I$39,OBJECTIFS!$A$9:$A$39,$D33,OBJECTIFS!$C$9:$C$39,$F33))</f>
        <v/>
      </c>
      <c r="AB33" s="90" t="str">
        <f>IF(OR(AND($D33=OBJECTIFS!$B$6,OBJECTIFS!I$8="dmt"),AND($D33=OBJECTIFS!$B$13,OBJECTIFS!$I$15="dmt"),AND($D33=OBJECTIFS!$B$20,OBJECTIFS!$I$22="dmt"),AND($D33=OBJECTIFS!$B$27,OBJECTIFS!$I$29="dmt"),AND($D33=OBJECTIFS!$B$34,OBJECTIFS!$I$36="dmt"),AND($D33=OBJECTIFS!$B$6,OBJECTIFS!$I$8="taux de chute"),AND($D33=OBJECTIFS!$B$13,OBJECTIFS!$I$15="taux de chute"),AND($D33=OBJECTIFS!$B$20,OBJECTIFS!$I$22="taux de chute"),AND($D33=OBJECTIFS!$B$27,OBJECTIFS!$I$29="taux de chute"),AND($D33=OBJECTIFS!$B$34,OBJECTIFS!$I$36="taux de chute")),IFERROR(AA33/Z33,""),IFERROR(Z33/AA33,""))</f>
        <v/>
      </c>
      <c r="AC33" s="95">
        <f>IFERROR(IF(OR(Z33="",AA33="",AB33=""),0,IF(AB33&lt;OBJECTIFS!$E$56,0,IF(AB33&lt;OBJECTIFS!$G$56,AC$8*OBJECTIFS!$F$60,IF(AB33&lt;OBJECTIFS!$I$56,AC$8*OBJECTIFS!$H$60,AC$8)))),0)</f>
        <v>0</v>
      </c>
      <c r="AD33" s="186"/>
      <c r="AE33" s="187"/>
      <c r="AF33" s="96">
        <f t="shared" ca="1" si="11"/>
        <v>0</v>
      </c>
      <c r="AG33" s="63"/>
      <c r="AH33" s="186"/>
      <c r="AI33" s="24"/>
      <c r="AJ33" s="24"/>
      <c r="AK33" s="24"/>
      <c r="AL33" s="24"/>
      <c r="AM33" s="79">
        <f t="shared" si="12"/>
        <v>0</v>
      </c>
      <c r="AN33" s="79">
        <v>22</v>
      </c>
      <c r="AO33" s="80">
        <f t="shared" si="13"/>
        <v>0</v>
      </c>
      <c r="AP33" s="81" t="str">
        <f t="shared" ca="1" si="14"/>
        <v/>
      </c>
      <c r="AQ33" s="82"/>
      <c r="AR33" s="97">
        <f>IFERROR(VLOOKUP(B33,OBJECTIFS!$C$76:$E$137,2,FALSE),0)</f>
        <v>0</v>
      </c>
      <c r="AS33" s="98">
        <f>IFERROR(VLOOKUP(B33,OBJECTIFS!$H$76:$J$137,2,FALSE),0)</f>
        <v>0</v>
      </c>
      <c r="AT33" s="98">
        <f>IFERROR(VLOOKUP(B33,OBJECTIFS!$C$142:$E$203,2,FALSE),0)</f>
        <v>0</v>
      </c>
      <c r="AU33" s="98">
        <f>IFERROR(VLOOKUP(B33,OBJECTIFS!$H$142:$J$203,2,FALSE),0)</f>
        <v>0</v>
      </c>
      <c r="AV33" s="98">
        <f>IFERROR(VLOOKUP(B33,OBJECTIFS!$F$208:$H$269,3,FALSE),0)</f>
        <v>0</v>
      </c>
      <c r="AW33" s="81">
        <f t="shared" si="15"/>
        <v>0</v>
      </c>
      <c r="AX33" s="82"/>
      <c r="AY33" s="99" t="str">
        <f t="shared" ca="1" si="16"/>
        <v/>
      </c>
      <c r="AZ33" s="63"/>
      <c r="BA33" s="100">
        <f t="shared" ca="1" si="17"/>
        <v>0</v>
      </c>
      <c r="BB33" s="64" t="str">
        <f t="shared" ca="1" si="18"/>
        <v/>
      </c>
      <c r="BC33" s="101" t="str">
        <f t="shared" ca="1" si="19"/>
        <v/>
      </c>
    </row>
    <row r="34" spans="1:55" x14ac:dyDescent="0.2">
      <c r="A34" s="21"/>
      <c r="B34" s="22"/>
      <c r="C34" s="22"/>
      <c r="D34" s="23"/>
      <c r="E34" s="24"/>
      <c r="F34" s="34"/>
      <c r="H34" s="89" t="str">
        <f>IF(OR(D34="",F34="",A34=""),"",IF(E34="oui",0,IF(D34=OBJECTIFS!$C$45,VLOOKUP(F34,OBJECTIFS!$C$9:$D$11,2,FALSE),IF(D34=OBJECTIFS!$C$46,VLOOKUP(F34,OBJECTIFS!$C$16:$D$18,2,FALSE),IF(D34=OBJECTIFS!$C$47,VLOOKUP(F34,OBJECTIFS!$C$23:$D$25,2,FALSE),IF(D34=OBJECTIFS!$C$48,VLOOKUP(F34,OBJECTIFS!$C$30:$D$32,2,FALSE),IF(D34=OBJECTIFS!$C$49,VLOOKUP(F34,OBJECTIFS!$C$37:$D$39,2,FALSE))))))))</f>
        <v/>
      </c>
      <c r="J34" s="25"/>
      <c r="K34" s="90" t="str">
        <f>IF(OR($A34="",$D34="",J34=""),"",SUMIFS(OBJECTIFS!E$9:E$39,OBJECTIFS!$A$9:$A$39,$D34,OBJECTIFS!$C$9:$C$39,$F34))</f>
        <v/>
      </c>
      <c r="L34" s="90" t="str">
        <f>IF(OR(AND($D34=OBJECTIFS!$B$6,OBJECTIFS!E$8="dmt"),AND($D34=OBJECTIFS!$B$13,OBJECTIFS!$E$15="dmt"),AND($D34=OBJECTIFS!$B$20,OBJECTIFS!$E$22="dmt"),AND($D34=OBJECTIFS!$B$27,OBJECTIFS!$E$29="dmt"),AND($D34=OBJECTIFS!$B$34,OBJECTIFS!$E$36="dmt"),AND($D34=OBJECTIFS!$B$6,OBJECTIFS!$E$8="taux de chute"),AND($D34=OBJECTIFS!$B$13,OBJECTIFS!$E$15="taux de chute"),AND($D34=OBJECTIFS!$B$20,OBJECTIFS!$E$22="taux de chute"),AND($D34=OBJECTIFS!$B$27,OBJECTIFS!$E$29="taux de chute"),AND($D34=OBJECTIFS!$B$34,OBJECTIFS!$E$36="taux de chute")),IFERROR(K34/J34,""),IFERROR(J34/K34,""))</f>
        <v/>
      </c>
      <c r="M34" s="91">
        <f>IFERROR(IF(OR(J34="",K34="",L34=""),0,IF(L34&lt;OBJECTIFS!$E$56,0,IF(L34&lt;OBJECTIFS!$G$56,M$8*OBJECTIFS!$F$60,IF(L34&lt;OBJECTIFS!$I$56,M$8*OBJECTIFS!$H$60,M$8)))),0)</f>
        <v>0</v>
      </c>
      <c r="N34" s="161"/>
      <c r="O34" s="92" t="str">
        <f>IF(OR($A34="",$D34="",N34=""),"",SUMIFS(OBJECTIFS!F$9:F$39,OBJECTIFS!$A$9:$A$39,$D34,OBJECTIFS!$C$9:$C$39,$F34))</f>
        <v/>
      </c>
      <c r="P34" s="90" t="str">
        <f>IF(OR(AND($D34=OBJECTIFS!$B$6,OBJECTIFS!$F$8="dmt"),AND($D34=OBJECTIFS!$B$13,OBJECTIFS!$F$15="dmt"),AND($D34=OBJECTIFS!$B$20,OBJECTIFS!$F$22="dmt"),AND($D34=OBJECTIFS!$B$27,OBJECTIFS!$F$29="dmt"),AND($D34=OBJECTIFS!$B$34,OBJECTIFS!$F$36="dmt"),AND($D34=OBJECTIFS!$B$6,OBJECTIFS!$F$8="taux de chute"),AND($D34=OBJECTIFS!$B$13,OBJECTIFS!$F$15="taux de chute"),AND($D34=OBJECTIFS!$B$20,OBJECTIFS!$F$22="taux de chute"),AND($D34=OBJECTIFS!$B$27,OBJECTIFS!$F$29="taux de chute"),AND($D34=OBJECTIFS!$B$34,OBJECTIFS!$F$36="taux de chute")),IFERROR(O34/N34,""),IFERROR(N34/O34,""))</f>
        <v/>
      </c>
      <c r="Q34" s="91">
        <f>IFERROR(IF(OR(N34="",O34="",P34=""),0,IF(P34&lt;OBJECTIFS!$E$56,0,IF(P34&lt;OBJECTIFS!$G$56,Q$8*OBJECTIFS!$F$60,IF(P34&lt;OBJECTIFS!$I$56,Q$8*OBJECTIFS!$H$60,Q$8)))),0)</f>
        <v>0</v>
      </c>
      <c r="R34" s="164"/>
      <c r="S34" s="93" t="str">
        <f>IF(OR($A34="",$D34="",R34=""),"",SUMIFS(OBJECTIFS!G$9:G$39,OBJECTIFS!$A$9:$A$39,$D34,OBJECTIFS!$C$9:$C$39,$F34))</f>
        <v/>
      </c>
      <c r="T34" s="90" t="str">
        <f>IF(OR(AND($D34=OBJECTIFS!$B$6,OBJECTIFS!G$8="dmt"),AND($D34=OBJECTIFS!$B$13,OBJECTIFS!$G$15="dmt"),AND($D34=OBJECTIFS!$B$20,OBJECTIFS!$G$22="dmt"),AND($D34=OBJECTIFS!$B$27,OBJECTIFS!$G$29="dmt"),AND($D34=OBJECTIFS!$B$34,OBJECTIFS!$G$36="dmt"),AND($D34=OBJECTIFS!$B$6,OBJECTIFS!$G$8="taux de chute"),AND($D34=OBJECTIFS!$B$13,OBJECTIFS!$G$15="taux de chute"),AND($D34=OBJECTIFS!$B$20,OBJECTIFS!$G$22="taux de chute"),AND($D34=OBJECTIFS!$B$27,OBJECTIFS!$G$29="taux de chute"),AND($D34=OBJECTIFS!$B$34,OBJECTIFS!$G$36="taux de chute")),IFERROR(S34/R34,""),IFERROR(R34/S34,""))</f>
        <v/>
      </c>
      <c r="U34" s="94">
        <f>IFERROR(IF(OR(R34="",S34="",T34=""),0,IF(T34&lt;OBJECTIFS!$E$56,0,IF(T34&lt;OBJECTIFS!$G$56,U$8*OBJECTIFS!$F$60,IF(T34&lt;OBJECTIFS!$I$56,U$8*OBJECTIFS!$H$60,U$8)))),0)</f>
        <v>0</v>
      </c>
      <c r="V34" s="25"/>
      <c r="W34" s="90" t="str">
        <f>IF(OR($A34="",$D34="",V34=""),"",SUMIFS(OBJECTIFS!H$9:H$39,OBJECTIFS!$A$9:$A$39,$D34,OBJECTIFS!$C$9:$C$39,$F34))</f>
        <v/>
      </c>
      <c r="X34" s="90" t="str">
        <f>IF(OR(AND($D34=OBJECTIFS!$B$6,OBJECTIFS!H$8="dmt"),AND($D34=OBJECTIFS!$B$13,OBJECTIFS!$H$15="dmt"),AND($D34=OBJECTIFS!$B$20,OBJECTIFS!$H$22="dmt"),AND($D34=OBJECTIFS!$B$27,OBJECTIFS!$H$29="dmt"),AND($D34=OBJECTIFS!$B$34,OBJECTIFS!$H$36="dmt"),AND($D34=OBJECTIFS!$B$6,OBJECTIFS!$H$8="taux de chute"),AND($D34=OBJECTIFS!$B$13,OBJECTIFS!$H$15="taux de chute"),AND($D34=OBJECTIFS!$B$20,OBJECTIFS!$H$22="taux de chute"),AND($D34=OBJECTIFS!$B$27,OBJECTIFS!$H$29="taux de chute"),AND($D34=OBJECTIFS!$B$34,OBJECTIFS!$H$36="taux de chute")),IFERROR(W34/V34,""),IFERROR(V34/W34,""))</f>
        <v/>
      </c>
      <c r="Y34" s="91">
        <f>IFERROR(IF(OR(V34="",W34="",X34=""),0,IF(X34&lt;OBJECTIFS!$E$56,0,IF(X34&lt;OBJECTIFS!$G$56,Y$8*OBJECTIFS!$F$60,IF(X34&lt;OBJECTIFS!$I$56,Y$8*OBJECTIFS!$H$60,Y$8)))),0)</f>
        <v>0</v>
      </c>
      <c r="Z34" s="167"/>
      <c r="AA34" s="90" t="str">
        <f>IF(OR($A34="",$D34="",Z34=""),"",SUMIFS(OBJECTIFS!I$9:I$39,OBJECTIFS!$A$9:$A$39,$D34,OBJECTIFS!$C$9:$C$39,$F34))</f>
        <v/>
      </c>
      <c r="AB34" s="90" t="str">
        <f>IF(OR(AND($D34=OBJECTIFS!$B$6,OBJECTIFS!I$8="dmt"),AND($D34=OBJECTIFS!$B$13,OBJECTIFS!$I$15="dmt"),AND($D34=OBJECTIFS!$B$20,OBJECTIFS!$I$22="dmt"),AND($D34=OBJECTIFS!$B$27,OBJECTIFS!$I$29="dmt"),AND($D34=OBJECTIFS!$B$34,OBJECTIFS!$I$36="dmt"),AND($D34=OBJECTIFS!$B$6,OBJECTIFS!$I$8="taux de chute"),AND($D34=OBJECTIFS!$B$13,OBJECTIFS!$I$15="taux de chute"),AND($D34=OBJECTIFS!$B$20,OBJECTIFS!$I$22="taux de chute"),AND($D34=OBJECTIFS!$B$27,OBJECTIFS!$I$29="taux de chute"),AND($D34=OBJECTIFS!$B$34,OBJECTIFS!$I$36="taux de chute")),IFERROR(AA34/Z34,""),IFERROR(Z34/AA34,""))</f>
        <v/>
      </c>
      <c r="AC34" s="95">
        <f>IFERROR(IF(OR(Z34="",AA34="",AB34=""),0,IF(AB34&lt;OBJECTIFS!$E$56,0,IF(AB34&lt;OBJECTIFS!$G$56,AC$8*OBJECTIFS!$F$60,IF(AB34&lt;OBJECTIFS!$I$56,AC$8*OBJECTIFS!$H$60,AC$8)))),0)</f>
        <v>0</v>
      </c>
      <c r="AD34" s="186"/>
      <c r="AE34" s="187"/>
      <c r="AF34" s="96">
        <f t="shared" ca="1" si="11"/>
        <v>0</v>
      </c>
      <c r="AG34" s="63"/>
      <c r="AH34" s="186"/>
      <c r="AI34" s="24"/>
      <c r="AJ34" s="24"/>
      <c r="AK34" s="24"/>
      <c r="AL34" s="24"/>
      <c r="AM34" s="79">
        <f t="shared" si="12"/>
        <v>0</v>
      </c>
      <c r="AN34" s="79">
        <v>22</v>
      </c>
      <c r="AO34" s="80">
        <f t="shared" si="13"/>
        <v>0</v>
      </c>
      <c r="AP34" s="81" t="str">
        <f t="shared" ca="1" si="14"/>
        <v/>
      </c>
      <c r="AQ34" s="82"/>
      <c r="AR34" s="97">
        <f>IFERROR(VLOOKUP(B34,OBJECTIFS!$C$76:$E$137,2,FALSE),0)</f>
        <v>0</v>
      </c>
      <c r="AS34" s="98">
        <f>IFERROR(VLOOKUP(B34,OBJECTIFS!$H$76:$J$137,2,FALSE),0)</f>
        <v>0</v>
      </c>
      <c r="AT34" s="98">
        <f>IFERROR(VLOOKUP(B34,OBJECTIFS!$C$142:$E$203,2,FALSE),0)</f>
        <v>0</v>
      </c>
      <c r="AU34" s="98">
        <f>IFERROR(VLOOKUP(B34,OBJECTIFS!$H$142:$J$203,2,FALSE),0)</f>
        <v>0</v>
      </c>
      <c r="AV34" s="98">
        <f>IFERROR(VLOOKUP(B34,OBJECTIFS!$F$208:$H$269,3,FALSE),0)</f>
        <v>0</v>
      </c>
      <c r="AW34" s="81">
        <f t="shared" si="15"/>
        <v>0</v>
      </c>
      <c r="AX34" s="82"/>
      <c r="AY34" s="99" t="str">
        <f t="shared" ca="1" si="16"/>
        <v/>
      </c>
      <c r="AZ34" s="63"/>
      <c r="BA34" s="100">
        <f t="shared" ca="1" si="17"/>
        <v>0</v>
      </c>
      <c r="BB34" s="64" t="str">
        <f t="shared" ca="1" si="18"/>
        <v/>
      </c>
      <c r="BC34" s="101" t="str">
        <f t="shared" ca="1" si="19"/>
        <v/>
      </c>
    </row>
    <row r="35" spans="1:55" x14ac:dyDescent="0.2">
      <c r="A35" s="21"/>
      <c r="B35" s="22"/>
      <c r="C35" s="22"/>
      <c r="D35" s="23"/>
      <c r="E35" s="24"/>
      <c r="F35" s="34"/>
      <c r="H35" s="89" t="str">
        <f>IF(OR(D35="",F35="",A35=""),"",IF(E35="oui",0,IF(D35=OBJECTIFS!$C$45,VLOOKUP(F35,OBJECTIFS!$C$9:$D$11,2,FALSE),IF(D35=OBJECTIFS!$C$46,VLOOKUP(F35,OBJECTIFS!$C$16:$D$18,2,FALSE),IF(D35=OBJECTIFS!$C$47,VLOOKUP(F35,OBJECTIFS!$C$23:$D$25,2,FALSE),IF(D35=OBJECTIFS!$C$48,VLOOKUP(F35,OBJECTIFS!$C$30:$D$32,2,FALSE),IF(D35=OBJECTIFS!$C$49,VLOOKUP(F35,OBJECTIFS!$C$37:$D$39,2,FALSE))))))))</f>
        <v/>
      </c>
      <c r="J35" s="25"/>
      <c r="K35" s="90" t="str">
        <f>IF(OR($A35="",$D35="",J35=""),"",SUMIFS(OBJECTIFS!E$9:E$39,OBJECTIFS!$A$9:$A$39,$D35,OBJECTIFS!$C$9:$C$39,$F35))</f>
        <v/>
      </c>
      <c r="L35" s="90" t="str">
        <f>IF(OR(AND($D35=OBJECTIFS!$B$6,OBJECTIFS!E$8="dmt"),AND($D35=OBJECTIFS!$B$13,OBJECTIFS!$E$15="dmt"),AND($D35=OBJECTIFS!$B$20,OBJECTIFS!$E$22="dmt"),AND($D35=OBJECTIFS!$B$27,OBJECTIFS!$E$29="dmt"),AND($D35=OBJECTIFS!$B$34,OBJECTIFS!$E$36="dmt"),AND($D35=OBJECTIFS!$B$6,OBJECTIFS!$E$8="taux de chute"),AND($D35=OBJECTIFS!$B$13,OBJECTIFS!$E$15="taux de chute"),AND($D35=OBJECTIFS!$B$20,OBJECTIFS!$E$22="taux de chute"),AND($D35=OBJECTIFS!$B$27,OBJECTIFS!$E$29="taux de chute"),AND($D35=OBJECTIFS!$B$34,OBJECTIFS!$E$36="taux de chute")),IFERROR(K35/J35,""),IFERROR(J35/K35,""))</f>
        <v/>
      </c>
      <c r="M35" s="91">
        <f>IFERROR(IF(OR(J35="",K35="",L35=""),0,IF(L35&lt;OBJECTIFS!$E$56,0,IF(L35&lt;OBJECTIFS!$G$56,M$8*OBJECTIFS!$F$60,IF(L35&lt;OBJECTIFS!$I$56,M$8*OBJECTIFS!$H$60,M$8)))),0)</f>
        <v>0</v>
      </c>
      <c r="N35" s="161"/>
      <c r="O35" s="92" t="str">
        <f>IF(OR($A35="",$D35="",N35=""),"",SUMIFS(OBJECTIFS!F$9:F$39,OBJECTIFS!$A$9:$A$39,$D35,OBJECTIFS!$C$9:$C$39,$F35))</f>
        <v/>
      </c>
      <c r="P35" s="90" t="str">
        <f>IF(OR(AND($D35=OBJECTIFS!$B$6,OBJECTIFS!$F$8="dmt"),AND($D35=OBJECTIFS!$B$13,OBJECTIFS!$F$15="dmt"),AND($D35=OBJECTIFS!$B$20,OBJECTIFS!$F$22="dmt"),AND($D35=OBJECTIFS!$B$27,OBJECTIFS!$F$29="dmt"),AND($D35=OBJECTIFS!$B$34,OBJECTIFS!$F$36="dmt"),AND($D35=OBJECTIFS!$B$6,OBJECTIFS!$F$8="taux de chute"),AND($D35=OBJECTIFS!$B$13,OBJECTIFS!$F$15="taux de chute"),AND($D35=OBJECTIFS!$B$20,OBJECTIFS!$F$22="taux de chute"),AND($D35=OBJECTIFS!$B$27,OBJECTIFS!$F$29="taux de chute"),AND($D35=OBJECTIFS!$B$34,OBJECTIFS!$F$36="taux de chute")),IFERROR(O35/N35,""),IFERROR(N35/O35,""))</f>
        <v/>
      </c>
      <c r="Q35" s="91">
        <f>IFERROR(IF(OR(N35="",O35="",P35=""),0,IF(P35&lt;OBJECTIFS!$E$56,0,IF(P35&lt;OBJECTIFS!$G$56,Q$8*OBJECTIFS!$F$60,IF(P35&lt;OBJECTIFS!$I$56,Q$8*OBJECTIFS!$H$60,Q$8)))),0)</f>
        <v>0</v>
      </c>
      <c r="R35" s="164"/>
      <c r="S35" s="93" t="str">
        <f>IF(OR($A35="",$D35="",R35=""),"",SUMIFS(OBJECTIFS!G$9:G$39,OBJECTIFS!$A$9:$A$39,$D35,OBJECTIFS!$C$9:$C$39,$F35))</f>
        <v/>
      </c>
      <c r="T35" s="90" t="str">
        <f>IF(OR(AND($D35=OBJECTIFS!$B$6,OBJECTIFS!G$8="dmt"),AND($D35=OBJECTIFS!$B$13,OBJECTIFS!$G$15="dmt"),AND($D35=OBJECTIFS!$B$20,OBJECTIFS!$G$22="dmt"),AND($D35=OBJECTIFS!$B$27,OBJECTIFS!$G$29="dmt"),AND($D35=OBJECTIFS!$B$34,OBJECTIFS!$G$36="dmt"),AND($D35=OBJECTIFS!$B$6,OBJECTIFS!$G$8="taux de chute"),AND($D35=OBJECTIFS!$B$13,OBJECTIFS!$G$15="taux de chute"),AND($D35=OBJECTIFS!$B$20,OBJECTIFS!$G$22="taux de chute"),AND($D35=OBJECTIFS!$B$27,OBJECTIFS!$G$29="taux de chute"),AND($D35=OBJECTIFS!$B$34,OBJECTIFS!$G$36="taux de chute")),IFERROR(S35/R35,""),IFERROR(R35/S35,""))</f>
        <v/>
      </c>
      <c r="U35" s="94">
        <f>IFERROR(IF(OR(R35="",S35="",T35=""),0,IF(T35&lt;OBJECTIFS!$E$56,0,IF(T35&lt;OBJECTIFS!$G$56,U$8*OBJECTIFS!$F$60,IF(T35&lt;OBJECTIFS!$I$56,U$8*OBJECTIFS!$H$60,U$8)))),0)</f>
        <v>0</v>
      </c>
      <c r="V35" s="25"/>
      <c r="W35" s="90" t="str">
        <f>IF(OR($A35="",$D35="",V35=""),"",SUMIFS(OBJECTIFS!H$9:H$39,OBJECTIFS!$A$9:$A$39,$D35,OBJECTIFS!$C$9:$C$39,$F35))</f>
        <v/>
      </c>
      <c r="X35" s="90" t="str">
        <f>IF(OR(AND($D35=OBJECTIFS!$B$6,OBJECTIFS!H$8="dmt"),AND($D35=OBJECTIFS!$B$13,OBJECTIFS!$H$15="dmt"),AND($D35=OBJECTIFS!$B$20,OBJECTIFS!$H$22="dmt"),AND($D35=OBJECTIFS!$B$27,OBJECTIFS!$H$29="dmt"),AND($D35=OBJECTIFS!$B$34,OBJECTIFS!$H$36="dmt"),AND($D35=OBJECTIFS!$B$6,OBJECTIFS!$H$8="taux de chute"),AND($D35=OBJECTIFS!$B$13,OBJECTIFS!$H$15="taux de chute"),AND($D35=OBJECTIFS!$B$20,OBJECTIFS!$H$22="taux de chute"),AND($D35=OBJECTIFS!$B$27,OBJECTIFS!$H$29="taux de chute"),AND($D35=OBJECTIFS!$B$34,OBJECTIFS!$H$36="taux de chute")),IFERROR(W35/V35,""),IFERROR(V35/W35,""))</f>
        <v/>
      </c>
      <c r="Y35" s="91">
        <f>IFERROR(IF(OR(V35="",W35="",X35=""),0,IF(X35&lt;OBJECTIFS!$E$56,0,IF(X35&lt;OBJECTIFS!$G$56,Y$8*OBJECTIFS!$F$60,IF(X35&lt;OBJECTIFS!$I$56,Y$8*OBJECTIFS!$H$60,Y$8)))),0)</f>
        <v>0</v>
      </c>
      <c r="Z35" s="167"/>
      <c r="AA35" s="90" t="str">
        <f>IF(OR($A35="",$D35="",Z35=""),"",SUMIFS(OBJECTIFS!I$9:I$39,OBJECTIFS!$A$9:$A$39,$D35,OBJECTIFS!$C$9:$C$39,$F35))</f>
        <v/>
      </c>
      <c r="AB35" s="90" t="str">
        <f>IF(OR(AND($D35=OBJECTIFS!$B$6,OBJECTIFS!I$8="dmt"),AND($D35=OBJECTIFS!$B$13,OBJECTIFS!$I$15="dmt"),AND($D35=OBJECTIFS!$B$20,OBJECTIFS!$I$22="dmt"),AND($D35=OBJECTIFS!$B$27,OBJECTIFS!$I$29="dmt"),AND($D35=OBJECTIFS!$B$34,OBJECTIFS!$I$36="dmt"),AND($D35=OBJECTIFS!$B$6,OBJECTIFS!$I$8="taux de chute"),AND($D35=OBJECTIFS!$B$13,OBJECTIFS!$I$15="taux de chute"),AND($D35=OBJECTIFS!$B$20,OBJECTIFS!$I$22="taux de chute"),AND($D35=OBJECTIFS!$B$27,OBJECTIFS!$I$29="taux de chute"),AND($D35=OBJECTIFS!$B$34,OBJECTIFS!$I$36="taux de chute")),IFERROR(AA35/Z35,""),IFERROR(Z35/AA35,""))</f>
        <v/>
      </c>
      <c r="AC35" s="95">
        <f>IFERROR(IF(OR(Z35="",AA35="",AB35=""),0,IF(AB35&lt;OBJECTIFS!$E$56,0,IF(AB35&lt;OBJECTIFS!$G$56,AC$8*OBJECTIFS!$F$60,IF(AB35&lt;OBJECTIFS!$I$56,AC$8*OBJECTIFS!$H$60,AC$8)))),0)</f>
        <v>0</v>
      </c>
      <c r="AD35" s="186"/>
      <c r="AE35" s="187"/>
      <c r="AF35" s="96">
        <f t="shared" ca="1" si="11"/>
        <v>0</v>
      </c>
      <c r="AG35" s="63"/>
      <c r="AH35" s="186"/>
      <c r="AI35" s="24"/>
      <c r="AJ35" s="24"/>
      <c r="AK35" s="24"/>
      <c r="AL35" s="24"/>
      <c r="AM35" s="79">
        <f t="shared" si="12"/>
        <v>0</v>
      </c>
      <c r="AN35" s="79">
        <v>22</v>
      </c>
      <c r="AO35" s="80">
        <f t="shared" si="13"/>
        <v>0</v>
      </c>
      <c r="AP35" s="81" t="str">
        <f t="shared" ca="1" si="14"/>
        <v/>
      </c>
      <c r="AQ35" s="82"/>
      <c r="AR35" s="97">
        <f>IFERROR(VLOOKUP(B35,OBJECTIFS!$C$76:$E$137,2,FALSE),0)</f>
        <v>0</v>
      </c>
      <c r="AS35" s="98">
        <f>IFERROR(VLOOKUP(B35,OBJECTIFS!$H$76:$J$137,2,FALSE),0)</f>
        <v>0</v>
      </c>
      <c r="AT35" s="98">
        <f>IFERROR(VLOOKUP(B35,OBJECTIFS!$C$142:$E$203,2,FALSE),0)</f>
        <v>0</v>
      </c>
      <c r="AU35" s="98">
        <f>IFERROR(VLOOKUP(B35,OBJECTIFS!$H$142:$J$203,2,FALSE),0)</f>
        <v>0</v>
      </c>
      <c r="AV35" s="98">
        <f>IFERROR(VLOOKUP(B35,OBJECTIFS!$F$208:$H$269,3,FALSE),0)</f>
        <v>0</v>
      </c>
      <c r="AW35" s="81">
        <f t="shared" si="15"/>
        <v>0</v>
      </c>
      <c r="AX35" s="82"/>
      <c r="AY35" s="99" t="str">
        <f t="shared" ca="1" si="16"/>
        <v/>
      </c>
      <c r="AZ35" s="63"/>
      <c r="BA35" s="100">
        <f t="shared" ca="1" si="17"/>
        <v>0</v>
      </c>
      <c r="BB35" s="64" t="str">
        <f t="shared" ca="1" si="18"/>
        <v/>
      </c>
      <c r="BC35" s="101" t="str">
        <f t="shared" ca="1" si="19"/>
        <v/>
      </c>
    </row>
    <row r="36" spans="1:55" x14ac:dyDescent="0.2">
      <c r="A36" s="21"/>
      <c r="B36" s="22"/>
      <c r="C36" s="22"/>
      <c r="D36" s="23"/>
      <c r="E36" s="24"/>
      <c r="F36" s="34"/>
      <c r="H36" s="89" t="str">
        <f>IF(OR(D36="",F36="",A36=""),"",IF(E36="oui",0,IF(D36=OBJECTIFS!$C$45,VLOOKUP(F36,OBJECTIFS!$C$9:$D$11,2,FALSE),IF(D36=OBJECTIFS!$C$46,VLOOKUP(F36,OBJECTIFS!$C$16:$D$18,2,FALSE),IF(D36=OBJECTIFS!$C$47,VLOOKUP(F36,OBJECTIFS!$C$23:$D$25,2,FALSE),IF(D36=OBJECTIFS!$C$48,VLOOKUP(F36,OBJECTIFS!$C$30:$D$32,2,FALSE),IF(D36=OBJECTIFS!$C$49,VLOOKUP(F36,OBJECTIFS!$C$37:$D$39,2,FALSE))))))))</f>
        <v/>
      </c>
      <c r="J36" s="25"/>
      <c r="K36" s="90" t="str">
        <f>IF(OR($A36="",$D36="",J36=""),"",SUMIFS(OBJECTIFS!E$9:E$39,OBJECTIFS!$A$9:$A$39,$D36,OBJECTIFS!$C$9:$C$39,$F36))</f>
        <v/>
      </c>
      <c r="L36" s="90" t="str">
        <f>IF(OR(AND($D36=OBJECTIFS!$B$6,OBJECTIFS!E$8="dmt"),AND($D36=OBJECTIFS!$B$13,OBJECTIFS!$E$15="dmt"),AND($D36=OBJECTIFS!$B$20,OBJECTIFS!$E$22="dmt"),AND($D36=OBJECTIFS!$B$27,OBJECTIFS!$E$29="dmt"),AND($D36=OBJECTIFS!$B$34,OBJECTIFS!$E$36="dmt"),AND($D36=OBJECTIFS!$B$6,OBJECTIFS!$E$8="taux de chute"),AND($D36=OBJECTIFS!$B$13,OBJECTIFS!$E$15="taux de chute"),AND($D36=OBJECTIFS!$B$20,OBJECTIFS!$E$22="taux de chute"),AND($D36=OBJECTIFS!$B$27,OBJECTIFS!$E$29="taux de chute"),AND($D36=OBJECTIFS!$B$34,OBJECTIFS!$E$36="taux de chute")),IFERROR(K36/J36,""),IFERROR(J36/K36,""))</f>
        <v/>
      </c>
      <c r="M36" s="91">
        <f>IFERROR(IF(OR(J36="",K36="",L36=""),0,IF(L36&lt;OBJECTIFS!$E$56,0,IF(L36&lt;OBJECTIFS!$G$56,M$8*OBJECTIFS!$F$60,IF(L36&lt;OBJECTIFS!$I$56,M$8*OBJECTIFS!$H$60,M$8)))),0)</f>
        <v>0</v>
      </c>
      <c r="N36" s="161"/>
      <c r="O36" s="92" t="str">
        <f>IF(OR($A36="",$D36="",N36=""),"",SUMIFS(OBJECTIFS!F$9:F$39,OBJECTIFS!$A$9:$A$39,$D36,OBJECTIFS!$C$9:$C$39,$F36))</f>
        <v/>
      </c>
      <c r="P36" s="90" t="str">
        <f>IF(OR(AND($D36=OBJECTIFS!$B$6,OBJECTIFS!$F$8="dmt"),AND($D36=OBJECTIFS!$B$13,OBJECTIFS!$F$15="dmt"),AND($D36=OBJECTIFS!$B$20,OBJECTIFS!$F$22="dmt"),AND($D36=OBJECTIFS!$B$27,OBJECTIFS!$F$29="dmt"),AND($D36=OBJECTIFS!$B$34,OBJECTIFS!$F$36="dmt"),AND($D36=OBJECTIFS!$B$6,OBJECTIFS!$F$8="taux de chute"),AND($D36=OBJECTIFS!$B$13,OBJECTIFS!$F$15="taux de chute"),AND($D36=OBJECTIFS!$B$20,OBJECTIFS!$F$22="taux de chute"),AND($D36=OBJECTIFS!$B$27,OBJECTIFS!$F$29="taux de chute"),AND($D36=OBJECTIFS!$B$34,OBJECTIFS!$F$36="taux de chute")),IFERROR(O36/N36,""),IFERROR(N36/O36,""))</f>
        <v/>
      </c>
      <c r="Q36" s="91">
        <f>IFERROR(IF(OR(N36="",O36="",P36=""),0,IF(P36&lt;OBJECTIFS!$E$56,0,IF(P36&lt;OBJECTIFS!$G$56,Q$8*OBJECTIFS!$F$60,IF(P36&lt;OBJECTIFS!$I$56,Q$8*OBJECTIFS!$H$60,Q$8)))),0)</f>
        <v>0</v>
      </c>
      <c r="R36" s="164"/>
      <c r="S36" s="93" t="str">
        <f>IF(OR($A36="",$D36="",R36=""),"",SUMIFS(OBJECTIFS!G$9:G$39,OBJECTIFS!$A$9:$A$39,$D36,OBJECTIFS!$C$9:$C$39,$F36))</f>
        <v/>
      </c>
      <c r="T36" s="90" t="str">
        <f>IF(OR(AND($D36=OBJECTIFS!$B$6,OBJECTIFS!G$8="dmt"),AND($D36=OBJECTIFS!$B$13,OBJECTIFS!$G$15="dmt"),AND($D36=OBJECTIFS!$B$20,OBJECTIFS!$G$22="dmt"),AND($D36=OBJECTIFS!$B$27,OBJECTIFS!$G$29="dmt"),AND($D36=OBJECTIFS!$B$34,OBJECTIFS!$G$36="dmt"),AND($D36=OBJECTIFS!$B$6,OBJECTIFS!$G$8="taux de chute"),AND($D36=OBJECTIFS!$B$13,OBJECTIFS!$G$15="taux de chute"),AND($D36=OBJECTIFS!$B$20,OBJECTIFS!$G$22="taux de chute"),AND($D36=OBJECTIFS!$B$27,OBJECTIFS!$G$29="taux de chute"),AND($D36=OBJECTIFS!$B$34,OBJECTIFS!$G$36="taux de chute")),IFERROR(S36/R36,""),IFERROR(R36/S36,""))</f>
        <v/>
      </c>
      <c r="U36" s="94">
        <f>IFERROR(IF(OR(R36="",S36="",T36=""),0,IF(T36&lt;OBJECTIFS!$E$56,0,IF(T36&lt;OBJECTIFS!$G$56,U$8*OBJECTIFS!$F$60,IF(T36&lt;OBJECTIFS!$I$56,U$8*OBJECTIFS!$H$60,U$8)))),0)</f>
        <v>0</v>
      </c>
      <c r="V36" s="25"/>
      <c r="W36" s="90" t="str">
        <f>IF(OR($A36="",$D36="",V36=""),"",SUMIFS(OBJECTIFS!H$9:H$39,OBJECTIFS!$A$9:$A$39,$D36,OBJECTIFS!$C$9:$C$39,$F36))</f>
        <v/>
      </c>
      <c r="X36" s="90" t="str">
        <f>IF(OR(AND($D36=OBJECTIFS!$B$6,OBJECTIFS!H$8="dmt"),AND($D36=OBJECTIFS!$B$13,OBJECTIFS!$H$15="dmt"),AND($D36=OBJECTIFS!$B$20,OBJECTIFS!$H$22="dmt"),AND($D36=OBJECTIFS!$B$27,OBJECTIFS!$H$29="dmt"),AND($D36=OBJECTIFS!$B$34,OBJECTIFS!$H$36="dmt"),AND($D36=OBJECTIFS!$B$6,OBJECTIFS!$H$8="taux de chute"),AND($D36=OBJECTIFS!$B$13,OBJECTIFS!$H$15="taux de chute"),AND($D36=OBJECTIFS!$B$20,OBJECTIFS!$H$22="taux de chute"),AND($D36=OBJECTIFS!$B$27,OBJECTIFS!$H$29="taux de chute"),AND($D36=OBJECTIFS!$B$34,OBJECTIFS!$H$36="taux de chute")),IFERROR(W36/V36,""),IFERROR(V36/W36,""))</f>
        <v/>
      </c>
      <c r="Y36" s="91">
        <f>IFERROR(IF(OR(V36="",W36="",X36=""),0,IF(X36&lt;OBJECTIFS!$E$56,0,IF(X36&lt;OBJECTIFS!$G$56,Y$8*OBJECTIFS!$F$60,IF(X36&lt;OBJECTIFS!$I$56,Y$8*OBJECTIFS!$H$60,Y$8)))),0)</f>
        <v>0</v>
      </c>
      <c r="Z36" s="167"/>
      <c r="AA36" s="90" t="str">
        <f>IF(OR($A36="",$D36="",Z36=""),"",SUMIFS(OBJECTIFS!I$9:I$39,OBJECTIFS!$A$9:$A$39,$D36,OBJECTIFS!$C$9:$C$39,$F36))</f>
        <v/>
      </c>
      <c r="AB36" s="90" t="str">
        <f>IF(OR(AND($D36=OBJECTIFS!$B$6,OBJECTIFS!I$8="dmt"),AND($D36=OBJECTIFS!$B$13,OBJECTIFS!$I$15="dmt"),AND($D36=OBJECTIFS!$B$20,OBJECTIFS!$I$22="dmt"),AND($D36=OBJECTIFS!$B$27,OBJECTIFS!$I$29="dmt"),AND($D36=OBJECTIFS!$B$34,OBJECTIFS!$I$36="dmt"),AND($D36=OBJECTIFS!$B$6,OBJECTIFS!$I$8="taux de chute"),AND($D36=OBJECTIFS!$B$13,OBJECTIFS!$I$15="taux de chute"),AND($D36=OBJECTIFS!$B$20,OBJECTIFS!$I$22="taux de chute"),AND($D36=OBJECTIFS!$B$27,OBJECTIFS!$I$29="taux de chute"),AND($D36=OBJECTIFS!$B$34,OBJECTIFS!$I$36="taux de chute")),IFERROR(AA36/Z36,""),IFERROR(Z36/AA36,""))</f>
        <v/>
      </c>
      <c r="AC36" s="95">
        <f>IFERROR(IF(OR(Z36="",AA36="",AB36=""),0,IF(AB36&lt;OBJECTIFS!$E$56,0,IF(AB36&lt;OBJECTIFS!$G$56,AC$8*OBJECTIFS!$F$60,IF(AB36&lt;OBJECTIFS!$I$56,AC$8*OBJECTIFS!$H$60,AC$8)))),0)</f>
        <v>0</v>
      </c>
      <c r="AD36" s="186"/>
      <c r="AE36" s="187"/>
      <c r="AF36" s="96">
        <f t="shared" ca="1" si="11"/>
        <v>0</v>
      </c>
      <c r="AG36" s="63"/>
      <c r="AH36" s="186"/>
      <c r="AI36" s="24"/>
      <c r="AJ36" s="24"/>
      <c r="AK36" s="24"/>
      <c r="AL36" s="24"/>
      <c r="AM36" s="79">
        <f t="shared" si="12"/>
        <v>0</v>
      </c>
      <c r="AN36" s="79">
        <v>22</v>
      </c>
      <c r="AO36" s="80">
        <f t="shared" si="13"/>
        <v>0</v>
      </c>
      <c r="AP36" s="81" t="str">
        <f t="shared" ca="1" si="14"/>
        <v/>
      </c>
      <c r="AQ36" s="82"/>
      <c r="AR36" s="97">
        <f>IFERROR(VLOOKUP(B36,OBJECTIFS!$C$76:$E$137,2,FALSE),0)</f>
        <v>0</v>
      </c>
      <c r="AS36" s="98">
        <f>IFERROR(VLOOKUP(B36,OBJECTIFS!$H$76:$J$137,2,FALSE),0)</f>
        <v>0</v>
      </c>
      <c r="AT36" s="98">
        <f>IFERROR(VLOOKUP(B36,OBJECTIFS!$C$142:$E$203,2,FALSE),0)</f>
        <v>0</v>
      </c>
      <c r="AU36" s="98">
        <f>IFERROR(VLOOKUP(B36,OBJECTIFS!$H$142:$J$203,2,FALSE),0)</f>
        <v>0</v>
      </c>
      <c r="AV36" s="98">
        <f>IFERROR(VLOOKUP(B36,OBJECTIFS!$F$208:$H$269,3,FALSE),0)</f>
        <v>0</v>
      </c>
      <c r="AW36" s="81">
        <f t="shared" si="15"/>
        <v>0</v>
      </c>
      <c r="AX36" s="82"/>
      <c r="AY36" s="99" t="str">
        <f t="shared" ca="1" si="16"/>
        <v/>
      </c>
      <c r="AZ36" s="63"/>
      <c r="BA36" s="100">
        <f t="shared" ca="1" si="17"/>
        <v>0</v>
      </c>
      <c r="BB36" s="64" t="str">
        <f t="shared" ca="1" si="18"/>
        <v/>
      </c>
      <c r="BC36" s="101" t="str">
        <f t="shared" ca="1" si="19"/>
        <v/>
      </c>
    </row>
    <row r="37" spans="1:55" x14ac:dyDescent="0.2">
      <c r="A37" s="21"/>
      <c r="B37" s="22"/>
      <c r="C37" s="22"/>
      <c r="D37" s="23"/>
      <c r="E37" s="24"/>
      <c r="F37" s="34"/>
      <c r="H37" s="89" t="str">
        <f>IF(OR(D37="",F37="",A37=""),"",IF(E37="oui",0,IF(D37=OBJECTIFS!$C$45,VLOOKUP(F37,OBJECTIFS!$C$9:$D$11,2,FALSE),IF(D37=OBJECTIFS!$C$46,VLOOKUP(F37,OBJECTIFS!$C$16:$D$18,2,FALSE),IF(D37=OBJECTIFS!$C$47,VLOOKUP(F37,OBJECTIFS!$C$23:$D$25,2,FALSE),IF(D37=OBJECTIFS!$C$48,VLOOKUP(F37,OBJECTIFS!$C$30:$D$32,2,FALSE),IF(D37=OBJECTIFS!$C$49,VLOOKUP(F37,OBJECTIFS!$C$37:$D$39,2,FALSE))))))))</f>
        <v/>
      </c>
      <c r="J37" s="25"/>
      <c r="K37" s="90" t="str">
        <f>IF(OR($A37="",$D37="",J37=""),"",SUMIFS(OBJECTIFS!E$9:E$39,OBJECTIFS!$A$9:$A$39,$D37,OBJECTIFS!$C$9:$C$39,$F37))</f>
        <v/>
      </c>
      <c r="L37" s="90" t="str">
        <f>IF(OR(AND($D37=OBJECTIFS!$B$6,OBJECTIFS!E$8="dmt"),AND($D37=OBJECTIFS!$B$13,OBJECTIFS!$E$15="dmt"),AND($D37=OBJECTIFS!$B$20,OBJECTIFS!$E$22="dmt"),AND($D37=OBJECTIFS!$B$27,OBJECTIFS!$E$29="dmt"),AND($D37=OBJECTIFS!$B$34,OBJECTIFS!$E$36="dmt"),AND($D37=OBJECTIFS!$B$6,OBJECTIFS!$E$8="taux de chute"),AND($D37=OBJECTIFS!$B$13,OBJECTIFS!$E$15="taux de chute"),AND($D37=OBJECTIFS!$B$20,OBJECTIFS!$E$22="taux de chute"),AND($D37=OBJECTIFS!$B$27,OBJECTIFS!$E$29="taux de chute"),AND($D37=OBJECTIFS!$B$34,OBJECTIFS!$E$36="taux de chute")),IFERROR(K37/J37,""),IFERROR(J37/K37,""))</f>
        <v/>
      </c>
      <c r="M37" s="91">
        <f>IFERROR(IF(OR(J37="",K37="",L37=""),0,IF(L37&lt;OBJECTIFS!$E$56,0,IF(L37&lt;OBJECTIFS!$G$56,M$8*OBJECTIFS!$F$60,IF(L37&lt;OBJECTIFS!$I$56,M$8*OBJECTIFS!$H$60,M$8)))),0)</f>
        <v>0</v>
      </c>
      <c r="N37" s="161"/>
      <c r="O37" s="92" t="str">
        <f>IF(OR($A37="",$D37="",N37=""),"",SUMIFS(OBJECTIFS!F$9:F$39,OBJECTIFS!$A$9:$A$39,$D37,OBJECTIFS!$C$9:$C$39,$F37))</f>
        <v/>
      </c>
      <c r="P37" s="90" t="str">
        <f>IF(OR(AND($D37=OBJECTIFS!$B$6,OBJECTIFS!$F$8="dmt"),AND($D37=OBJECTIFS!$B$13,OBJECTIFS!$F$15="dmt"),AND($D37=OBJECTIFS!$B$20,OBJECTIFS!$F$22="dmt"),AND($D37=OBJECTIFS!$B$27,OBJECTIFS!$F$29="dmt"),AND($D37=OBJECTIFS!$B$34,OBJECTIFS!$F$36="dmt"),AND($D37=OBJECTIFS!$B$6,OBJECTIFS!$F$8="taux de chute"),AND($D37=OBJECTIFS!$B$13,OBJECTIFS!$F$15="taux de chute"),AND($D37=OBJECTIFS!$B$20,OBJECTIFS!$F$22="taux de chute"),AND($D37=OBJECTIFS!$B$27,OBJECTIFS!$F$29="taux de chute"),AND($D37=OBJECTIFS!$B$34,OBJECTIFS!$F$36="taux de chute")),IFERROR(O37/N37,""),IFERROR(N37/O37,""))</f>
        <v/>
      </c>
      <c r="Q37" s="91">
        <f>IFERROR(IF(OR(N37="",O37="",P37=""),0,IF(P37&lt;OBJECTIFS!$E$56,0,IF(P37&lt;OBJECTIFS!$G$56,Q$8*OBJECTIFS!$F$60,IF(P37&lt;OBJECTIFS!$I$56,Q$8*OBJECTIFS!$H$60,Q$8)))),0)</f>
        <v>0</v>
      </c>
      <c r="R37" s="164"/>
      <c r="S37" s="93" t="str">
        <f>IF(OR($A37="",$D37="",R37=""),"",SUMIFS(OBJECTIFS!G$9:G$39,OBJECTIFS!$A$9:$A$39,$D37,OBJECTIFS!$C$9:$C$39,$F37))</f>
        <v/>
      </c>
      <c r="T37" s="90" t="str">
        <f>IF(OR(AND($D37=OBJECTIFS!$B$6,OBJECTIFS!G$8="dmt"),AND($D37=OBJECTIFS!$B$13,OBJECTIFS!$G$15="dmt"),AND($D37=OBJECTIFS!$B$20,OBJECTIFS!$G$22="dmt"),AND($D37=OBJECTIFS!$B$27,OBJECTIFS!$G$29="dmt"),AND($D37=OBJECTIFS!$B$34,OBJECTIFS!$G$36="dmt"),AND($D37=OBJECTIFS!$B$6,OBJECTIFS!$G$8="taux de chute"),AND($D37=OBJECTIFS!$B$13,OBJECTIFS!$G$15="taux de chute"),AND($D37=OBJECTIFS!$B$20,OBJECTIFS!$G$22="taux de chute"),AND($D37=OBJECTIFS!$B$27,OBJECTIFS!$G$29="taux de chute"),AND($D37=OBJECTIFS!$B$34,OBJECTIFS!$G$36="taux de chute")),IFERROR(S37/R37,""),IFERROR(R37/S37,""))</f>
        <v/>
      </c>
      <c r="U37" s="94">
        <f>IFERROR(IF(OR(R37="",S37="",T37=""),0,IF(T37&lt;OBJECTIFS!$E$56,0,IF(T37&lt;OBJECTIFS!$G$56,U$8*OBJECTIFS!$F$60,IF(T37&lt;OBJECTIFS!$I$56,U$8*OBJECTIFS!$H$60,U$8)))),0)</f>
        <v>0</v>
      </c>
      <c r="V37" s="25"/>
      <c r="W37" s="90" t="str">
        <f>IF(OR($A37="",$D37="",V37=""),"",SUMIFS(OBJECTIFS!H$9:H$39,OBJECTIFS!$A$9:$A$39,$D37,OBJECTIFS!$C$9:$C$39,$F37))</f>
        <v/>
      </c>
      <c r="X37" s="90" t="str">
        <f>IF(OR(AND($D37=OBJECTIFS!$B$6,OBJECTIFS!H$8="dmt"),AND($D37=OBJECTIFS!$B$13,OBJECTIFS!$H$15="dmt"),AND($D37=OBJECTIFS!$B$20,OBJECTIFS!$H$22="dmt"),AND($D37=OBJECTIFS!$B$27,OBJECTIFS!$H$29="dmt"),AND($D37=OBJECTIFS!$B$34,OBJECTIFS!$H$36="dmt"),AND($D37=OBJECTIFS!$B$6,OBJECTIFS!$H$8="taux de chute"),AND($D37=OBJECTIFS!$B$13,OBJECTIFS!$H$15="taux de chute"),AND($D37=OBJECTIFS!$B$20,OBJECTIFS!$H$22="taux de chute"),AND($D37=OBJECTIFS!$B$27,OBJECTIFS!$H$29="taux de chute"),AND($D37=OBJECTIFS!$B$34,OBJECTIFS!$H$36="taux de chute")),IFERROR(W37/V37,""),IFERROR(V37/W37,""))</f>
        <v/>
      </c>
      <c r="Y37" s="91">
        <f>IFERROR(IF(OR(V37="",W37="",X37=""),0,IF(X37&lt;OBJECTIFS!$E$56,0,IF(X37&lt;OBJECTIFS!$G$56,Y$8*OBJECTIFS!$F$60,IF(X37&lt;OBJECTIFS!$I$56,Y$8*OBJECTIFS!$H$60,Y$8)))),0)</f>
        <v>0</v>
      </c>
      <c r="Z37" s="167"/>
      <c r="AA37" s="90" t="str">
        <f>IF(OR($A37="",$D37="",Z37=""),"",SUMIFS(OBJECTIFS!I$9:I$39,OBJECTIFS!$A$9:$A$39,$D37,OBJECTIFS!$C$9:$C$39,$F37))</f>
        <v/>
      </c>
      <c r="AB37" s="90" t="str">
        <f>IF(OR(AND($D37=OBJECTIFS!$B$6,OBJECTIFS!I$8="dmt"),AND($D37=OBJECTIFS!$B$13,OBJECTIFS!$I$15="dmt"),AND($D37=OBJECTIFS!$B$20,OBJECTIFS!$I$22="dmt"),AND($D37=OBJECTIFS!$B$27,OBJECTIFS!$I$29="dmt"),AND($D37=OBJECTIFS!$B$34,OBJECTIFS!$I$36="dmt"),AND($D37=OBJECTIFS!$B$6,OBJECTIFS!$I$8="taux de chute"),AND($D37=OBJECTIFS!$B$13,OBJECTIFS!$I$15="taux de chute"),AND($D37=OBJECTIFS!$B$20,OBJECTIFS!$I$22="taux de chute"),AND($D37=OBJECTIFS!$B$27,OBJECTIFS!$I$29="taux de chute"),AND($D37=OBJECTIFS!$B$34,OBJECTIFS!$I$36="taux de chute")),IFERROR(AA37/Z37,""),IFERROR(Z37/AA37,""))</f>
        <v/>
      </c>
      <c r="AC37" s="95">
        <f>IFERROR(IF(OR(Z37="",AA37="",AB37=""),0,IF(AB37&lt;OBJECTIFS!$E$56,0,IF(AB37&lt;OBJECTIFS!$G$56,AC$8*OBJECTIFS!$F$60,IF(AB37&lt;OBJECTIFS!$I$56,AC$8*OBJECTIFS!$H$60,AC$8)))),0)</f>
        <v>0</v>
      </c>
      <c r="AD37" s="186"/>
      <c r="AE37" s="187"/>
      <c r="AF37" s="96">
        <f t="shared" ca="1" si="11"/>
        <v>0</v>
      </c>
      <c r="AG37" s="63"/>
      <c r="AH37" s="186"/>
      <c r="AI37" s="24"/>
      <c r="AJ37" s="24"/>
      <c r="AK37" s="24"/>
      <c r="AL37" s="24"/>
      <c r="AM37" s="79">
        <f t="shared" si="12"/>
        <v>0</v>
      </c>
      <c r="AN37" s="79">
        <v>22</v>
      </c>
      <c r="AO37" s="80">
        <f t="shared" si="13"/>
        <v>0</v>
      </c>
      <c r="AP37" s="81" t="str">
        <f t="shared" ca="1" si="14"/>
        <v/>
      </c>
      <c r="AQ37" s="82"/>
      <c r="AR37" s="97">
        <f>IFERROR(VLOOKUP(B37,OBJECTIFS!$C$76:$E$137,2,FALSE),0)</f>
        <v>0</v>
      </c>
      <c r="AS37" s="98">
        <f>IFERROR(VLOOKUP(B37,OBJECTIFS!$H$76:$J$137,2,FALSE),0)</f>
        <v>0</v>
      </c>
      <c r="AT37" s="98">
        <f>IFERROR(VLOOKUP(B37,OBJECTIFS!$C$142:$E$203,2,FALSE),0)</f>
        <v>0</v>
      </c>
      <c r="AU37" s="98">
        <f>IFERROR(VLOOKUP(B37,OBJECTIFS!$H$142:$J$203,2,FALSE),0)</f>
        <v>0</v>
      </c>
      <c r="AV37" s="98">
        <f>IFERROR(VLOOKUP(B37,OBJECTIFS!$F$208:$H$269,3,FALSE),0)</f>
        <v>0</v>
      </c>
      <c r="AW37" s="81">
        <f t="shared" si="15"/>
        <v>0</v>
      </c>
      <c r="AX37" s="82"/>
      <c r="AY37" s="99" t="str">
        <f t="shared" ca="1" si="16"/>
        <v/>
      </c>
      <c r="AZ37" s="63"/>
      <c r="BA37" s="100">
        <f t="shared" ca="1" si="17"/>
        <v>0</v>
      </c>
      <c r="BB37" s="64" t="str">
        <f t="shared" ca="1" si="18"/>
        <v/>
      </c>
      <c r="BC37" s="101" t="str">
        <f t="shared" ca="1" si="19"/>
        <v/>
      </c>
    </row>
    <row r="38" spans="1:55" x14ac:dyDescent="0.2">
      <c r="A38" s="21"/>
      <c r="B38" s="22"/>
      <c r="C38" s="22"/>
      <c r="D38" s="23"/>
      <c r="E38" s="24"/>
      <c r="F38" s="34"/>
      <c r="H38" s="89" t="str">
        <f>IF(OR(D38="",F38="",A38=""),"",IF(E38="oui",0,IF(D38=OBJECTIFS!$C$45,VLOOKUP(F38,OBJECTIFS!$C$9:$D$11,2,FALSE),IF(D38=OBJECTIFS!$C$46,VLOOKUP(F38,OBJECTIFS!$C$16:$D$18,2,FALSE),IF(D38=OBJECTIFS!$C$47,VLOOKUP(F38,OBJECTIFS!$C$23:$D$25,2,FALSE),IF(D38=OBJECTIFS!$C$48,VLOOKUP(F38,OBJECTIFS!$C$30:$D$32,2,FALSE),IF(D38=OBJECTIFS!$C$49,VLOOKUP(F38,OBJECTIFS!$C$37:$D$39,2,FALSE))))))))</f>
        <v/>
      </c>
      <c r="J38" s="25"/>
      <c r="K38" s="90" t="str">
        <f>IF(OR($A38="",$D38="",J38=""),"",SUMIFS(OBJECTIFS!E$9:E$39,OBJECTIFS!$A$9:$A$39,$D38,OBJECTIFS!$C$9:$C$39,$F38))</f>
        <v/>
      </c>
      <c r="L38" s="90" t="str">
        <f>IF(OR(AND($D38=OBJECTIFS!$B$6,OBJECTIFS!E$8="dmt"),AND($D38=OBJECTIFS!$B$13,OBJECTIFS!$E$15="dmt"),AND($D38=OBJECTIFS!$B$20,OBJECTIFS!$E$22="dmt"),AND($D38=OBJECTIFS!$B$27,OBJECTIFS!$E$29="dmt"),AND($D38=OBJECTIFS!$B$34,OBJECTIFS!$E$36="dmt"),AND($D38=OBJECTIFS!$B$6,OBJECTIFS!$E$8="taux de chute"),AND($D38=OBJECTIFS!$B$13,OBJECTIFS!$E$15="taux de chute"),AND($D38=OBJECTIFS!$B$20,OBJECTIFS!$E$22="taux de chute"),AND($D38=OBJECTIFS!$B$27,OBJECTIFS!$E$29="taux de chute"),AND($D38=OBJECTIFS!$B$34,OBJECTIFS!$E$36="taux de chute")),IFERROR(K38/J38,""),IFERROR(J38/K38,""))</f>
        <v/>
      </c>
      <c r="M38" s="91">
        <f>IFERROR(IF(OR(J38="",K38="",L38=""),0,IF(L38&lt;OBJECTIFS!$E$56,0,IF(L38&lt;OBJECTIFS!$G$56,M$8*OBJECTIFS!$F$60,IF(L38&lt;OBJECTIFS!$I$56,M$8*OBJECTIFS!$H$60,M$8)))),0)</f>
        <v>0</v>
      </c>
      <c r="N38" s="161"/>
      <c r="O38" s="92" t="str">
        <f>IF(OR($A38="",$D38="",N38=""),"",SUMIFS(OBJECTIFS!F$9:F$39,OBJECTIFS!$A$9:$A$39,$D38,OBJECTIFS!$C$9:$C$39,$F38))</f>
        <v/>
      </c>
      <c r="P38" s="90" t="str">
        <f>IF(OR(AND($D38=OBJECTIFS!$B$6,OBJECTIFS!$F$8="dmt"),AND($D38=OBJECTIFS!$B$13,OBJECTIFS!$F$15="dmt"),AND($D38=OBJECTIFS!$B$20,OBJECTIFS!$F$22="dmt"),AND($D38=OBJECTIFS!$B$27,OBJECTIFS!$F$29="dmt"),AND($D38=OBJECTIFS!$B$34,OBJECTIFS!$F$36="dmt"),AND($D38=OBJECTIFS!$B$6,OBJECTIFS!$F$8="taux de chute"),AND($D38=OBJECTIFS!$B$13,OBJECTIFS!$F$15="taux de chute"),AND($D38=OBJECTIFS!$B$20,OBJECTIFS!$F$22="taux de chute"),AND($D38=OBJECTIFS!$B$27,OBJECTIFS!$F$29="taux de chute"),AND($D38=OBJECTIFS!$B$34,OBJECTIFS!$F$36="taux de chute")),IFERROR(O38/N38,""),IFERROR(N38/O38,""))</f>
        <v/>
      </c>
      <c r="Q38" s="91">
        <f>IFERROR(IF(OR(N38="",O38="",P38=""),0,IF(P38&lt;OBJECTIFS!$E$56,0,IF(P38&lt;OBJECTIFS!$G$56,Q$8*OBJECTIFS!$F$60,IF(P38&lt;OBJECTIFS!$I$56,Q$8*OBJECTIFS!$H$60,Q$8)))),0)</f>
        <v>0</v>
      </c>
      <c r="R38" s="164"/>
      <c r="S38" s="93" t="str">
        <f>IF(OR($A38="",$D38="",R38=""),"",SUMIFS(OBJECTIFS!G$9:G$39,OBJECTIFS!$A$9:$A$39,$D38,OBJECTIFS!$C$9:$C$39,$F38))</f>
        <v/>
      </c>
      <c r="T38" s="90" t="str">
        <f>IF(OR(AND($D38=OBJECTIFS!$B$6,OBJECTIFS!G$8="dmt"),AND($D38=OBJECTIFS!$B$13,OBJECTIFS!$G$15="dmt"),AND($D38=OBJECTIFS!$B$20,OBJECTIFS!$G$22="dmt"),AND($D38=OBJECTIFS!$B$27,OBJECTIFS!$G$29="dmt"),AND($D38=OBJECTIFS!$B$34,OBJECTIFS!$G$36="dmt"),AND($D38=OBJECTIFS!$B$6,OBJECTIFS!$G$8="taux de chute"),AND($D38=OBJECTIFS!$B$13,OBJECTIFS!$G$15="taux de chute"),AND($D38=OBJECTIFS!$B$20,OBJECTIFS!$G$22="taux de chute"),AND($D38=OBJECTIFS!$B$27,OBJECTIFS!$G$29="taux de chute"),AND($D38=OBJECTIFS!$B$34,OBJECTIFS!$G$36="taux de chute")),IFERROR(S38/R38,""),IFERROR(R38/S38,""))</f>
        <v/>
      </c>
      <c r="U38" s="94">
        <f>IFERROR(IF(OR(R38="",S38="",T38=""),0,IF(T38&lt;OBJECTIFS!$E$56,0,IF(T38&lt;OBJECTIFS!$G$56,U$8*OBJECTIFS!$F$60,IF(T38&lt;OBJECTIFS!$I$56,U$8*OBJECTIFS!$H$60,U$8)))),0)</f>
        <v>0</v>
      </c>
      <c r="V38" s="25"/>
      <c r="W38" s="90" t="str">
        <f>IF(OR($A38="",$D38="",V38=""),"",SUMIFS(OBJECTIFS!H$9:H$39,OBJECTIFS!$A$9:$A$39,$D38,OBJECTIFS!$C$9:$C$39,$F38))</f>
        <v/>
      </c>
      <c r="X38" s="90" t="str">
        <f>IF(OR(AND($D38=OBJECTIFS!$B$6,OBJECTIFS!H$8="dmt"),AND($D38=OBJECTIFS!$B$13,OBJECTIFS!$H$15="dmt"),AND($D38=OBJECTIFS!$B$20,OBJECTIFS!$H$22="dmt"),AND($D38=OBJECTIFS!$B$27,OBJECTIFS!$H$29="dmt"),AND($D38=OBJECTIFS!$B$34,OBJECTIFS!$H$36="dmt"),AND($D38=OBJECTIFS!$B$6,OBJECTIFS!$H$8="taux de chute"),AND($D38=OBJECTIFS!$B$13,OBJECTIFS!$H$15="taux de chute"),AND($D38=OBJECTIFS!$B$20,OBJECTIFS!$H$22="taux de chute"),AND($D38=OBJECTIFS!$B$27,OBJECTIFS!$H$29="taux de chute"),AND($D38=OBJECTIFS!$B$34,OBJECTIFS!$H$36="taux de chute")),IFERROR(W38/V38,""),IFERROR(V38/W38,""))</f>
        <v/>
      </c>
      <c r="Y38" s="91">
        <f>IFERROR(IF(OR(V38="",W38="",X38=""),0,IF(X38&lt;OBJECTIFS!$E$56,0,IF(X38&lt;OBJECTIFS!$G$56,Y$8*OBJECTIFS!$F$60,IF(X38&lt;OBJECTIFS!$I$56,Y$8*OBJECTIFS!$H$60,Y$8)))),0)</f>
        <v>0</v>
      </c>
      <c r="Z38" s="167"/>
      <c r="AA38" s="90" t="str">
        <f>IF(OR($A38="",$D38="",Z38=""),"",SUMIFS(OBJECTIFS!I$9:I$39,OBJECTIFS!$A$9:$A$39,$D38,OBJECTIFS!$C$9:$C$39,$F38))</f>
        <v/>
      </c>
      <c r="AB38" s="90" t="str">
        <f>IF(OR(AND($D38=OBJECTIFS!$B$6,OBJECTIFS!I$8="dmt"),AND($D38=OBJECTIFS!$B$13,OBJECTIFS!$I$15="dmt"),AND($D38=OBJECTIFS!$B$20,OBJECTIFS!$I$22="dmt"),AND($D38=OBJECTIFS!$B$27,OBJECTIFS!$I$29="dmt"),AND($D38=OBJECTIFS!$B$34,OBJECTIFS!$I$36="dmt"),AND($D38=OBJECTIFS!$B$6,OBJECTIFS!$I$8="taux de chute"),AND($D38=OBJECTIFS!$B$13,OBJECTIFS!$I$15="taux de chute"),AND($D38=OBJECTIFS!$B$20,OBJECTIFS!$I$22="taux de chute"),AND($D38=OBJECTIFS!$B$27,OBJECTIFS!$I$29="taux de chute"),AND($D38=OBJECTIFS!$B$34,OBJECTIFS!$I$36="taux de chute")),IFERROR(AA38/Z38,""),IFERROR(Z38/AA38,""))</f>
        <v/>
      </c>
      <c r="AC38" s="95">
        <f>IFERROR(IF(OR(Z38="",AA38="",AB38=""),0,IF(AB38&lt;OBJECTIFS!$E$56,0,IF(AB38&lt;OBJECTIFS!$G$56,AC$8*OBJECTIFS!$F$60,IF(AB38&lt;OBJECTIFS!$I$56,AC$8*OBJECTIFS!$H$60,AC$8)))),0)</f>
        <v>0</v>
      </c>
      <c r="AD38" s="186"/>
      <c r="AE38" s="187"/>
      <c r="AF38" s="96">
        <f t="shared" ca="1" si="11"/>
        <v>0</v>
      </c>
      <c r="AG38" s="63"/>
      <c r="AH38" s="186"/>
      <c r="AI38" s="24"/>
      <c r="AJ38" s="24"/>
      <c r="AK38" s="24"/>
      <c r="AL38" s="24"/>
      <c r="AM38" s="79">
        <f t="shared" si="12"/>
        <v>0</v>
      </c>
      <c r="AN38" s="79">
        <v>22</v>
      </c>
      <c r="AO38" s="80">
        <f t="shared" si="13"/>
        <v>0</v>
      </c>
      <c r="AP38" s="81" t="str">
        <f t="shared" ca="1" si="14"/>
        <v/>
      </c>
      <c r="AQ38" s="82"/>
      <c r="AR38" s="97">
        <f>IFERROR(VLOOKUP(B38,OBJECTIFS!$C$76:$E$137,2,FALSE),0)</f>
        <v>0</v>
      </c>
      <c r="AS38" s="98">
        <f>IFERROR(VLOOKUP(B38,OBJECTIFS!$H$76:$J$137,2,FALSE),0)</f>
        <v>0</v>
      </c>
      <c r="AT38" s="98">
        <f>IFERROR(VLOOKUP(B38,OBJECTIFS!$C$142:$E$203,2,FALSE),0)</f>
        <v>0</v>
      </c>
      <c r="AU38" s="98">
        <f>IFERROR(VLOOKUP(B38,OBJECTIFS!$H$142:$J$203,2,FALSE),0)</f>
        <v>0</v>
      </c>
      <c r="AV38" s="98">
        <f>IFERROR(VLOOKUP(B38,OBJECTIFS!$F$208:$H$269,3,FALSE),0)</f>
        <v>0</v>
      </c>
      <c r="AW38" s="81">
        <f t="shared" si="15"/>
        <v>0</v>
      </c>
      <c r="AX38" s="82"/>
      <c r="AY38" s="99" t="str">
        <f t="shared" ca="1" si="16"/>
        <v/>
      </c>
      <c r="AZ38" s="63"/>
      <c r="BA38" s="100">
        <f t="shared" ca="1" si="17"/>
        <v>0</v>
      </c>
      <c r="BB38" s="64" t="str">
        <f t="shared" ca="1" si="18"/>
        <v/>
      </c>
      <c r="BC38" s="101" t="str">
        <f t="shared" ca="1" si="19"/>
        <v/>
      </c>
    </row>
    <row r="39" spans="1:55" x14ac:dyDescent="0.2">
      <c r="A39" s="21"/>
      <c r="B39" s="22"/>
      <c r="C39" s="22"/>
      <c r="D39" s="23"/>
      <c r="E39" s="24"/>
      <c r="F39" s="34"/>
      <c r="H39" s="89" t="str">
        <f>IF(OR(D39="",F39="",A39=""),"",IF(E39="oui",0,IF(D39=OBJECTIFS!$C$45,VLOOKUP(F39,OBJECTIFS!$C$9:$D$11,2,FALSE),IF(D39=OBJECTIFS!$C$46,VLOOKUP(F39,OBJECTIFS!$C$16:$D$18,2,FALSE),IF(D39=OBJECTIFS!$C$47,VLOOKUP(F39,OBJECTIFS!$C$23:$D$25,2,FALSE),IF(D39=OBJECTIFS!$C$48,VLOOKUP(F39,OBJECTIFS!$C$30:$D$32,2,FALSE),IF(D39=OBJECTIFS!$C$49,VLOOKUP(F39,OBJECTIFS!$C$37:$D$39,2,FALSE))))))))</f>
        <v/>
      </c>
      <c r="J39" s="25"/>
      <c r="K39" s="90" t="str">
        <f>IF(OR($A39="",$D39="",J39=""),"",SUMIFS(OBJECTIFS!E$9:E$39,OBJECTIFS!$A$9:$A$39,$D39,OBJECTIFS!$C$9:$C$39,$F39))</f>
        <v/>
      </c>
      <c r="L39" s="90" t="str">
        <f>IF(OR(AND($D39=OBJECTIFS!$B$6,OBJECTIFS!E$8="dmt"),AND($D39=OBJECTIFS!$B$13,OBJECTIFS!$E$15="dmt"),AND($D39=OBJECTIFS!$B$20,OBJECTIFS!$E$22="dmt"),AND($D39=OBJECTIFS!$B$27,OBJECTIFS!$E$29="dmt"),AND($D39=OBJECTIFS!$B$34,OBJECTIFS!$E$36="dmt"),AND($D39=OBJECTIFS!$B$6,OBJECTIFS!$E$8="taux de chute"),AND($D39=OBJECTIFS!$B$13,OBJECTIFS!$E$15="taux de chute"),AND($D39=OBJECTIFS!$B$20,OBJECTIFS!$E$22="taux de chute"),AND($D39=OBJECTIFS!$B$27,OBJECTIFS!$E$29="taux de chute"),AND($D39=OBJECTIFS!$B$34,OBJECTIFS!$E$36="taux de chute")),IFERROR(K39/J39,""),IFERROR(J39/K39,""))</f>
        <v/>
      </c>
      <c r="M39" s="91">
        <f>IFERROR(IF(OR(J39="",K39="",L39=""),0,IF(L39&lt;OBJECTIFS!$E$56,0,IF(L39&lt;OBJECTIFS!$G$56,M$8*OBJECTIFS!$F$60,IF(L39&lt;OBJECTIFS!$I$56,M$8*OBJECTIFS!$H$60,M$8)))),0)</f>
        <v>0</v>
      </c>
      <c r="N39" s="161"/>
      <c r="O39" s="92" t="str">
        <f>IF(OR($A39="",$D39="",N39=""),"",SUMIFS(OBJECTIFS!F$9:F$39,OBJECTIFS!$A$9:$A$39,$D39,OBJECTIFS!$C$9:$C$39,$F39))</f>
        <v/>
      </c>
      <c r="P39" s="90" t="str">
        <f>IF(OR(AND($D39=OBJECTIFS!$B$6,OBJECTIFS!$F$8="dmt"),AND($D39=OBJECTIFS!$B$13,OBJECTIFS!$F$15="dmt"),AND($D39=OBJECTIFS!$B$20,OBJECTIFS!$F$22="dmt"),AND($D39=OBJECTIFS!$B$27,OBJECTIFS!$F$29="dmt"),AND($D39=OBJECTIFS!$B$34,OBJECTIFS!$F$36="dmt"),AND($D39=OBJECTIFS!$B$6,OBJECTIFS!$F$8="taux de chute"),AND($D39=OBJECTIFS!$B$13,OBJECTIFS!$F$15="taux de chute"),AND($D39=OBJECTIFS!$B$20,OBJECTIFS!$F$22="taux de chute"),AND($D39=OBJECTIFS!$B$27,OBJECTIFS!$F$29="taux de chute"),AND($D39=OBJECTIFS!$B$34,OBJECTIFS!$F$36="taux de chute")),IFERROR(O39/N39,""),IFERROR(N39/O39,""))</f>
        <v/>
      </c>
      <c r="Q39" s="91">
        <f>IFERROR(IF(OR(N39="",O39="",P39=""),0,IF(P39&lt;OBJECTIFS!$E$56,0,IF(P39&lt;OBJECTIFS!$G$56,Q$8*OBJECTIFS!$F$60,IF(P39&lt;OBJECTIFS!$I$56,Q$8*OBJECTIFS!$H$60,Q$8)))),0)</f>
        <v>0</v>
      </c>
      <c r="R39" s="164"/>
      <c r="S39" s="93" t="str">
        <f>IF(OR($A39="",$D39="",R39=""),"",SUMIFS(OBJECTIFS!G$9:G$39,OBJECTIFS!$A$9:$A$39,$D39,OBJECTIFS!$C$9:$C$39,$F39))</f>
        <v/>
      </c>
      <c r="T39" s="90" t="str">
        <f>IF(OR(AND($D39=OBJECTIFS!$B$6,OBJECTIFS!G$8="dmt"),AND($D39=OBJECTIFS!$B$13,OBJECTIFS!$G$15="dmt"),AND($D39=OBJECTIFS!$B$20,OBJECTIFS!$G$22="dmt"),AND($D39=OBJECTIFS!$B$27,OBJECTIFS!$G$29="dmt"),AND($D39=OBJECTIFS!$B$34,OBJECTIFS!$G$36="dmt"),AND($D39=OBJECTIFS!$B$6,OBJECTIFS!$G$8="taux de chute"),AND($D39=OBJECTIFS!$B$13,OBJECTIFS!$G$15="taux de chute"),AND($D39=OBJECTIFS!$B$20,OBJECTIFS!$G$22="taux de chute"),AND($D39=OBJECTIFS!$B$27,OBJECTIFS!$G$29="taux de chute"),AND($D39=OBJECTIFS!$B$34,OBJECTIFS!$G$36="taux de chute")),IFERROR(S39/R39,""),IFERROR(R39/S39,""))</f>
        <v/>
      </c>
      <c r="U39" s="94">
        <f>IFERROR(IF(OR(R39="",S39="",T39=""),0,IF(T39&lt;OBJECTIFS!$E$56,0,IF(T39&lt;OBJECTIFS!$G$56,U$8*OBJECTIFS!$F$60,IF(T39&lt;OBJECTIFS!$I$56,U$8*OBJECTIFS!$H$60,U$8)))),0)</f>
        <v>0</v>
      </c>
      <c r="V39" s="25"/>
      <c r="W39" s="90" t="str">
        <f>IF(OR($A39="",$D39="",V39=""),"",SUMIFS(OBJECTIFS!H$9:H$39,OBJECTIFS!$A$9:$A$39,$D39,OBJECTIFS!$C$9:$C$39,$F39))</f>
        <v/>
      </c>
      <c r="X39" s="90" t="str">
        <f>IF(OR(AND($D39=OBJECTIFS!$B$6,OBJECTIFS!H$8="dmt"),AND($D39=OBJECTIFS!$B$13,OBJECTIFS!$H$15="dmt"),AND($D39=OBJECTIFS!$B$20,OBJECTIFS!$H$22="dmt"),AND($D39=OBJECTIFS!$B$27,OBJECTIFS!$H$29="dmt"),AND($D39=OBJECTIFS!$B$34,OBJECTIFS!$H$36="dmt"),AND($D39=OBJECTIFS!$B$6,OBJECTIFS!$H$8="taux de chute"),AND($D39=OBJECTIFS!$B$13,OBJECTIFS!$H$15="taux de chute"),AND($D39=OBJECTIFS!$B$20,OBJECTIFS!$H$22="taux de chute"),AND($D39=OBJECTIFS!$B$27,OBJECTIFS!$H$29="taux de chute"),AND($D39=OBJECTIFS!$B$34,OBJECTIFS!$H$36="taux de chute")),IFERROR(W39/V39,""),IFERROR(V39/W39,""))</f>
        <v/>
      </c>
      <c r="Y39" s="91">
        <f>IFERROR(IF(OR(V39="",W39="",X39=""),0,IF(X39&lt;OBJECTIFS!$E$56,0,IF(X39&lt;OBJECTIFS!$G$56,Y$8*OBJECTIFS!$F$60,IF(X39&lt;OBJECTIFS!$I$56,Y$8*OBJECTIFS!$H$60,Y$8)))),0)</f>
        <v>0</v>
      </c>
      <c r="Z39" s="167"/>
      <c r="AA39" s="90" t="str">
        <f>IF(OR($A39="",$D39="",Z39=""),"",SUMIFS(OBJECTIFS!I$9:I$39,OBJECTIFS!$A$9:$A$39,$D39,OBJECTIFS!$C$9:$C$39,$F39))</f>
        <v/>
      </c>
      <c r="AB39" s="90" t="str">
        <f>IF(OR(AND($D39=OBJECTIFS!$B$6,OBJECTIFS!I$8="dmt"),AND($D39=OBJECTIFS!$B$13,OBJECTIFS!$I$15="dmt"),AND($D39=OBJECTIFS!$B$20,OBJECTIFS!$I$22="dmt"),AND($D39=OBJECTIFS!$B$27,OBJECTIFS!$I$29="dmt"),AND($D39=OBJECTIFS!$B$34,OBJECTIFS!$I$36="dmt"),AND($D39=OBJECTIFS!$B$6,OBJECTIFS!$I$8="taux de chute"),AND($D39=OBJECTIFS!$B$13,OBJECTIFS!$I$15="taux de chute"),AND($D39=OBJECTIFS!$B$20,OBJECTIFS!$I$22="taux de chute"),AND($D39=OBJECTIFS!$B$27,OBJECTIFS!$I$29="taux de chute"),AND($D39=OBJECTIFS!$B$34,OBJECTIFS!$I$36="taux de chute")),IFERROR(AA39/Z39,""),IFERROR(Z39/AA39,""))</f>
        <v/>
      </c>
      <c r="AC39" s="95">
        <f>IFERROR(IF(OR(Z39="",AA39="",AB39=""),0,IF(AB39&lt;OBJECTIFS!$E$56,0,IF(AB39&lt;OBJECTIFS!$G$56,AC$8*OBJECTIFS!$F$60,IF(AB39&lt;OBJECTIFS!$I$56,AC$8*OBJECTIFS!$H$60,AC$8)))),0)</f>
        <v>0</v>
      </c>
      <c r="AD39" s="186"/>
      <c r="AE39" s="187"/>
      <c r="AF39" s="96">
        <f t="shared" ca="1" si="11"/>
        <v>0</v>
      </c>
      <c r="AG39" s="63"/>
      <c r="AH39" s="186"/>
      <c r="AI39" s="24"/>
      <c r="AJ39" s="24"/>
      <c r="AK39" s="24"/>
      <c r="AL39" s="24"/>
      <c r="AM39" s="79">
        <f t="shared" si="12"/>
        <v>0</v>
      </c>
      <c r="AN39" s="79">
        <v>22</v>
      </c>
      <c r="AO39" s="80">
        <f t="shared" si="13"/>
        <v>0</v>
      </c>
      <c r="AP39" s="81" t="str">
        <f t="shared" ca="1" si="14"/>
        <v/>
      </c>
      <c r="AQ39" s="82"/>
      <c r="AR39" s="97">
        <f>IFERROR(VLOOKUP(B39,OBJECTIFS!$C$76:$E$137,2,FALSE),0)</f>
        <v>0</v>
      </c>
      <c r="AS39" s="98">
        <f>IFERROR(VLOOKUP(B39,OBJECTIFS!$H$76:$J$137,2,FALSE),0)</f>
        <v>0</v>
      </c>
      <c r="AT39" s="98">
        <f>IFERROR(VLOOKUP(B39,OBJECTIFS!$C$142:$E$203,2,FALSE),0)</f>
        <v>0</v>
      </c>
      <c r="AU39" s="98">
        <f>IFERROR(VLOOKUP(B39,OBJECTIFS!$H$142:$J$203,2,FALSE),0)</f>
        <v>0</v>
      </c>
      <c r="AV39" s="98">
        <f>IFERROR(VLOOKUP(B39,OBJECTIFS!$F$208:$H$269,3,FALSE),0)</f>
        <v>0</v>
      </c>
      <c r="AW39" s="81">
        <f t="shared" si="15"/>
        <v>0</v>
      </c>
      <c r="AX39" s="82"/>
      <c r="AY39" s="99" t="str">
        <f t="shared" ca="1" si="16"/>
        <v/>
      </c>
      <c r="AZ39" s="63"/>
      <c r="BA39" s="100">
        <f t="shared" ca="1" si="17"/>
        <v>0</v>
      </c>
      <c r="BB39" s="64" t="str">
        <f t="shared" ca="1" si="18"/>
        <v/>
      </c>
      <c r="BC39" s="101" t="str">
        <f t="shared" ca="1" si="19"/>
        <v/>
      </c>
    </row>
    <row r="40" spans="1:55" x14ac:dyDescent="0.2">
      <c r="A40" s="21"/>
      <c r="B40" s="22"/>
      <c r="C40" s="22"/>
      <c r="D40" s="23"/>
      <c r="E40" s="24"/>
      <c r="F40" s="34"/>
      <c r="H40" s="89" t="str">
        <f>IF(OR(D40="",F40="",A40=""),"",IF(E40="oui",0,IF(D40=OBJECTIFS!$C$45,VLOOKUP(F40,OBJECTIFS!$C$9:$D$11,2,FALSE),IF(D40=OBJECTIFS!$C$46,VLOOKUP(F40,OBJECTIFS!$C$16:$D$18,2,FALSE),IF(D40=OBJECTIFS!$C$47,VLOOKUP(F40,OBJECTIFS!$C$23:$D$25,2,FALSE),IF(D40=OBJECTIFS!$C$48,VLOOKUP(F40,OBJECTIFS!$C$30:$D$32,2,FALSE),IF(D40=OBJECTIFS!$C$49,VLOOKUP(F40,OBJECTIFS!$C$37:$D$39,2,FALSE))))))))</f>
        <v/>
      </c>
      <c r="J40" s="25"/>
      <c r="K40" s="90" t="str">
        <f>IF(OR($A40="",$D40="",J40=""),"",SUMIFS(OBJECTIFS!E$9:E$39,OBJECTIFS!$A$9:$A$39,$D40,OBJECTIFS!$C$9:$C$39,$F40))</f>
        <v/>
      </c>
      <c r="L40" s="90" t="str">
        <f>IF(OR(AND($D40=OBJECTIFS!$B$6,OBJECTIFS!E$8="dmt"),AND($D40=OBJECTIFS!$B$13,OBJECTIFS!$E$15="dmt"),AND($D40=OBJECTIFS!$B$20,OBJECTIFS!$E$22="dmt"),AND($D40=OBJECTIFS!$B$27,OBJECTIFS!$E$29="dmt"),AND($D40=OBJECTIFS!$B$34,OBJECTIFS!$E$36="dmt"),AND($D40=OBJECTIFS!$B$6,OBJECTIFS!$E$8="taux de chute"),AND($D40=OBJECTIFS!$B$13,OBJECTIFS!$E$15="taux de chute"),AND($D40=OBJECTIFS!$B$20,OBJECTIFS!$E$22="taux de chute"),AND($D40=OBJECTIFS!$B$27,OBJECTIFS!$E$29="taux de chute"),AND($D40=OBJECTIFS!$B$34,OBJECTIFS!$E$36="taux de chute")),IFERROR(K40/J40,""),IFERROR(J40/K40,""))</f>
        <v/>
      </c>
      <c r="M40" s="91">
        <f>IFERROR(IF(OR(J40="",K40="",L40=""),0,IF(L40&lt;OBJECTIFS!$E$56,0,IF(L40&lt;OBJECTIFS!$G$56,M$8*OBJECTIFS!$F$60,IF(L40&lt;OBJECTIFS!$I$56,M$8*OBJECTIFS!$H$60,M$8)))),0)</f>
        <v>0</v>
      </c>
      <c r="N40" s="161"/>
      <c r="O40" s="92" t="str">
        <f>IF(OR($A40="",$D40="",N40=""),"",SUMIFS(OBJECTIFS!F$9:F$39,OBJECTIFS!$A$9:$A$39,$D40,OBJECTIFS!$C$9:$C$39,$F40))</f>
        <v/>
      </c>
      <c r="P40" s="90" t="str">
        <f>IF(OR(AND($D40=OBJECTIFS!$B$6,OBJECTIFS!$F$8="dmt"),AND($D40=OBJECTIFS!$B$13,OBJECTIFS!$F$15="dmt"),AND($D40=OBJECTIFS!$B$20,OBJECTIFS!$F$22="dmt"),AND($D40=OBJECTIFS!$B$27,OBJECTIFS!$F$29="dmt"),AND($D40=OBJECTIFS!$B$34,OBJECTIFS!$F$36="dmt"),AND($D40=OBJECTIFS!$B$6,OBJECTIFS!$F$8="taux de chute"),AND($D40=OBJECTIFS!$B$13,OBJECTIFS!$F$15="taux de chute"),AND($D40=OBJECTIFS!$B$20,OBJECTIFS!$F$22="taux de chute"),AND($D40=OBJECTIFS!$B$27,OBJECTIFS!$F$29="taux de chute"),AND($D40=OBJECTIFS!$B$34,OBJECTIFS!$F$36="taux de chute")),IFERROR(O40/N40,""),IFERROR(N40/O40,""))</f>
        <v/>
      </c>
      <c r="Q40" s="91">
        <f>IFERROR(IF(OR(N40="",O40="",P40=""),0,IF(P40&lt;OBJECTIFS!$E$56,0,IF(P40&lt;OBJECTIFS!$G$56,Q$8*OBJECTIFS!$F$60,IF(P40&lt;OBJECTIFS!$I$56,Q$8*OBJECTIFS!$H$60,Q$8)))),0)</f>
        <v>0</v>
      </c>
      <c r="R40" s="164"/>
      <c r="S40" s="93" t="str">
        <f>IF(OR($A40="",$D40="",R40=""),"",SUMIFS(OBJECTIFS!G$9:G$39,OBJECTIFS!$A$9:$A$39,$D40,OBJECTIFS!$C$9:$C$39,$F40))</f>
        <v/>
      </c>
      <c r="T40" s="90" t="str">
        <f>IF(OR(AND($D40=OBJECTIFS!$B$6,OBJECTIFS!G$8="dmt"),AND($D40=OBJECTIFS!$B$13,OBJECTIFS!$G$15="dmt"),AND($D40=OBJECTIFS!$B$20,OBJECTIFS!$G$22="dmt"),AND($D40=OBJECTIFS!$B$27,OBJECTIFS!$G$29="dmt"),AND($D40=OBJECTIFS!$B$34,OBJECTIFS!$G$36="dmt"),AND($D40=OBJECTIFS!$B$6,OBJECTIFS!$G$8="taux de chute"),AND($D40=OBJECTIFS!$B$13,OBJECTIFS!$G$15="taux de chute"),AND($D40=OBJECTIFS!$B$20,OBJECTIFS!$G$22="taux de chute"),AND($D40=OBJECTIFS!$B$27,OBJECTIFS!$G$29="taux de chute"),AND($D40=OBJECTIFS!$B$34,OBJECTIFS!$G$36="taux de chute")),IFERROR(S40/R40,""),IFERROR(R40/S40,""))</f>
        <v/>
      </c>
      <c r="U40" s="94">
        <f>IFERROR(IF(OR(R40="",S40="",T40=""),0,IF(T40&lt;OBJECTIFS!$E$56,0,IF(T40&lt;OBJECTIFS!$G$56,U$8*OBJECTIFS!$F$60,IF(T40&lt;OBJECTIFS!$I$56,U$8*OBJECTIFS!$H$60,U$8)))),0)</f>
        <v>0</v>
      </c>
      <c r="V40" s="25"/>
      <c r="W40" s="90" t="str">
        <f>IF(OR($A40="",$D40="",V40=""),"",SUMIFS(OBJECTIFS!H$9:H$39,OBJECTIFS!$A$9:$A$39,$D40,OBJECTIFS!$C$9:$C$39,$F40))</f>
        <v/>
      </c>
      <c r="X40" s="90" t="str">
        <f>IF(OR(AND($D40=OBJECTIFS!$B$6,OBJECTIFS!H$8="dmt"),AND($D40=OBJECTIFS!$B$13,OBJECTIFS!$H$15="dmt"),AND($D40=OBJECTIFS!$B$20,OBJECTIFS!$H$22="dmt"),AND($D40=OBJECTIFS!$B$27,OBJECTIFS!$H$29="dmt"),AND($D40=OBJECTIFS!$B$34,OBJECTIFS!$H$36="dmt"),AND($D40=OBJECTIFS!$B$6,OBJECTIFS!$H$8="taux de chute"),AND($D40=OBJECTIFS!$B$13,OBJECTIFS!$H$15="taux de chute"),AND($D40=OBJECTIFS!$B$20,OBJECTIFS!$H$22="taux de chute"),AND($D40=OBJECTIFS!$B$27,OBJECTIFS!$H$29="taux de chute"),AND($D40=OBJECTIFS!$B$34,OBJECTIFS!$H$36="taux de chute")),IFERROR(W40/V40,""),IFERROR(V40/W40,""))</f>
        <v/>
      </c>
      <c r="Y40" s="91">
        <f>IFERROR(IF(OR(V40="",W40="",X40=""),0,IF(X40&lt;OBJECTIFS!$E$56,0,IF(X40&lt;OBJECTIFS!$G$56,Y$8*OBJECTIFS!$F$60,IF(X40&lt;OBJECTIFS!$I$56,Y$8*OBJECTIFS!$H$60,Y$8)))),0)</f>
        <v>0</v>
      </c>
      <c r="Z40" s="167"/>
      <c r="AA40" s="90" t="str">
        <f>IF(OR($A40="",$D40="",Z40=""),"",SUMIFS(OBJECTIFS!I$9:I$39,OBJECTIFS!$A$9:$A$39,$D40,OBJECTIFS!$C$9:$C$39,$F40))</f>
        <v/>
      </c>
      <c r="AB40" s="90" t="str">
        <f>IF(OR(AND($D40=OBJECTIFS!$B$6,OBJECTIFS!I$8="dmt"),AND($D40=OBJECTIFS!$B$13,OBJECTIFS!$I$15="dmt"),AND($D40=OBJECTIFS!$B$20,OBJECTIFS!$I$22="dmt"),AND($D40=OBJECTIFS!$B$27,OBJECTIFS!$I$29="dmt"),AND($D40=OBJECTIFS!$B$34,OBJECTIFS!$I$36="dmt"),AND($D40=OBJECTIFS!$B$6,OBJECTIFS!$I$8="taux de chute"),AND($D40=OBJECTIFS!$B$13,OBJECTIFS!$I$15="taux de chute"),AND($D40=OBJECTIFS!$B$20,OBJECTIFS!$I$22="taux de chute"),AND($D40=OBJECTIFS!$B$27,OBJECTIFS!$I$29="taux de chute"),AND($D40=OBJECTIFS!$B$34,OBJECTIFS!$I$36="taux de chute")),IFERROR(AA40/Z40,""),IFERROR(Z40/AA40,""))</f>
        <v/>
      </c>
      <c r="AC40" s="95">
        <f>IFERROR(IF(OR(Z40="",AA40="",AB40=""),0,IF(AB40&lt;OBJECTIFS!$E$56,0,IF(AB40&lt;OBJECTIFS!$G$56,AC$8*OBJECTIFS!$F$60,IF(AB40&lt;OBJECTIFS!$I$56,AC$8*OBJECTIFS!$H$60,AC$8)))),0)</f>
        <v>0</v>
      </c>
      <c r="AD40" s="186"/>
      <c r="AE40" s="187"/>
      <c r="AF40" s="96">
        <f t="shared" ca="1" si="11"/>
        <v>0</v>
      </c>
      <c r="AG40" s="63"/>
      <c r="AH40" s="186"/>
      <c r="AI40" s="24"/>
      <c r="AJ40" s="24"/>
      <c r="AK40" s="24"/>
      <c r="AL40" s="24"/>
      <c r="AM40" s="79">
        <f t="shared" si="12"/>
        <v>0</v>
      </c>
      <c r="AN40" s="79">
        <v>22</v>
      </c>
      <c r="AO40" s="80">
        <f t="shared" si="13"/>
        <v>0</v>
      </c>
      <c r="AP40" s="81" t="str">
        <f t="shared" ca="1" si="14"/>
        <v/>
      </c>
      <c r="AQ40" s="82"/>
      <c r="AR40" s="97">
        <f>IFERROR(VLOOKUP(B40,OBJECTIFS!$C$76:$E$137,2,FALSE),0)</f>
        <v>0</v>
      </c>
      <c r="AS40" s="98">
        <f>IFERROR(VLOOKUP(B40,OBJECTIFS!$H$76:$J$137,2,FALSE),0)</f>
        <v>0</v>
      </c>
      <c r="AT40" s="98">
        <f>IFERROR(VLOOKUP(B40,OBJECTIFS!$C$142:$E$203,2,FALSE),0)</f>
        <v>0</v>
      </c>
      <c r="AU40" s="98">
        <f>IFERROR(VLOOKUP(B40,OBJECTIFS!$H$142:$J$203,2,FALSE),0)</f>
        <v>0</v>
      </c>
      <c r="AV40" s="98">
        <f>IFERROR(VLOOKUP(B40,OBJECTIFS!$F$208:$H$269,3,FALSE),0)</f>
        <v>0</v>
      </c>
      <c r="AW40" s="81">
        <f t="shared" si="15"/>
        <v>0</v>
      </c>
      <c r="AX40" s="82"/>
      <c r="AY40" s="99" t="str">
        <f t="shared" ca="1" si="16"/>
        <v/>
      </c>
      <c r="AZ40" s="63"/>
      <c r="BA40" s="100">
        <f t="shared" ca="1" si="17"/>
        <v>0</v>
      </c>
      <c r="BB40" s="64" t="str">
        <f t="shared" ca="1" si="18"/>
        <v/>
      </c>
      <c r="BC40" s="101" t="str">
        <f t="shared" ca="1" si="19"/>
        <v/>
      </c>
    </row>
    <row r="41" spans="1:55" x14ac:dyDescent="0.2">
      <c r="A41" s="21"/>
      <c r="B41" s="22"/>
      <c r="C41" s="22"/>
      <c r="D41" s="23"/>
      <c r="E41" s="24"/>
      <c r="F41" s="34"/>
      <c r="H41" s="89" t="str">
        <f>IF(OR(D41="",F41="",A41=""),"",IF(E41="oui",0,IF(D41=OBJECTIFS!$C$45,VLOOKUP(F41,OBJECTIFS!$C$9:$D$11,2,FALSE),IF(D41=OBJECTIFS!$C$46,VLOOKUP(F41,OBJECTIFS!$C$16:$D$18,2,FALSE),IF(D41=OBJECTIFS!$C$47,VLOOKUP(F41,OBJECTIFS!$C$23:$D$25,2,FALSE),IF(D41=OBJECTIFS!$C$48,VLOOKUP(F41,OBJECTIFS!$C$30:$D$32,2,FALSE),IF(D41=OBJECTIFS!$C$49,VLOOKUP(F41,OBJECTIFS!$C$37:$D$39,2,FALSE))))))))</f>
        <v/>
      </c>
      <c r="J41" s="25"/>
      <c r="K41" s="90" t="str">
        <f>IF(OR($A41="",$D41="",J41=""),"",SUMIFS(OBJECTIFS!E$9:E$39,OBJECTIFS!$A$9:$A$39,$D41,OBJECTIFS!$C$9:$C$39,$F41))</f>
        <v/>
      </c>
      <c r="L41" s="90" t="str">
        <f>IF(OR(AND($D41=OBJECTIFS!$B$6,OBJECTIFS!E$8="dmt"),AND($D41=OBJECTIFS!$B$13,OBJECTIFS!$E$15="dmt"),AND($D41=OBJECTIFS!$B$20,OBJECTIFS!$E$22="dmt"),AND($D41=OBJECTIFS!$B$27,OBJECTIFS!$E$29="dmt"),AND($D41=OBJECTIFS!$B$34,OBJECTIFS!$E$36="dmt"),AND($D41=OBJECTIFS!$B$6,OBJECTIFS!$E$8="taux de chute"),AND($D41=OBJECTIFS!$B$13,OBJECTIFS!$E$15="taux de chute"),AND($D41=OBJECTIFS!$B$20,OBJECTIFS!$E$22="taux de chute"),AND($D41=OBJECTIFS!$B$27,OBJECTIFS!$E$29="taux de chute"),AND($D41=OBJECTIFS!$B$34,OBJECTIFS!$E$36="taux de chute")),IFERROR(K41/J41,""),IFERROR(J41/K41,""))</f>
        <v/>
      </c>
      <c r="M41" s="91">
        <f>IFERROR(IF(OR(J41="",K41="",L41=""),0,IF(L41&lt;OBJECTIFS!$E$56,0,IF(L41&lt;OBJECTIFS!$G$56,M$8*OBJECTIFS!$F$60,IF(L41&lt;OBJECTIFS!$I$56,M$8*OBJECTIFS!$H$60,M$8)))),0)</f>
        <v>0</v>
      </c>
      <c r="N41" s="161"/>
      <c r="O41" s="92" t="str">
        <f>IF(OR($A41="",$D41="",N41=""),"",SUMIFS(OBJECTIFS!F$9:F$39,OBJECTIFS!$A$9:$A$39,$D41,OBJECTIFS!$C$9:$C$39,$F41))</f>
        <v/>
      </c>
      <c r="P41" s="90" t="str">
        <f>IF(OR(AND($D41=OBJECTIFS!$B$6,OBJECTIFS!$F$8="dmt"),AND($D41=OBJECTIFS!$B$13,OBJECTIFS!$F$15="dmt"),AND($D41=OBJECTIFS!$B$20,OBJECTIFS!$F$22="dmt"),AND($D41=OBJECTIFS!$B$27,OBJECTIFS!$F$29="dmt"),AND($D41=OBJECTIFS!$B$34,OBJECTIFS!$F$36="dmt"),AND($D41=OBJECTIFS!$B$6,OBJECTIFS!$F$8="taux de chute"),AND($D41=OBJECTIFS!$B$13,OBJECTIFS!$F$15="taux de chute"),AND($D41=OBJECTIFS!$B$20,OBJECTIFS!$F$22="taux de chute"),AND($D41=OBJECTIFS!$B$27,OBJECTIFS!$F$29="taux de chute"),AND($D41=OBJECTIFS!$B$34,OBJECTIFS!$F$36="taux de chute")),IFERROR(O41/N41,""),IFERROR(N41/O41,""))</f>
        <v/>
      </c>
      <c r="Q41" s="91">
        <f>IFERROR(IF(OR(N41="",O41="",P41=""),0,IF(P41&lt;OBJECTIFS!$E$56,0,IF(P41&lt;OBJECTIFS!$G$56,Q$8*OBJECTIFS!$F$60,IF(P41&lt;OBJECTIFS!$I$56,Q$8*OBJECTIFS!$H$60,Q$8)))),0)</f>
        <v>0</v>
      </c>
      <c r="R41" s="164"/>
      <c r="S41" s="93" t="str">
        <f>IF(OR($A41="",$D41="",R41=""),"",SUMIFS(OBJECTIFS!G$9:G$39,OBJECTIFS!$A$9:$A$39,$D41,OBJECTIFS!$C$9:$C$39,$F41))</f>
        <v/>
      </c>
      <c r="T41" s="90" t="str">
        <f>IF(OR(AND($D41=OBJECTIFS!$B$6,OBJECTIFS!G$8="dmt"),AND($D41=OBJECTIFS!$B$13,OBJECTIFS!$G$15="dmt"),AND($D41=OBJECTIFS!$B$20,OBJECTIFS!$G$22="dmt"),AND($D41=OBJECTIFS!$B$27,OBJECTIFS!$G$29="dmt"),AND($D41=OBJECTIFS!$B$34,OBJECTIFS!$G$36="dmt"),AND($D41=OBJECTIFS!$B$6,OBJECTIFS!$G$8="taux de chute"),AND($D41=OBJECTIFS!$B$13,OBJECTIFS!$G$15="taux de chute"),AND($D41=OBJECTIFS!$B$20,OBJECTIFS!$G$22="taux de chute"),AND($D41=OBJECTIFS!$B$27,OBJECTIFS!$G$29="taux de chute"),AND($D41=OBJECTIFS!$B$34,OBJECTIFS!$G$36="taux de chute")),IFERROR(S41/R41,""),IFERROR(R41/S41,""))</f>
        <v/>
      </c>
      <c r="U41" s="94">
        <f>IFERROR(IF(OR(R41="",S41="",T41=""),0,IF(T41&lt;OBJECTIFS!$E$56,0,IF(T41&lt;OBJECTIFS!$G$56,U$8*OBJECTIFS!$F$60,IF(T41&lt;OBJECTIFS!$I$56,U$8*OBJECTIFS!$H$60,U$8)))),0)</f>
        <v>0</v>
      </c>
      <c r="V41" s="25"/>
      <c r="W41" s="90" t="str">
        <f>IF(OR($A41="",$D41="",V41=""),"",SUMIFS(OBJECTIFS!H$9:H$39,OBJECTIFS!$A$9:$A$39,$D41,OBJECTIFS!$C$9:$C$39,$F41))</f>
        <v/>
      </c>
      <c r="X41" s="90" t="str">
        <f>IF(OR(AND($D41=OBJECTIFS!$B$6,OBJECTIFS!H$8="dmt"),AND($D41=OBJECTIFS!$B$13,OBJECTIFS!$H$15="dmt"),AND($D41=OBJECTIFS!$B$20,OBJECTIFS!$H$22="dmt"),AND($D41=OBJECTIFS!$B$27,OBJECTIFS!$H$29="dmt"),AND($D41=OBJECTIFS!$B$34,OBJECTIFS!$H$36="dmt"),AND($D41=OBJECTIFS!$B$6,OBJECTIFS!$H$8="taux de chute"),AND($D41=OBJECTIFS!$B$13,OBJECTIFS!$H$15="taux de chute"),AND($D41=OBJECTIFS!$B$20,OBJECTIFS!$H$22="taux de chute"),AND($D41=OBJECTIFS!$B$27,OBJECTIFS!$H$29="taux de chute"),AND($D41=OBJECTIFS!$B$34,OBJECTIFS!$H$36="taux de chute")),IFERROR(W41/V41,""),IFERROR(V41/W41,""))</f>
        <v/>
      </c>
      <c r="Y41" s="91">
        <f>IFERROR(IF(OR(V41="",W41="",X41=""),0,IF(X41&lt;OBJECTIFS!$E$56,0,IF(X41&lt;OBJECTIFS!$G$56,Y$8*OBJECTIFS!$F$60,IF(X41&lt;OBJECTIFS!$I$56,Y$8*OBJECTIFS!$H$60,Y$8)))),0)</f>
        <v>0</v>
      </c>
      <c r="Z41" s="167"/>
      <c r="AA41" s="90" t="str">
        <f>IF(OR($A41="",$D41="",Z41=""),"",SUMIFS(OBJECTIFS!I$9:I$39,OBJECTIFS!$A$9:$A$39,$D41,OBJECTIFS!$C$9:$C$39,$F41))</f>
        <v/>
      </c>
      <c r="AB41" s="90" t="str">
        <f>IF(OR(AND($D41=OBJECTIFS!$B$6,OBJECTIFS!I$8="dmt"),AND($D41=OBJECTIFS!$B$13,OBJECTIFS!$I$15="dmt"),AND($D41=OBJECTIFS!$B$20,OBJECTIFS!$I$22="dmt"),AND($D41=OBJECTIFS!$B$27,OBJECTIFS!$I$29="dmt"),AND($D41=OBJECTIFS!$B$34,OBJECTIFS!$I$36="dmt"),AND($D41=OBJECTIFS!$B$6,OBJECTIFS!$I$8="taux de chute"),AND($D41=OBJECTIFS!$B$13,OBJECTIFS!$I$15="taux de chute"),AND($D41=OBJECTIFS!$B$20,OBJECTIFS!$I$22="taux de chute"),AND($D41=OBJECTIFS!$B$27,OBJECTIFS!$I$29="taux de chute"),AND($D41=OBJECTIFS!$B$34,OBJECTIFS!$I$36="taux de chute")),IFERROR(AA41/Z41,""),IFERROR(Z41/AA41,""))</f>
        <v/>
      </c>
      <c r="AC41" s="95">
        <f>IFERROR(IF(OR(Z41="",AA41="",AB41=""),0,IF(AB41&lt;OBJECTIFS!$E$56,0,IF(AB41&lt;OBJECTIFS!$G$56,AC$8*OBJECTIFS!$F$60,IF(AB41&lt;OBJECTIFS!$I$56,AC$8*OBJECTIFS!$H$60,AC$8)))),0)</f>
        <v>0</v>
      </c>
      <c r="AD41" s="186"/>
      <c r="AE41" s="187"/>
      <c r="AF41" s="96">
        <f t="shared" ca="1" si="11"/>
        <v>0</v>
      </c>
      <c r="AG41" s="63"/>
      <c r="AH41" s="186"/>
      <c r="AI41" s="24"/>
      <c r="AJ41" s="24"/>
      <c r="AK41" s="24"/>
      <c r="AL41" s="24"/>
      <c r="AM41" s="79">
        <f t="shared" si="12"/>
        <v>0</v>
      </c>
      <c r="AN41" s="79">
        <v>22</v>
      </c>
      <c r="AO41" s="80">
        <f t="shared" si="13"/>
        <v>0</v>
      </c>
      <c r="AP41" s="81" t="str">
        <f t="shared" ca="1" si="14"/>
        <v/>
      </c>
      <c r="AQ41" s="82"/>
      <c r="AR41" s="97">
        <f>IFERROR(VLOOKUP(B41,OBJECTIFS!$C$76:$E$137,2,FALSE),0)</f>
        <v>0</v>
      </c>
      <c r="AS41" s="98">
        <f>IFERROR(VLOOKUP(B41,OBJECTIFS!$H$76:$J$137,2,FALSE),0)</f>
        <v>0</v>
      </c>
      <c r="AT41" s="98">
        <f>IFERROR(VLOOKUP(B41,OBJECTIFS!$C$142:$E$203,2,FALSE),0)</f>
        <v>0</v>
      </c>
      <c r="AU41" s="98">
        <f>IFERROR(VLOOKUP(B41,OBJECTIFS!$H$142:$J$203,2,FALSE),0)</f>
        <v>0</v>
      </c>
      <c r="AV41" s="98">
        <f>IFERROR(VLOOKUP(B41,OBJECTIFS!$F$208:$H$269,3,FALSE),0)</f>
        <v>0</v>
      </c>
      <c r="AW41" s="81">
        <f t="shared" si="15"/>
        <v>0</v>
      </c>
      <c r="AX41" s="82"/>
      <c r="AY41" s="99" t="str">
        <f t="shared" ca="1" si="16"/>
        <v/>
      </c>
      <c r="AZ41" s="63"/>
      <c r="BA41" s="100">
        <f t="shared" ca="1" si="17"/>
        <v>0</v>
      </c>
      <c r="BB41" s="64" t="str">
        <f t="shared" ca="1" si="18"/>
        <v/>
      </c>
      <c r="BC41" s="101" t="str">
        <f t="shared" ca="1" si="19"/>
        <v/>
      </c>
    </row>
    <row r="42" spans="1:55" x14ac:dyDescent="0.2">
      <c r="A42" s="21"/>
      <c r="B42" s="22"/>
      <c r="C42" s="22"/>
      <c r="D42" s="23"/>
      <c r="E42" s="24"/>
      <c r="F42" s="34"/>
      <c r="H42" s="89" t="str">
        <f>IF(OR(D42="",F42="",A42=""),"",IF(E42="oui",0,IF(D42=OBJECTIFS!$C$45,VLOOKUP(F42,OBJECTIFS!$C$9:$D$11,2,FALSE),IF(D42=OBJECTIFS!$C$46,VLOOKUP(F42,OBJECTIFS!$C$16:$D$18,2,FALSE),IF(D42=OBJECTIFS!$C$47,VLOOKUP(F42,OBJECTIFS!$C$23:$D$25,2,FALSE),IF(D42=OBJECTIFS!$C$48,VLOOKUP(F42,OBJECTIFS!$C$30:$D$32,2,FALSE),IF(D42=OBJECTIFS!$C$49,VLOOKUP(F42,OBJECTIFS!$C$37:$D$39,2,FALSE))))))))</f>
        <v/>
      </c>
      <c r="J42" s="25"/>
      <c r="K42" s="90" t="str">
        <f>IF(OR($A42="",$D42="",J42=""),"",SUMIFS(OBJECTIFS!E$9:E$39,OBJECTIFS!$A$9:$A$39,$D42,OBJECTIFS!$C$9:$C$39,$F42))</f>
        <v/>
      </c>
      <c r="L42" s="90" t="str">
        <f>IF(OR(AND($D42=OBJECTIFS!$B$6,OBJECTIFS!E$8="dmt"),AND($D42=OBJECTIFS!$B$13,OBJECTIFS!$E$15="dmt"),AND($D42=OBJECTIFS!$B$20,OBJECTIFS!$E$22="dmt"),AND($D42=OBJECTIFS!$B$27,OBJECTIFS!$E$29="dmt"),AND($D42=OBJECTIFS!$B$34,OBJECTIFS!$E$36="dmt"),AND($D42=OBJECTIFS!$B$6,OBJECTIFS!$E$8="taux de chute"),AND($D42=OBJECTIFS!$B$13,OBJECTIFS!$E$15="taux de chute"),AND($D42=OBJECTIFS!$B$20,OBJECTIFS!$E$22="taux de chute"),AND($D42=OBJECTIFS!$B$27,OBJECTIFS!$E$29="taux de chute"),AND($D42=OBJECTIFS!$B$34,OBJECTIFS!$E$36="taux de chute")),IFERROR(K42/J42,""),IFERROR(J42/K42,""))</f>
        <v/>
      </c>
      <c r="M42" s="91">
        <f>IFERROR(IF(OR(J42="",K42="",L42=""),0,IF(L42&lt;OBJECTIFS!$E$56,0,IF(L42&lt;OBJECTIFS!$G$56,M$8*OBJECTIFS!$F$60,IF(L42&lt;OBJECTIFS!$I$56,M$8*OBJECTIFS!$H$60,M$8)))),0)</f>
        <v>0</v>
      </c>
      <c r="N42" s="161"/>
      <c r="O42" s="92" t="str">
        <f>IF(OR($A42="",$D42="",N42=""),"",SUMIFS(OBJECTIFS!F$9:F$39,OBJECTIFS!$A$9:$A$39,$D42,OBJECTIFS!$C$9:$C$39,$F42))</f>
        <v/>
      </c>
      <c r="P42" s="90" t="str">
        <f>IF(OR(AND($D42=OBJECTIFS!$B$6,OBJECTIFS!$F$8="dmt"),AND($D42=OBJECTIFS!$B$13,OBJECTIFS!$F$15="dmt"),AND($D42=OBJECTIFS!$B$20,OBJECTIFS!$F$22="dmt"),AND($D42=OBJECTIFS!$B$27,OBJECTIFS!$F$29="dmt"),AND($D42=OBJECTIFS!$B$34,OBJECTIFS!$F$36="dmt"),AND($D42=OBJECTIFS!$B$6,OBJECTIFS!$F$8="taux de chute"),AND($D42=OBJECTIFS!$B$13,OBJECTIFS!$F$15="taux de chute"),AND($D42=OBJECTIFS!$B$20,OBJECTIFS!$F$22="taux de chute"),AND($D42=OBJECTIFS!$B$27,OBJECTIFS!$F$29="taux de chute"),AND($D42=OBJECTIFS!$B$34,OBJECTIFS!$F$36="taux de chute")),IFERROR(O42/N42,""),IFERROR(N42/O42,""))</f>
        <v/>
      </c>
      <c r="Q42" s="91">
        <f>IFERROR(IF(OR(N42="",O42="",P42=""),0,IF(P42&lt;OBJECTIFS!$E$56,0,IF(P42&lt;OBJECTIFS!$G$56,Q$8*OBJECTIFS!$F$60,IF(P42&lt;OBJECTIFS!$I$56,Q$8*OBJECTIFS!$H$60,Q$8)))),0)</f>
        <v>0</v>
      </c>
      <c r="R42" s="164"/>
      <c r="S42" s="93" t="str">
        <f>IF(OR($A42="",$D42="",R42=""),"",SUMIFS(OBJECTIFS!G$9:G$39,OBJECTIFS!$A$9:$A$39,$D42,OBJECTIFS!$C$9:$C$39,$F42))</f>
        <v/>
      </c>
      <c r="T42" s="90" t="str">
        <f>IF(OR(AND($D42=OBJECTIFS!$B$6,OBJECTIFS!G$8="dmt"),AND($D42=OBJECTIFS!$B$13,OBJECTIFS!$G$15="dmt"),AND($D42=OBJECTIFS!$B$20,OBJECTIFS!$G$22="dmt"),AND($D42=OBJECTIFS!$B$27,OBJECTIFS!$G$29="dmt"),AND($D42=OBJECTIFS!$B$34,OBJECTIFS!$G$36="dmt"),AND($D42=OBJECTIFS!$B$6,OBJECTIFS!$G$8="taux de chute"),AND($D42=OBJECTIFS!$B$13,OBJECTIFS!$G$15="taux de chute"),AND($D42=OBJECTIFS!$B$20,OBJECTIFS!$G$22="taux de chute"),AND($D42=OBJECTIFS!$B$27,OBJECTIFS!$G$29="taux de chute"),AND($D42=OBJECTIFS!$B$34,OBJECTIFS!$G$36="taux de chute")),IFERROR(S42/R42,""),IFERROR(R42/S42,""))</f>
        <v/>
      </c>
      <c r="U42" s="94">
        <f>IFERROR(IF(OR(R42="",S42="",T42=""),0,IF(T42&lt;OBJECTIFS!$E$56,0,IF(T42&lt;OBJECTIFS!$G$56,U$8*OBJECTIFS!$F$60,IF(T42&lt;OBJECTIFS!$I$56,U$8*OBJECTIFS!$H$60,U$8)))),0)</f>
        <v>0</v>
      </c>
      <c r="V42" s="25"/>
      <c r="W42" s="90" t="str">
        <f>IF(OR($A42="",$D42="",V42=""),"",SUMIFS(OBJECTIFS!H$9:H$39,OBJECTIFS!$A$9:$A$39,$D42,OBJECTIFS!$C$9:$C$39,$F42))</f>
        <v/>
      </c>
      <c r="X42" s="90" t="str">
        <f>IF(OR(AND($D42=OBJECTIFS!$B$6,OBJECTIFS!H$8="dmt"),AND($D42=OBJECTIFS!$B$13,OBJECTIFS!$H$15="dmt"),AND($D42=OBJECTIFS!$B$20,OBJECTIFS!$H$22="dmt"),AND($D42=OBJECTIFS!$B$27,OBJECTIFS!$H$29="dmt"),AND($D42=OBJECTIFS!$B$34,OBJECTIFS!$H$36="dmt"),AND($D42=OBJECTIFS!$B$6,OBJECTIFS!$H$8="taux de chute"),AND($D42=OBJECTIFS!$B$13,OBJECTIFS!$H$15="taux de chute"),AND($D42=OBJECTIFS!$B$20,OBJECTIFS!$H$22="taux de chute"),AND($D42=OBJECTIFS!$B$27,OBJECTIFS!$H$29="taux de chute"),AND($D42=OBJECTIFS!$B$34,OBJECTIFS!$H$36="taux de chute")),IFERROR(W42/V42,""),IFERROR(V42/W42,""))</f>
        <v/>
      </c>
      <c r="Y42" s="91">
        <f>IFERROR(IF(OR(V42="",W42="",X42=""),0,IF(X42&lt;OBJECTIFS!$E$56,0,IF(X42&lt;OBJECTIFS!$G$56,Y$8*OBJECTIFS!$F$60,IF(X42&lt;OBJECTIFS!$I$56,Y$8*OBJECTIFS!$H$60,Y$8)))),0)</f>
        <v>0</v>
      </c>
      <c r="Z42" s="167"/>
      <c r="AA42" s="90" t="str">
        <f>IF(OR($A42="",$D42="",Z42=""),"",SUMIFS(OBJECTIFS!I$9:I$39,OBJECTIFS!$A$9:$A$39,$D42,OBJECTIFS!$C$9:$C$39,$F42))</f>
        <v/>
      </c>
      <c r="AB42" s="90" t="str">
        <f>IF(OR(AND($D42=OBJECTIFS!$B$6,OBJECTIFS!I$8="dmt"),AND($D42=OBJECTIFS!$B$13,OBJECTIFS!$I$15="dmt"),AND($D42=OBJECTIFS!$B$20,OBJECTIFS!$I$22="dmt"),AND($D42=OBJECTIFS!$B$27,OBJECTIFS!$I$29="dmt"),AND($D42=OBJECTIFS!$B$34,OBJECTIFS!$I$36="dmt"),AND($D42=OBJECTIFS!$B$6,OBJECTIFS!$I$8="taux de chute"),AND($D42=OBJECTIFS!$B$13,OBJECTIFS!$I$15="taux de chute"),AND($D42=OBJECTIFS!$B$20,OBJECTIFS!$I$22="taux de chute"),AND($D42=OBJECTIFS!$B$27,OBJECTIFS!$I$29="taux de chute"),AND($D42=OBJECTIFS!$B$34,OBJECTIFS!$I$36="taux de chute")),IFERROR(AA42/Z42,""),IFERROR(Z42/AA42,""))</f>
        <v/>
      </c>
      <c r="AC42" s="95">
        <f>IFERROR(IF(OR(Z42="",AA42="",AB42=""),0,IF(AB42&lt;OBJECTIFS!$E$56,0,IF(AB42&lt;OBJECTIFS!$G$56,AC$8*OBJECTIFS!$F$60,IF(AB42&lt;OBJECTIFS!$I$56,AC$8*OBJECTIFS!$H$60,AC$8)))),0)</f>
        <v>0</v>
      </c>
      <c r="AD42" s="186"/>
      <c r="AE42" s="187"/>
      <c r="AF42" s="96">
        <f t="shared" ca="1" si="11"/>
        <v>0</v>
      </c>
      <c r="AG42" s="63"/>
      <c r="AH42" s="186"/>
      <c r="AI42" s="24"/>
      <c r="AJ42" s="24"/>
      <c r="AK42" s="24"/>
      <c r="AL42" s="24"/>
      <c r="AM42" s="79">
        <f t="shared" si="12"/>
        <v>0</v>
      </c>
      <c r="AN42" s="79">
        <v>22</v>
      </c>
      <c r="AO42" s="80">
        <f t="shared" si="13"/>
        <v>0</v>
      </c>
      <c r="AP42" s="81" t="str">
        <f t="shared" ca="1" si="14"/>
        <v/>
      </c>
      <c r="AQ42" s="82"/>
      <c r="AR42" s="97">
        <f>IFERROR(VLOOKUP(B42,OBJECTIFS!$C$76:$E$137,2,FALSE),0)</f>
        <v>0</v>
      </c>
      <c r="AS42" s="98">
        <f>IFERROR(VLOOKUP(B42,OBJECTIFS!$H$76:$J$137,2,FALSE),0)</f>
        <v>0</v>
      </c>
      <c r="AT42" s="98">
        <f>IFERROR(VLOOKUP(B42,OBJECTIFS!$C$142:$E$203,2,FALSE),0)</f>
        <v>0</v>
      </c>
      <c r="AU42" s="98">
        <f>IFERROR(VLOOKUP(B42,OBJECTIFS!$H$142:$J$203,2,FALSE),0)</f>
        <v>0</v>
      </c>
      <c r="AV42" s="98">
        <f>IFERROR(VLOOKUP(B42,OBJECTIFS!$F$208:$H$269,3,FALSE),0)</f>
        <v>0</v>
      </c>
      <c r="AW42" s="81">
        <f t="shared" si="15"/>
        <v>0</v>
      </c>
      <c r="AX42" s="82"/>
      <c r="AY42" s="99" t="str">
        <f t="shared" ca="1" si="16"/>
        <v/>
      </c>
      <c r="AZ42" s="63"/>
      <c r="BA42" s="100">
        <f t="shared" ca="1" si="17"/>
        <v>0</v>
      </c>
      <c r="BB42" s="64" t="str">
        <f t="shared" ca="1" si="18"/>
        <v/>
      </c>
      <c r="BC42" s="101" t="str">
        <f t="shared" ca="1" si="19"/>
        <v/>
      </c>
    </row>
    <row r="43" spans="1:55" x14ac:dyDescent="0.2">
      <c r="A43" s="21"/>
      <c r="B43" s="22"/>
      <c r="C43" s="22"/>
      <c r="D43" s="23"/>
      <c r="E43" s="24"/>
      <c r="F43" s="34"/>
      <c r="H43" s="89" t="str">
        <f>IF(OR(D43="",F43="",A43=""),"",IF(E43="oui",0,IF(D43=OBJECTIFS!$C$45,VLOOKUP(F43,OBJECTIFS!$C$9:$D$11,2,FALSE),IF(D43=OBJECTIFS!$C$46,VLOOKUP(F43,OBJECTIFS!$C$16:$D$18,2,FALSE),IF(D43=OBJECTIFS!$C$47,VLOOKUP(F43,OBJECTIFS!$C$23:$D$25,2,FALSE),IF(D43=OBJECTIFS!$C$48,VLOOKUP(F43,OBJECTIFS!$C$30:$D$32,2,FALSE),IF(D43=OBJECTIFS!$C$49,VLOOKUP(F43,OBJECTIFS!$C$37:$D$39,2,FALSE))))))))</f>
        <v/>
      </c>
      <c r="J43" s="25"/>
      <c r="K43" s="90" t="str">
        <f>IF(OR($A43="",$D43="",J43=""),"",SUMIFS(OBJECTIFS!E$9:E$39,OBJECTIFS!$A$9:$A$39,$D43,OBJECTIFS!$C$9:$C$39,$F43))</f>
        <v/>
      </c>
      <c r="L43" s="90" t="str">
        <f>IF(OR(AND($D43=OBJECTIFS!$B$6,OBJECTIFS!E$8="dmt"),AND($D43=OBJECTIFS!$B$13,OBJECTIFS!$E$15="dmt"),AND($D43=OBJECTIFS!$B$20,OBJECTIFS!$E$22="dmt"),AND($D43=OBJECTIFS!$B$27,OBJECTIFS!$E$29="dmt"),AND($D43=OBJECTIFS!$B$34,OBJECTIFS!$E$36="dmt"),AND($D43=OBJECTIFS!$B$6,OBJECTIFS!$E$8="taux de chute"),AND($D43=OBJECTIFS!$B$13,OBJECTIFS!$E$15="taux de chute"),AND($D43=OBJECTIFS!$B$20,OBJECTIFS!$E$22="taux de chute"),AND($D43=OBJECTIFS!$B$27,OBJECTIFS!$E$29="taux de chute"),AND($D43=OBJECTIFS!$B$34,OBJECTIFS!$E$36="taux de chute")),IFERROR(K43/J43,""),IFERROR(J43/K43,""))</f>
        <v/>
      </c>
      <c r="M43" s="91">
        <f>IFERROR(IF(OR(J43="",K43="",L43=""),0,IF(L43&lt;OBJECTIFS!$E$56,0,IF(L43&lt;OBJECTIFS!$G$56,M$8*OBJECTIFS!$F$60,IF(L43&lt;OBJECTIFS!$I$56,M$8*OBJECTIFS!$H$60,M$8)))),0)</f>
        <v>0</v>
      </c>
      <c r="N43" s="161"/>
      <c r="O43" s="92" t="str">
        <f>IF(OR($A43="",$D43="",N43=""),"",SUMIFS(OBJECTIFS!F$9:F$39,OBJECTIFS!$A$9:$A$39,$D43,OBJECTIFS!$C$9:$C$39,$F43))</f>
        <v/>
      </c>
      <c r="P43" s="90" t="str">
        <f>IF(OR(AND($D43=OBJECTIFS!$B$6,OBJECTIFS!$F$8="dmt"),AND($D43=OBJECTIFS!$B$13,OBJECTIFS!$F$15="dmt"),AND($D43=OBJECTIFS!$B$20,OBJECTIFS!$F$22="dmt"),AND($D43=OBJECTIFS!$B$27,OBJECTIFS!$F$29="dmt"),AND($D43=OBJECTIFS!$B$34,OBJECTIFS!$F$36="dmt"),AND($D43=OBJECTIFS!$B$6,OBJECTIFS!$F$8="taux de chute"),AND($D43=OBJECTIFS!$B$13,OBJECTIFS!$F$15="taux de chute"),AND($D43=OBJECTIFS!$B$20,OBJECTIFS!$F$22="taux de chute"),AND($D43=OBJECTIFS!$B$27,OBJECTIFS!$F$29="taux de chute"),AND($D43=OBJECTIFS!$B$34,OBJECTIFS!$F$36="taux de chute")),IFERROR(O43/N43,""),IFERROR(N43/O43,""))</f>
        <v/>
      </c>
      <c r="Q43" s="91">
        <f>IFERROR(IF(OR(N43="",O43="",P43=""),0,IF(P43&lt;OBJECTIFS!$E$56,0,IF(P43&lt;OBJECTIFS!$G$56,Q$8*OBJECTIFS!$F$60,IF(P43&lt;OBJECTIFS!$I$56,Q$8*OBJECTIFS!$H$60,Q$8)))),0)</f>
        <v>0</v>
      </c>
      <c r="R43" s="164"/>
      <c r="S43" s="93" t="str">
        <f>IF(OR($A43="",$D43="",R43=""),"",SUMIFS(OBJECTIFS!G$9:G$39,OBJECTIFS!$A$9:$A$39,$D43,OBJECTIFS!$C$9:$C$39,$F43))</f>
        <v/>
      </c>
      <c r="T43" s="90" t="str">
        <f>IF(OR(AND($D43=OBJECTIFS!$B$6,OBJECTIFS!G$8="dmt"),AND($D43=OBJECTIFS!$B$13,OBJECTIFS!$G$15="dmt"),AND($D43=OBJECTIFS!$B$20,OBJECTIFS!$G$22="dmt"),AND($D43=OBJECTIFS!$B$27,OBJECTIFS!$G$29="dmt"),AND($D43=OBJECTIFS!$B$34,OBJECTIFS!$G$36="dmt"),AND($D43=OBJECTIFS!$B$6,OBJECTIFS!$G$8="taux de chute"),AND($D43=OBJECTIFS!$B$13,OBJECTIFS!$G$15="taux de chute"),AND($D43=OBJECTIFS!$B$20,OBJECTIFS!$G$22="taux de chute"),AND($D43=OBJECTIFS!$B$27,OBJECTIFS!$G$29="taux de chute"),AND($D43=OBJECTIFS!$B$34,OBJECTIFS!$G$36="taux de chute")),IFERROR(S43/R43,""),IFERROR(R43/S43,""))</f>
        <v/>
      </c>
      <c r="U43" s="94">
        <f>IFERROR(IF(OR(R43="",S43="",T43=""),0,IF(T43&lt;OBJECTIFS!$E$56,0,IF(T43&lt;OBJECTIFS!$G$56,U$8*OBJECTIFS!$F$60,IF(T43&lt;OBJECTIFS!$I$56,U$8*OBJECTIFS!$H$60,U$8)))),0)</f>
        <v>0</v>
      </c>
      <c r="V43" s="25"/>
      <c r="W43" s="90" t="str">
        <f>IF(OR($A43="",$D43="",V43=""),"",SUMIFS(OBJECTIFS!H$9:H$39,OBJECTIFS!$A$9:$A$39,$D43,OBJECTIFS!$C$9:$C$39,$F43))</f>
        <v/>
      </c>
      <c r="X43" s="90" t="str">
        <f>IF(OR(AND($D43=OBJECTIFS!$B$6,OBJECTIFS!H$8="dmt"),AND($D43=OBJECTIFS!$B$13,OBJECTIFS!$H$15="dmt"),AND($D43=OBJECTIFS!$B$20,OBJECTIFS!$H$22="dmt"),AND($D43=OBJECTIFS!$B$27,OBJECTIFS!$H$29="dmt"),AND($D43=OBJECTIFS!$B$34,OBJECTIFS!$H$36="dmt"),AND($D43=OBJECTIFS!$B$6,OBJECTIFS!$H$8="taux de chute"),AND($D43=OBJECTIFS!$B$13,OBJECTIFS!$H$15="taux de chute"),AND($D43=OBJECTIFS!$B$20,OBJECTIFS!$H$22="taux de chute"),AND($D43=OBJECTIFS!$B$27,OBJECTIFS!$H$29="taux de chute"),AND($D43=OBJECTIFS!$B$34,OBJECTIFS!$H$36="taux de chute")),IFERROR(W43/V43,""),IFERROR(V43/W43,""))</f>
        <v/>
      </c>
      <c r="Y43" s="91">
        <f>IFERROR(IF(OR(V43="",W43="",X43=""),0,IF(X43&lt;OBJECTIFS!$E$56,0,IF(X43&lt;OBJECTIFS!$G$56,Y$8*OBJECTIFS!$F$60,IF(X43&lt;OBJECTIFS!$I$56,Y$8*OBJECTIFS!$H$60,Y$8)))),0)</f>
        <v>0</v>
      </c>
      <c r="Z43" s="167"/>
      <c r="AA43" s="90" t="str">
        <f>IF(OR($A43="",$D43="",Z43=""),"",SUMIFS(OBJECTIFS!I$9:I$39,OBJECTIFS!$A$9:$A$39,$D43,OBJECTIFS!$C$9:$C$39,$F43))</f>
        <v/>
      </c>
      <c r="AB43" s="90" t="str">
        <f>IF(OR(AND($D43=OBJECTIFS!$B$6,OBJECTIFS!I$8="dmt"),AND($D43=OBJECTIFS!$B$13,OBJECTIFS!$I$15="dmt"),AND($D43=OBJECTIFS!$B$20,OBJECTIFS!$I$22="dmt"),AND($D43=OBJECTIFS!$B$27,OBJECTIFS!$I$29="dmt"),AND($D43=OBJECTIFS!$B$34,OBJECTIFS!$I$36="dmt"),AND($D43=OBJECTIFS!$B$6,OBJECTIFS!$I$8="taux de chute"),AND($D43=OBJECTIFS!$B$13,OBJECTIFS!$I$15="taux de chute"),AND($D43=OBJECTIFS!$B$20,OBJECTIFS!$I$22="taux de chute"),AND($D43=OBJECTIFS!$B$27,OBJECTIFS!$I$29="taux de chute"),AND($D43=OBJECTIFS!$B$34,OBJECTIFS!$I$36="taux de chute")),IFERROR(AA43/Z43,""),IFERROR(Z43/AA43,""))</f>
        <v/>
      </c>
      <c r="AC43" s="95">
        <f>IFERROR(IF(OR(Z43="",AA43="",AB43=""),0,IF(AB43&lt;OBJECTIFS!$E$56,0,IF(AB43&lt;OBJECTIFS!$G$56,AC$8*OBJECTIFS!$F$60,IF(AB43&lt;OBJECTIFS!$I$56,AC$8*OBJECTIFS!$H$60,AC$8)))),0)</f>
        <v>0</v>
      </c>
      <c r="AD43" s="186"/>
      <c r="AE43" s="187"/>
      <c r="AF43" s="96">
        <f t="shared" ca="1" si="11"/>
        <v>0</v>
      </c>
      <c r="AG43" s="63"/>
      <c r="AH43" s="186"/>
      <c r="AI43" s="24"/>
      <c r="AJ43" s="24"/>
      <c r="AK43" s="24"/>
      <c r="AL43" s="24"/>
      <c r="AM43" s="79">
        <f t="shared" si="12"/>
        <v>0</v>
      </c>
      <c r="AN43" s="79">
        <v>22</v>
      </c>
      <c r="AO43" s="80">
        <f t="shared" si="13"/>
        <v>0</v>
      </c>
      <c r="AP43" s="81" t="str">
        <f t="shared" ca="1" si="14"/>
        <v/>
      </c>
      <c r="AQ43" s="82"/>
      <c r="AR43" s="97">
        <f>IFERROR(VLOOKUP(B43,OBJECTIFS!$C$76:$E$137,2,FALSE),0)</f>
        <v>0</v>
      </c>
      <c r="AS43" s="98">
        <f>IFERROR(VLOOKUP(B43,OBJECTIFS!$H$76:$J$137,2,FALSE),0)</f>
        <v>0</v>
      </c>
      <c r="AT43" s="98">
        <f>IFERROR(VLOOKUP(B43,OBJECTIFS!$C$142:$E$203,2,FALSE),0)</f>
        <v>0</v>
      </c>
      <c r="AU43" s="98">
        <f>IFERROR(VLOOKUP(B43,OBJECTIFS!$H$142:$J$203,2,FALSE),0)</f>
        <v>0</v>
      </c>
      <c r="AV43" s="98">
        <f>IFERROR(VLOOKUP(B43,OBJECTIFS!$F$208:$H$269,3,FALSE),0)</f>
        <v>0</v>
      </c>
      <c r="AW43" s="81">
        <f t="shared" si="15"/>
        <v>0</v>
      </c>
      <c r="AX43" s="82"/>
      <c r="AY43" s="99" t="str">
        <f t="shared" ca="1" si="16"/>
        <v/>
      </c>
      <c r="AZ43" s="63"/>
      <c r="BA43" s="100">
        <f t="shared" ca="1" si="17"/>
        <v>0</v>
      </c>
      <c r="BB43" s="64" t="str">
        <f t="shared" ca="1" si="18"/>
        <v/>
      </c>
      <c r="BC43" s="101" t="str">
        <f t="shared" ca="1" si="19"/>
        <v/>
      </c>
    </row>
    <row r="44" spans="1:55" x14ac:dyDescent="0.2">
      <c r="A44" s="21"/>
      <c r="B44" s="22"/>
      <c r="C44" s="22"/>
      <c r="D44" s="23"/>
      <c r="E44" s="24"/>
      <c r="F44" s="34"/>
      <c r="H44" s="89" t="str">
        <f>IF(OR(D44="",F44="",A44=""),"",IF(E44="oui",0,IF(D44=OBJECTIFS!$C$45,VLOOKUP(F44,OBJECTIFS!$C$9:$D$11,2,FALSE),IF(D44=OBJECTIFS!$C$46,VLOOKUP(F44,OBJECTIFS!$C$16:$D$18,2,FALSE),IF(D44=OBJECTIFS!$C$47,VLOOKUP(F44,OBJECTIFS!$C$23:$D$25,2,FALSE),IF(D44=OBJECTIFS!$C$48,VLOOKUP(F44,OBJECTIFS!$C$30:$D$32,2,FALSE),IF(D44=OBJECTIFS!$C$49,VLOOKUP(F44,OBJECTIFS!$C$37:$D$39,2,FALSE))))))))</f>
        <v/>
      </c>
      <c r="J44" s="25"/>
      <c r="K44" s="90" t="str">
        <f>IF(OR($A44="",$D44="",J44=""),"",SUMIFS(OBJECTIFS!E$9:E$39,OBJECTIFS!$A$9:$A$39,$D44,OBJECTIFS!$C$9:$C$39,$F44))</f>
        <v/>
      </c>
      <c r="L44" s="90" t="str">
        <f>IF(OR(AND($D44=OBJECTIFS!$B$6,OBJECTIFS!E$8="dmt"),AND($D44=OBJECTIFS!$B$13,OBJECTIFS!$E$15="dmt"),AND($D44=OBJECTIFS!$B$20,OBJECTIFS!$E$22="dmt"),AND($D44=OBJECTIFS!$B$27,OBJECTIFS!$E$29="dmt"),AND($D44=OBJECTIFS!$B$34,OBJECTIFS!$E$36="dmt"),AND($D44=OBJECTIFS!$B$6,OBJECTIFS!$E$8="taux de chute"),AND($D44=OBJECTIFS!$B$13,OBJECTIFS!$E$15="taux de chute"),AND($D44=OBJECTIFS!$B$20,OBJECTIFS!$E$22="taux de chute"),AND($D44=OBJECTIFS!$B$27,OBJECTIFS!$E$29="taux de chute"),AND($D44=OBJECTIFS!$B$34,OBJECTIFS!$E$36="taux de chute")),IFERROR(K44/J44,""),IFERROR(J44/K44,""))</f>
        <v/>
      </c>
      <c r="M44" s="91">
        <f>IFERROR(IF(OR(J44="",K44="",L44=""),0,IF(L44&lt;OBJECTIFS!$E$56,0,IF(L44&lt;OBJECTIFS!$G$56,M$8*OBJECTIFS!$F$60,IF(L44&lt;OBJECTIFS!$I$56,M$8*OBJECTIFS!$H$60,M$8)))),0)</f>
        <v>0</v>
      </c>
      <c r="N44" s="161"/>
      <c r="O44" s="92" t="str">
        <f>IF(OR($A44="",$D44="",N44=""),"",SUMIFS(OBJECTIFS!F$9:F$39,OBJECTIFS!$A$9:$A$39,$D44,OBJECTIFS!$C$9:$C$39,$F44))</f>
        <v/>
      </c>
      <c r="P44" s="90" t="str">
        <f>IF(OR(AND($D44=OBJECTIFS!$B$6,OBJECTIFS!$F$8="dmt"),AND($D44=OBJECTIFS!$B$13,OBJECTIFS!$F$15="dmt"),AND($D44=OBJECTIFS!$B$20,OBJECTIFS!$F$22="dmt"),AND($D44=OBJECTIFS!$B$27,OBJECTIFS!$F$29="dmt"),AND($D44=OBJECTIFS!$B$34,OBJECTIFS!$F$36="dmt"),AND($D44=OBJECTIFS!$B$6,OBJECTIFS!$F$8="taux de chute"),AND($D44=OBJECTIFS!$B$13,OBJECTIFS!$F$15="taux de chute"),AND($D44=OBJECTIFS!$B$20,OBJECTIFS!$F$22="taux de chute"),AND($D44=OBJECTIFS!$B$27,OBJECTIFS!$F$29="taux de chute"),AND($D44=OBJECTIFS!$B$34,OBJECTIFS!$F$36="taux de chute")),IFERROR(O44/N44,""),IFERROR(N44/O44,""))</f>
        <v/>
      </c>
      <c r="Q44" s="91">
        <f>IFERROR(IF(OR(N44="",O44="",P44=""),0,IF(P44&lt;OBJECTIFS!$E$56,0,IF(P44&lt;OBJECTIFS!$G$56,Q$8*OBJECTIFS!$F$60,IF(P44&lt;OBJECTIFS!$I$56,Q$8*OBJECTIFS!$H$60,Q$8)))),0)</f>
        <v>0</v>
      </c>
      <c r="R44" s="164"/>
      <c r="S44" s="93" t="str">
        <f>IF(OR($A44="",$D44="",R44=""),"",SUMIFS(OBJECTIFS!G$9:G$39,OBJECTIFS!$A$9:$A$39,$D44,OBJECTIFS!$C$9:$C$39,$F44))</f>
        <v/>
      </c>
      <c r="T44" s="90" t="str">
        <f>IF(OR(AND($D44=OBJECTIFS!$B$6,OBJECTIFS!G$8="dmt"),AND($D44=OBJECTIFS!$B$13,OBJECTIFS!$G$15="dmt"),AND($D44=OBJECTIFS!$B$20,OBJECTIFS!$G$22="dmt"),AND($D44=OBJECTIFS!$B$27,OBJECTIFS!$G$29="dmt"),AND($D44=OBJECTIFS!$B$34,OBJECTIFS!$G$36="dmt"),AND($D44=OBJECTIFS!$B$6,OBJECTIFS!$G$8="taux de chute"),AND($D44=OBJECTIFS!$B$13,OBJECTIFS!$G$15="taux de chute"),AND($D44=OBJECTIFS!$B$20,OBJECTIFS!$G$22="taux de chute"),AND($D44=OBJECTIFS!$B$27,OBJECTIFS!$G$29="taux de chute"),AND($D44=OBJECTIFS!$B$34,OBJECTIFS!$G$36="taux de chute")),IFERROR(S44/R44,""),IFERROR(R44/S44,""))</f>
        <v/>
      </c>
      <c r="U44" s="94">
        <f>IFERROR(IF(OR(R44="",S44="",T44=""),0,IF(T44&lt;OBJECTIFS!$E$56,0,IF(T44&lt;OBJECTIFS!$G$56,U$8*OBJECTIFS!$F$60,IF(T44&lt;OBJECTIFS!$I$56,U$8*OBJECTIFS!$H$60,U$8)))),0)</f>
        <v>0</v>
      </c>
      <c r="V44" s="25"/>
      <c r="W44" s="90" t="str">
        <f>IF(OR($A44="",$D44="",V44=""),"",SUMIFS(OBJECTIFS!H$9:H$39,OBJECTIFS!$A$9:$A$39,$D44,OBJECTIFS!$C$9:$C$39,$F44))</f>
        <v/>
      </c>
      <c r="X44" s="90" t="str">
        <f>IF(OR(AND($D44=OBJECTIFS!$B$6,OBJECTIFS!H$8="dmt"),AND($D44=OBJECTIFS!$B$13,OBJECTIFS!$H$15="dmt"),AND($D44=OBJECTIFS!$B$20,OBJECTIFS!$H$22="dmt"),AND($D44=OBJECTIFS!$B$27,OBJECTIFS!$H$29="dmt"),AND($D44=OBJECTIFS!$B$34,OBJECTIFS!$H$36="dmt"),AND($D44=OBJECTIFS!$B$6,OBJECTIFS!$H$8="taux de chute"),AND($D44=OBJECTIFS!$B$13,OBJECTIFS!$H$15="taux de chute"),AND($D44=OBJECTIFS!$B$20,OBJECTIFS!$H$22="taux de chute"),AND($D44=OBJECTIFS!$B$27,OBJECTIFS!$H$29="taux de chute"),AND($D44=OBJECTIFS!$B$34,OBJECTIFS!$H$36="taux de chute")),IFERROR(W44/V44,""),IFERROR(V44/W44,""))</f>
        <v/>
      </c>
      <c r="Y44" s="91">
        <f>IFERROR(IF(OR(V44="",W44="",X44=""),0,IF(X44&lt;OBJECTIFS!$E$56,0,IF(X44&lt;OBJECTIFS!$G$56,Y$8*OBJECTIFS!$F$60,IF(X44&lt;OBJECTIFS!$I$56,Y$8*OBJECTIFS!$H$60,Y$8)))),0)</f>
        <v>0</v>
      </c>
      <c r="Z44" s="167"/>
      <c r="AA44" s="90" t="str">
        <f>IF(OR($A44="",$D44="",Z44=""),"",SUMIFS(OBJECTIFS!I$9:I$39,OBJECTIFS!$A$9:$A$39,$D44,OBJECTIFS!$C$9:$C$39,$F44))</f>
        <v/>
      </c>
      <c r="AB44" s="90" t="str">
        <f>IF(OR(AND($D44=OBJECTIFS!$B$6,OBJECTIFS!I$8="dmt"),AND($D44=OBJECTIFS!$B$13,OBJECTIFS!$I$15="dmt"),AND($D44=OBJECTIFS!$B$20,OBJECTIFS!$I$22="dmt"),AND($D44=OBJECTIFS!$B$27,OBJECTIFS!$I$29="dmt"),AND($D44=OBJECTIFS!$B$34,OBJECTIFS!$I$36="dmt"),AND($D44=OBJECTIFS!$B$6,OBJECTIFS!$I$8="taux de chute"),AND($D44=OBJECTIFS!$B$13,OBJECTIFS!$I$15="taux de chute"),AND($D44=OBJECTIFS!$B$20,OBJECTIFS!$I$22="taux de chute"),AND($D44=OBJECTIFS!$B$27,OBJECTIFS!$I$29="taux de chute"),AND($D44=OBJECTIFS!$B$34,OBJECTIFS!$I$36="taux de chute")),IFERROR(AA44/Z44,""),IFERROR(Z44/AA44,""))</f>
        <v/>
      </c>
      <c r="AC44" s="95">
        <f>IFERROR(IF(OR(Z44="",AA44="",AB44=""),0,IF(AB44&lt;OBJECTIFS!$E$56,0,IF(AB44&lt;OBJECTIFS!$G$56,AC$8*OBJECTIFS!$F$60,IF(AB44&lt;OBJECTIFS!$I$56,AC$8*OBJECTIFS!$H$60,AC$8)))),0)</f>
        <v>0</v>
      </c>
      <c r="AD44" s="186"/>
      <c r="AE44" s="187"/>
      <c r="AF44" s="96">
        <f t="shared" ca="1" si="11"/>
        <v>0</v>
      </c>
      <c r="AG44" s="63"/>
      <c r="AH44" s="186"/>
      <c r="AI44" s="24"/>
      <c r="AJ44" s="24"/>
      <c r="AK44" s="24"/>
      <c r="AL44" s="24"/>
      <c r="AM44" s="79">
        <f t="shared" si="12"/>
        <v>0</v>
      </c>
      <c r="AN44" s="79">
        <v>22</v>
      </c>
      <c r="AO44" s="80">
        <f t="shared" si="13"/>
        <v>0</v>
      </c>
      <c r="AP44" s="81" t="str">
        <f t="shared" ca="1" si="14"/>
        <v/>
      </c>
      <c r="AQ44" s="82"/>
      <c r="AR44" s="97">
        <f>IFERROR(VLOOKUP(B44,OBJECTIFS!$C$76:$E$137,2,FALSE),0)</f>
        <v>0</v>
      </c>
      <c r="AS44" s="98">
        <f>IFERROR(VLOOKUP(B44,OBJECTIFS!$H$76:$J$137,2,FALSE),0)</f>
        <v>0</v>
      </c>
      <c r="AT44" s="98">
        <f>IFERROR(VLOOKUP(B44,OBJECTIFS!$C$142:$E$203,2,FALSE),0)</f>
        <v>0</v>
      </c>
      <c r="AU44" s="98">
        <f>IFERROR(VLOOKUP(B44,OBJECTIFS!$H$142:$J$203,2,FALSE),0)</f>
        <v>0</v>
      </c>
      <c r="AV44" s="98">
        <f>IFERROR(VLOOKUP(B44,OBJECTIFS!$F$208:$H$269,3,FALSE),0)</f>
        <v>0</v>
      </c>
      <c r="AW44" s="81">
        <f t="shared" si="15"/>
        <v>0</v>
      </c>
      <c r="AX44" s="82"/>
      <c r="AY44" s="99" t="str">
        <f t="shared" ca="1" si="16"/>
        <v/>
      </c>
      <c r="AZ44" s="63"/>
      <c r="BA44" s="100">
        <f t="shared" ca="1" si="17"/>
        <v>0</v>
      </c>
      <c r="BB44" s="64" t="str">
        <f t="shared" ca="1" si="18"/>
        <v/>
      </c>
      <c r="BC44" s="101" t="str">
        <f t="shared" ca="1" si="19"/>
        <v/>
      </c>
    </row>
    <row r="45" spans="1:55" x14ac:dyDescent="0.2">
      <c r="A45" s="21"/>
      <c r="B45" s="22"/>
      <c r="C45" s="22"/>
      <c r="D45" s="23"/>
      <c r="E45" s="24"/>
      <c r="F45" s="34"/>
      <c r="H45" s="89" t="str">
        <f>IF(OR(D45="",F45="",A45=""),"",IF(E45="oui",0,IF(D45=OBJECTIFS!$C$45,VLOOKUP(F45,OBJECTIFS!$C$9:$D$11,2,FALSE),IF(D45=OBJECTIFS!$C$46,VLOOKUP(F45,OBJECTIFS!$C$16:$D$18,2,FALSE),IF(D45=OBJECTIFS!$C$47,VLOOKUP(F45,OBJECTIFS!$C$23:$D$25,2,FALSE),IF(D45=OBJECTIFS!$C$48,VLOOKUP(F45,OBJECTIFS!$C$30:$D$32,2,FALSE),IF(D45=OBJECTIFS!$C$49,VLOOKUP(F45,OBJECTIFS!$C$37:$D$39,2,FALSE))))))))</f>
        <v/>
      </c>
      <c r="J45" s="25"/>
      <c r="K45" s="90" t="str">
        <f>IF(OR($A45="",$D45="",J45=""),"",SUMIFS(OBJECTIFS!E$9:E$39,OBJECTIFS!$A$9:$A$39,$D45,OBJECTIFS!$C$9:$C$39,$F45))</f>
        <v/>
      </c>
      <c r="L45" s="90" t="str">
        <f>IF(OR(AND($D45=OBJECTIFS!$B$6,OBJECTIFS!E$8="dmt"),AND($D45=OBJECTIFS!$B$13,OBJECTIFS!$E$15="dmt"),AND($D45=OBJECTIFS!$B$20,OBJECTIFS!$E$22="dmt"),AND($D45=OBJECTIFS!$B$27,OBJECTIFS!$E$29="dmt"),AND($D45=OBJECTIFS!$B$34,OBJECTIFS!$E$36="dmt"),AND($D45=OBJECTIFS!$B$6,OBJECTIFS!$E$8="taux de chute"),AND($D45=OBJECTIFS!$B$13,OBJECTIFS!$E$15="taux de chute"),AND($D45=OBJECTIFS!$B$20,OBJECTIFS!$E$22="taux de chute"),AND($D45=OBJECTIFS!$B$27,OBJECTIFS!$E$29="taux de chute"),AND($D45=OBJECTIFS!$B$34,OBJECTIFS!$E$36="taux de chute")),IFERROR(K45/J45,""),IFERROR(J45/K45,""))</f>
        <v/>
      </c>
      <c r="M45" s="91">
        <f>IFERROR(IF(OR(J45="",K45="",L45=""),0,IF(L45&lt;OBJECTIFS!$E$56,0,IF(L45&lt;OBJECTIFS!$G$56,M$8*OBJECTIFS!$F$60,IF(L45&lt;OBJECTIFS!$I$56,M$8*OBJECTIFS!$H$60,M$8)))),0)</f>
        <v>0</v>
      </c>
      <c r="N45" s="161"/>
      <c r="O45" s="92" t="str">
        <f>IF(OR($A45="",$D45="",N45=""),"",SUMIFS(OBJECTIFS!F$9:F$39,OBJECTIFS!$A$9:$A$39,$D45,OBJECTIFS!$C$9:$C$39,$F45))</f>
        <v/>
      </c>
      <c r="P45" s="90" t="str">
        <f>IF(OR(AND($D45=OBJECTIFS!$B$6,OBJECTIFS!$F$8="dmt"),AND($D45=OBJECTIFS!$B$13,OBJECTIFS!$F$15="dmt"),AND($D45=OBJECTIFS!$B$20,OBJECTIFS!$F$22="dmt"),AND($D45=OBJECTIFS!$B$27,OBJECTIFS!$F$29="dmt"),AND($D45=OBJECTIFS!$B$34,OBJECTIFS!$F$36="dmt"),AND($D45=OBJECTIFS!$B$6,OBJECTIFS!$F$8="taux de chute"),AND($D45=OBJECTIFS!$B$13,OBJECTIFS!$F$15="taux de chute"),AND($D45=OBJECTIFS!$B$20,OBJECTIFS!$F$22="taux de chute"),AND($D45=OBJECTIFS!$B$27,OBJECTIFS!$F$29="taux de chute"),AND($D45=OBJECTIFS!$B$34,OBJECTIFS!$F$36="taux de chute")),IFERROR(O45/N45,""),IFERROR(N45/O45,""))</f>
        <v/>
      </c>
      <c r="Q45" s="91">
        <f>IFERROR(IF(OR(N45="",O45="",P45=""),0,IF(P45&lt;OBJECTIFS!$E$56,0,IF(P45&lt;OBJECTIFS!$G$56,Q$8*OBJECTIFS!$F$60,IF(P45&lt;OBJECTIFS!$I$56,Q$8*OBJECTIFS!$H$60,Q$8)))),0)</f>
        <v>0</v>
      </c>
      <c r="R45" s="164"/>
      <c r="S45" s="93" t="str">
        <f>IF(OR($A45="",$D45="",R45=""),"",SUMIFS(OBJECTIFS!G$9:G$39,OBJECTIFS!$A$9:$A$39,$D45,OBJECTIFS!$C$9:$C$39,$F45))</f>
        <v/>
      </c>
      <c r="T45" s="90" t="str">
        <f>IF(OR(AND($D45=OBJECTIFS!$B$6,OBJECTIFS!G$8="dmt"),AND($D45=OBJECTIFS!$B$13,OBJECTIFS!$G$15="dmt"),AND($D45=OBJECTIFS!$B$20,OBJECTIFS!$G$22="dmt"),AND($D45=OBJECTIFS!$B$27,OBJECTIFS!$G$29="dmt"),AND($D45=OBJECTIFS!$B$34,OBJECTIFS!$G$36="dmt"),AND($D45=OBJECTIFS!$B$6,OBJECTIFS!$G$8="taux de chute"),AND($D45=OBJECTIFS!$B$13,OBJECTIFS!$G$15="taux de chute"),AND($D45=OBJECTIFS!$B$20,OBJECTIFS!$G$22="taux de chute"),AND($D45=OBJECTIFS!$B$27,OBJECTIFS!$G$29="taux de chute"),AND($D45=OBJECTIFS!$B$34,OBJECTIFS!$G$36="taux de chute")),IFERROR(S45/R45,""),IFERROR(R45/S45,""))</f>
        <v/>
      </c>
      <c r="U45" s="94">
        <f>IFERROR(IF(OR(R45="",S45="",T45=""),0,IF(T45&lt;OBJECTIFS!$E$56,0,IF(T45&lt;OBJECTIFS!$G$56,U$8*OBJECTIFS!$F$60,IF(T45&lt;OBJECTIFS!$I$56,U$8*OBJECTIFS!$H$60,U$8)))),0)</f>
        <v>0</v>
      </c>
      <c r="V45" s="25"/>
      <c r="W45" s="90" t="str">
        <f>IF(OR($A45="",$D45="",V45=""),"",SUMIFS(OBJECTIFS!H$9:H$39,OBJECTIFS!$A$9:$A$39,$D45,OBJECTIFS!$C$9:$C$39,$F45))</f>
        <v/>
      </c>
      <c r="X45" s="90" t="str">
        <f>IF(OR(AND($D45=OBJECTIFS!$B$6,OBJECTIFS!H$8="dmt"),AND($D45=OBJECTIFS!$B$13,OBJECTIFS!$H$15="dmt"),AND($D45=OBJECTIFS!$B$20,OBJECTIFS!$H$22="dmt"),AND($D45=OBJECTIFS!$B$27,OBJECTIFS!$H$29="dmt"),AND($D45=OBJECTIFS!$B$34,OBJECTIFS!$H$36="dmt"),AND($D45=OBJECTIFS!$B$6,OBJECTIFS!$H$8="taux de chute"),AND($D45=OBJECTIFS!$B$13,OBJECTIFS!$H$15="taux de chute"),AND($D45=OBJECTIFS!$B$20,OBJECTIFS!$H$22="taux de chute"),AND($D45=OBJECTIFS!$B$27,OBJECTIFS!$H$29="taux de chute"),AND($D45=OBJECTIFS!$B$34,OBJECTIFS!$H$36="taux de chute")),IFERROR(W45/V45,""),IFERROR(V45/W45,""))</f>
        <v/>
      </c>
      <c r="Y45" s="91">
        <f>IFERROR(IF(OR(V45="",W45="",X45=""),0,IF(X45&lt;OBJECTIFS!$E$56,0,IF(X45&lt;OBJECTIFS!$G$56,Y$8*OBJECTIFS!$F$60,IF(X45&lt;OBJECTIFS!$I$56,Y$8*OBJECTIFS!$H$60,Y$8)))),0)</f>
        <v>0</v>
      </c>
      <c r="Z45" s="167"/>
      <c r="AA45" s="90" t="str">
        <f>IF(OR($A45="",$D45="",Z45=""),"",SUMIFS(OBJECTIFS!I$9:I$39,OBJECTIFS!$A$9:$A$39,$D45,OBJECTIFS!$C$9:$C$39,$F45))</f>
        <v/>
      </c>
      <c r="AB45" s="90" t="str">
        <f>IF(OR(AND($D45=OBJECTIFS!$B$6,OBJECTIFS!I$8="dmt"),AND($D45=OBJECTIFS!$B$13,OBJECTIFS!$I$15="dmt"),AND($D45=OBJECTIFS!$B$20,OBJECTIFS!$I$22="dmt"),AND($D45=OBJECTIFS!$B$27,OBJECTIFS!$I$29="dmt"),AND($D45=OBJECTIFS!$B$34,OBJECTIFS!$I$36="dmt"),AND($D45=OBJECTIFS!$B$6,OBJECTIFS!$I$8="taux de chute"),AND($D45=OBJECTIFS!$B$13,OBJECTIFS!$I$15="taux de chute"),AND($D45=OBJECTIFS!$B$20,OBJECTIFS!$I$22="taux de chute"),AND($D45=OBJECTIFS!$B$27,OBJECTIFS!$I$29="taux de chute"),AND($D45=OBJECTIFS!$B$34,OBJECTIFS!$I$36="taux de chute")),IFERROR(AA45/Z45,""),IFERROR(Z45/AA45,""))</f>
        <v/>
      </c>
      <c r="AC45" s="95">
        <f>IFERROR(IF(OR(Z45="",AA45="",AB45=""),0,IF(AB45&lt;OBJECTIFS!$E$56,0,IF(AB45&lt;OBJECTIFS!$G$56,AC$8*OBJECTIFS!$F$60,IF(AB45&lt;OBJECTIFS!$I$56,AC$8*OBJECTIFS!$H$60,AC$8)))),0)</f>
        <v>0</v>
      </c>
      <c r="AD45" s="186"/>
      <c r="AE45" s="187"/>
      <c r="AF45" s="96">
        <f t="shared" ca="1" si="11"/>
        <v>0</v>
      </c>
      <c r="AG45" s="63"/>
      <c r="AH45" s="186"/>
      <c r="AI45" s="24"/>
      <c r="AJ45" s="24"/>
      <c r="AK45" s="24"/>
      <c r="AL45" s="24"/>
      <c r="AM45" s="79">
        <f t="shared" si="12"/>
        <v>0</v>
      </c>
      <c r="AN45" s="79">
        <v>22</v>
      </c>
      <c r="AO45" s="80">
        <f t="shared" si="13"/>
        <v>0</v>
      </c>
      <c r="AP45" s="81" t="str">
        <f t="shared" ca="1" si="14"/>
        <v/>
      </c>
      <c r="AQ45" s="82"/>
      <c r="AR45" s="97">
        <f>IFERROR(VLOOKUP(B45,OBJECTIFS!$C$76:$E$137,2,FALSE),0)</f>
        <v>0</v>
      </c>
      <c r="AS45" s="98">
        <f>IFERROR(VLOOKUP(B45,OBJECTIFS!$H$76:$J$137,2,FALSE),0)</f>
        <v>0</v>
      </c>
      <c r="AT45" s="98">
        <f>IFERROR(VLOOKUP(B45,OBJECTIFS!$C$142:$E$203,2,FALSE),0)</f>
        <v>0</v>
      </c>
      <c r="AU45" s="98">
        <f>IFERROR(VLOOKUP(B45,OBJECTIFS!$H$142:$J$203,2,FALSE),0)</f>
        <v>0</v>
      </c>
      <c r="AV45" s="98">
        <f>IFERROR(VLOOKUP(B45,OBJECTIFS!$F$208:$H$269,3,FALSE),0)</f>
        <v>0</v>
      </c>
      <c r="AW45" s="81">
        <f t="shared" si="15"/>
        <v>0</v>
      </c>
      <c r="AX45" s="82"/>
      <c r="AY45" s="99" t="str">
        <f t="shared" ca="1" si="16"/>
        <v/>
      </c>
      <c r="AZ45" s="63"/>
      <c r="BA45" s="100">
        <f t="shared" ca="1" si="17"/>
        <v>0</v>
      </c>
      <c r="BB45" s="64" t="str">
        <f t="shared" ca="1" si="18"/>
        <v/>
      </c>
      <c r="BC45" s="101" t="str">
        <f t="shared" ca="1" si="19"/>
        <v/>
      </c>
    </row>
    <row r="46" spans="1:55" x14ac:dyDescent="0.2">
      <c r="A46" s="21"/>
      <c r="B46" s="22"/>
      <c r="C46" s="22"/>
      <c r="D46" s="23"/>
      <c r="E46" s="24"/>
      <c r="F46" s="34"/>
      <c r="H46" s="89" t="str">
        <f>IF(OR(D46="",F46="",A46=""),"",IF(E46="oui",0,IF(D46=OBJECTIFS!$C$45,VLOOKUP(F46,OBJECTIFS!$C$9:$D$11,2,FALSE),IF(D46=OBJECTIFS!$C$46,VLOOKUP(F46,OBJECTIFS!$C$16:$D$18,2,FALSE),IF(D46=OBJECTIFS!$C$47,VLOOKUP(F46,OBJECTIFS!$C$23:$D$25,2,FALSE),IF(D46=OBJECTIFS!$C$48,VLOOKUP(F46,OBJECTIFS!$C$30:$D$32,2,FALSE),IF(D46=OBJECTIFS!$C$49,VLOOKUP(F46,OBJECTIFS!$C$37:$D$39,2,FALSE))))))))</f>
        <v/>
      </c>
      <c r="J46" s="25"/>
      <c r="K46" s="90" t="str">
        <f>IF(OR($A46="",$D46="",J46=""),"",SUMIFS(OBJECTIFS!E$9:E$39,OBJECTIFS!$A$9:$A$39,$D46,OBJECTIFS!$C$9:$C$39,$F46))</f>
        <v/>
      </c>
      <c r="L46" s="90" t="str">
        <f>IF(OR(AND($D46=OBJECTIFS!$B$6,OBJECTIFS!E$8="dmt"),AND($D46=OBJECTIFS!$B$13,OBJECTIFS!$E$15="dmt"),AND($D46=OBJECTIFS!$B$20,OBJECTIFS!$E$22="dmt"),AND($D46=OBJECTIFS!$B$27,OBJECTIFS!$E$29="dmt"),AND($D46=OBJECTIFS!$B$34,OBJECTIFS!$E$36="dmt"),AND($D46=OBJECTIFS!$B$6,OBJECTIFS!$E$8="taux de chute"),AND($D46=OBJECTIFS!$B$13,OBJECTIFS!$E$15="taux de chute"),AND($D46=OBJECTIFS!$B$20,OBJECTIFS!$E$22="taux de chute"),AND($D46=OBJECTIFS!$B$27,OBJECTIFS!$E$29="taux de chute"),AND($D46=OBJECTIFS!$B$34,OBJECTIFS!$E$36="taux de chute")),IFERROR(K46/J46,""),IFERROR(J46/K46,""))</f>
        <v/>
      </c>
      <c r="M46" s="91">
        <f>IFERROR(IF(OR(J46="",K46="",L46=""),0,IF(L46&lt;OBJECTIFS!$E$56,0,IF(L46&lt;OBJECTIFS!$G$56,M$8*OBJECTIFS!$F$60,IF(L46&lt;OBJECTIFS!$I$56,M$8*OBJECTIFS!$H$60,M$8)))),0)</f>
        <v>0</v>
      </c>
      <c r="N46" s="161"/>
      <c r="O46" s="92" t="str">
        <f>IF(OR($A46="",$D46="",N46=""),"",SUMIFS(OBJECTIFS!F$9:F$39,OBJECTIFS!$A$9:$A$39,$D46,OBJECTIFS!$C$9:$C$39,$F46))</f>
        <v/>
      </c>
      <c r="P46" s="90" t="str">
        <f>IF(OR(AND($D46=OBJECTIFS!$B$6,OBJECTIFS!$F$8="dmt"),AND($D46=OBJECTIFS!$B$13,OBJECTIFS!$F$15="dmt"),AND($D46=OBJECTIFS!$B$20,OBJECTIFS!$F$22="dmt"),AND($D46=OBJECTIFS!$B$27,OBJECTIFS!$F$29="dmt"),AND($D46=OBJECTIFS!$B$34,OBJECTIFS!$F$36="dmt"),AND($D46=OBJECTIFS!$B$6,OBJECTIFS!$F$8="taux de chute"),AND($D46=OBJECTIFS!$B$13,OBJECTIFS!$F$15="taux de chute"),AND($D46=OBJECTIFS!$B$20,OBJECTIFS!$F$22="taux de chute"),AND($D46=OBJECTIFS!$B$27,OBJECTIFS!$F$29="taux de chute"),AND($D46=OBJECTIFS!$B$34,OBJECTIFS!$F$36="taux de chute")),IFERROR(O46/N46,""),IFERROR(N46/O46,""))</f>
        <v/>
      </c>
      <c r="Q46" s="91">
        <f>IFERROR(IF(OR(N46="",O46="",P46=""),0,IF(P46&lt;OBJECTIFS!$E$56,0,IF(P46&lt;OBJECTIFS!$G$56,Q$8*OBJECTIFS!$F$60,IF(P46&lt;OBJECTIFS!$I$56,Q$8*OBJECTIFS!$H$60,Q$8)))),0)</f>
        <v>0</v>
      </c>
      <c r="R46" s="164"/>
      <c r="S46" s="93" t="str">
        <f>IF(OR($A46="",$D46="",R46=""),"",SUMIFS(OBJECTIFS!G$9:G$39,OBJECTIFS!$A$9:$A$39,$D46,OBJECTIFS!$C$9:$C$39,$F46))</f>
        <v/>
      </c>
      <c r="T46" s="90" t="str">
        <f>IF(OR(AND($D46=OBJECTIFS!$B$6,OBJECTIFS!G$8="dmt"),AND($D46=OBJECTIFS!$B$13,OBJECTIFS!$G$15="dmt"),AND($D46=OBJECTIFS!$B$20,OBJECTIFS!$G$22="dmt"),AND($D46=OBJECTIFS!$B$27,OBJECTIFS!$G$29="dmt"),AND($D46=OBJECTIFS!$B$34,OBJECTIFS!$G$36="dmt"),AND($D46=OBJECTIFS!$B$6,OBJECTIFS!$G$8="taux de chute"),AND($D46=OBJECTIFS!$B$13,OBJECTIFS!$G$15="taux de chute"),AND($D46=OBJECTIFS!$B$20,OBJECTIFS!$G$22="taux de chute"),AND($D46=OBJECTIFS!$B$27,OBJECTIFS!$G$29="taux de chute"),AND($D46=OBJECTIFS!$B$34,OBJECTIFS!$G$36="taux de chute")),IFERROR(S46/R46,""),IFERROR(R46/S46,""))</f>
        <v/>
      </c>
      <c r="U46" s="94">
        <f>IFERROR(IF(OR(R46="",S46="",T46=""),0,IF(T46&lt;OBJECTIFS!$E$56,0,IF(T46&lt;OBJECTIFS!$G$56,U$8*OBJECTIFS!$F$60,IF(T46&lt;OBJECTIFS!$I$56,U$8*OBJECTIFS!$H$60,U$8)))),0)</f>
        <v>0</v>
      </c>
      <c r="V46" s="25"/>
      <c r="W46" s="90" t="str">
        <f>IF(OR($A46="",$D46="",V46=""),"",SUMIFS(OBJECTIFS!H$9:H$39,OBJECTIFS!$A$9:$A$39,$D46,OBJECTIFS!$C$9:$C$39,$F46))</f>
        <v/>
      </c>
      <c r="X46" s="90" t="str">
        <f>IF(OR(AND($D46=OBJECTIFS!$B$6,OBJECTIFS!H$8="dmt"),AND($D46=OBJECTIFS!$B$13,OBJECTIFS!$H$15="dmt"),AND($D46=OBJECTIFS!$B$20,OBJECTIFS!$H$22="dmt"),AND($D46=OBJECTIFS!$B$27,OBJECTIFS!$H$29="dmt"),AND($D46=OBJECTIFS!$B$34,OBJECTIFS!$H$36="dmt"),AND($D46=OBJECTIFS!$B$6,OBJECTIFS!$H$8="taux de chute"),AND($D46=OBJECTIFS!$B$13,OBJECTIFS!$H$15="taux de chute"),AND($D46=OBJECTIFS!$B$20,OBJECTIFS!$H$22="taux de chute"),AND($D46=OBJECTIFS!$B$27,OBJECTIFS!$H$29="taux de chute"),AND($D46=OBJECTIFS!$B$34,OBJECTIFS!$H$36="taux de chute")),IFERROR(W46/V46,""),IFERROR(V46/W46,""))</f>
        <v/>
      </c>
      <c r="Y46" s="91">
        <f>IFERROR(IF(OR(V46="",W46="",X46=""),0,IF(X46&lt;OBJECTIFS!$E$56,0,IF(X46&lt;OBJECTIFS!$G$56,Y$8*OBJECTIFS!$F$60,IF(X46&lt;OBJECTIFS!$I$56,Y$8*OBJECTIFS!$H$60,Y$8)))),0)</f>
        <v>0</v>
      </c>
      <c r="Z46" s="167"/>
      <c r="AA46" s="90" t="str">
        <f>IF(OR($A46="",$D46="",Z46=""),"",SUMIFS(OBJECTIFS!I$9:I$39,OBJECTIFS!$A$9:$A$39,$D46,OBJECTIFS!$C$9:$C$39,$F46))</f>
        <v/>
      </c>
      <c r="AB46" s="90" t="str">
        <f>IF(OR(AND($D46=OBJECTIFS!$B$6,OBJECTIFS!I$8="dmt"),AND($D46=OBJECTIFS!$B$13,OBJECTIFS!$I$15="dmt"),AND($D46=OBJECTIFS!$B$20,OBJECTIFS!$I$22="dmt"),AND($D46=OBJECTIFS!$B$27,OBJECTIFS!$I$29="dmt"),AND($D46=OBJECTIFS!$B$34,OBJECTIFS!$I$36="dmt"),AND($D46=OBJECTIFS!$B$6,OBJECTIFS!$I$8="taux de chute"),AND($D46=OBJECTIFS!$B$13,OBJECTIFS!$I$15="taux de chute"),AND($D46=OBJECTIFS!$B$20,OBJECTIFS!$I$22="taux de chute"),AND($D46=OBJECTIFS!$B$27,OBJECTIFS!$I$29="taux de chute"),AND($D46=OBJECTIFS!$B$34,OBJECTIFS!$I$36="taux de chute")),IFERROR(AA46/Z46,""),IFERROR(Z46/AA46,""))</f>
        <v/>
      </c>
      <c r="AC46" s="95">
        <f>IFERROR(IF(OR(Z46="",AA46="",AB46=""),0,IF(AB46&lt;OBJECTIFS!$E$56,0,IF(AB46&lt;OBJECTIFS!$G$56,AC$8*OBJECTIFS!$F$60,IF(AB46&lt;OBJECTIFS!$I$56,AC$8*OBJECTIFS!$H$60,AC$8)))),0)</f>
        <v>0</v>
      </c>
      <c r="AD46" s="186"/>
      <c r="AE46" s="187"/>
      <c r="AF46" s="96">
        <f t="shared" ca="1" si="11"/>
        <v>0</v>
      </c>
      <c r="AG46" s="63"/>
      <c r="AH46" s="186"/>
      <c r="AI46" s="24"/>
      <c r="AJ46" s="24"/>
      <c r="AK46" s="24"/>
      <c r="AL46" s="24"/>
      <c r="AM46" s="79">
        <f t="shared" si="12"/>
        <v>0</v>
      </c>
      <c r="AN46" s="79">
        <v>22</v>
      </c>
      <c r="AO46" s="80">
        <f t="shared" si="13"/>
        <v>0</v>
      </c>
      <c r="AP46" s="81" t="str">
        <f t="shared" ca="1" si="14"/>
        <v/>
      </c>
      <c r="AQ46" s="82"/>
      <c r="AR46" s="97">
        <f>IFERROR(VLOOKUP(B46,OBJECTIFS!$C$76:$E$137,2,FALSE),0)</f>
        <v>0</v>
      </c>
      <c r="AS46" s="98">
        <f>IFERROR(VLOOKUP(B46,OBJECTIFS!$H$76:$J$137,2,FALSE),0)</f>
        <v>0</v>
      </c>
      <c r="AT46" s="98">
        <f>IFERROR(VLOOKUP(B46,OBJECTIFS!$C$142:$E$203,2,FALSE),0)</f>
        <v>0</v>
      </c>
      <c r="AU46" s="98">
        <f>IFERROR(VLOOKUP(B46,OBJECTIFS!$H$142:$J$203,2,FALSE),0)</f>
        <v>0</v>
      </c>
      <c r="AV46" s="98">
        <f>IFERROR(VLOOKUP(B46,OBJECTIFS!$F$208:$H$269,3,FALSE),0)</f>
        <v>0</v>
      </c>
      <c r="AW46" s="81">
        <f t="shared" si="15"/>
        <v>0</v>
      </c>
      <c r="AX46" s="82"/>
      <c r="AY46" s="99" t="str">
        <f t="shared" ca="1" si="16"/>
        <v/>
      </c>
      <c r="AZ46" s="63"/>
      <c r="BA46" s="100">
        <f t="shared" ca="1" si="17"/>
        <v>0</v>
      </c>
      <c r="BB46" s="64" t="str">
        <f t="shared" ca="1" si="18"/>
        <v/>
      </c>
      <c r="BC46" s="101" t="str">
        <f t="shared" ca="1" si="19"/>
        <v/>
      </c>
    </row>
    <row r="47" spans="1:55" x14ac:dyDescent="0.2">
      <c r="A47" s="21"/>
      <c r="B47" s="22"/>
      <c r="C47" s="22"/>
      <c r="D47" s="23"/>
      <c r="E47" s="24"/>
      <c r="F47" s="34"/>
      <c r="H47" s="89" t="str">
        <f>IF(OR(D47="",F47="",A47=""),"",IF(E47="oui",0,IF(D47=OBJECTIFS!$C$45,VLOOKUP(F47,OBJECTIFS!$C$9:$D$11,2,FALSE),IF(D47=OBJECTIFS!$C$46,VLOOKUP(F47,OBJECTIFS!$C$16:$D$18,2,FALSE),IF(D47=OBJECTIFS!$C$47,VLOOKUP(F47,OBJECTIFS!$C$23:$D$25,2,FALSE),IF(D47=OBJECTIFS!$C$48,VLOOKUP(F47,OBJECTIFS!$C$30:$D$32,2,FALSE),IF(D47=OBJECTIFS!$C$49,VLOOKUP(F47,OBJECTIFS!$C$37:$D$39,2,FALSE))))))))</f>
        <v/>
      </c>
      <c r="J47" s="25"/>
      <c r="K47" s="90" t="str">
        <f>IF(OR($A47="",$D47="",J47=""),"",SUMIFS(OBJECTIFS!E$9:E$39,OBJECTIFS!$A$9:$A$39,$D47,OBJECTIFS!$C$9:$C$39,$F47))</f>
        <v/>
      </c>
      <c r="L47" s="90" t="str">
        <f>IF(OR(AND($D47=OBJECTIFS!$B$6,OBJECTIFS!E$8="dmt"),AND($D47=OBJECTIFS!$B$13,OBJECTIFS!$E$15="dmt"),AND($D47=OBJECTIFS!$B$20,OBJECTIFS!$E$22="dmt"),AND($D47=OBJECTIFS!$B$27,OBJECTIFS!$E$29="dmt"),AND($D47=OBJECTIFS!$B$34,OBJECTIFS!$E$36="dmt"),AND($D47=OBJECTIFS!$B$6,OBJECTIFS!$E$8="taux de chute"),AND($D47=OBJECTIFS!$B$13,OBJECTIFS!$E$15="taux de chute"),AND($D47=OBJECTIFS!$B$20,OBJECTIFS!$E$22="taux de chute"),AND($D47=OBJECTIFS!$B$27,OBJECTIFS!$E$29="taux de chute"),AND($D47=OBJECTIFS!$B$34,OBJECTIFS!$E$36="taux de chute")),IFERROR(K47/J47,""),IFERROR(J47/K47,""))</f>
        <v/>
      </c>
      <c r="M47" s="91">
        <f>IFERROR(IF(OR(J47="",K47="",L47=""),0,IF(L47&lt;OBJECTIFS!$E$56,0,IF(L47&lt;OBJECTIFS!$G$56,M$8*OBJECTIFS!$F$60,IF(L47&lt;OBJECTIFS!$I$56,M$8*OBJECTIFS!$H$60,M$8)))),0)</f>
        <v>0</v>
      </c>
      <c r="N47" s="161"/>
      <c r="O47" s="92" t="str">
        <f>IF(OR($A47="",$D47="",N47=""),"",SUMIFS(OBJECTIFS!F$9:F$39,OBJECTIFS!$A$9:$A$39,$D47,OBJECTIFS!$C$9:$C$39,$F47))</f>
        <v/>
      </c>
      <c r="P47" s="90" t="str">
        <f>IF(OR(AND($D47=OBJECTIFS!$B$6,OBJECTIFS!$F$8="dmt"),AND($D47=OBJECTIFS!$B$13,OBJECTIFS!$F$15="dmt"),AND($D47=OBJECTIFS!$B$20,OBJECTIFS!$F$22="dmt"),AND($D47=OBJECTIFS!$B$27,OBJECTIFS!$F$29="dmt"),AND($D47=OBJECTIFS!$B$34,OBJECTIFS!$F$36="dmt"),AND($D47=OBJECTIFS!$B$6,OBJECTIFS!$F$8="taux de chute"),AND($D47=OBJECTIFS!$B$13,OBJECTIFS!$F$15="taux de chute"),AND($D47=OBJECTIFS!$B$20,OBJECTIFS!$F$22="taux de chute"),AND($D47=OBJECTIFS!$B$27,OBJECTIFS!$F$29="taux de chute"),AND($D47=OBJECTIFS!$B$34,OBJECTIFS!$F$36="taux de chute")),IFERROR(O47/N47,""),IFERROR(N47/O47,""))</f>
        <v/>
      </c>
      <c r="Q47" s="91">
        <f>IFERROR(IF(OR(N47="",O47="",P47=""),0,IF(P47&lt;OBJECTIFS!$E$56,0,IF(P47&lt;OBJECTIFS!$G$56,Q$8*OBJECTIFS!$F$60,IF(P47&lt;OBJECTIFS!$I$56,Q$8*OBJECTIFS!$H$60,Q$8)))),0)</f>
        <v>0</v>
      </c>
      <c r="R47" s="164"/>
      <c r="S47" s="93" t="str">
        <f>IF(OR($A47="",$D47="",R47=""),"",SUMIFS(OBJECTIFS!G$9:G$39,OBJECTIFS!$A$9:$A$39,$D47,OBJECTIFS!$C$9:$C$39,$F47))</f>
        <v/>
      </c>
      <c r="T47" s="90" t="str">
        <f>IF(OR(AND($D47=OBJECTIFS!$B$6,OBJECTIFS!G$8="dmt"),AND($D47=OBJECTIFS!$B$13,OBJECTIFS!$G$15="dmt"),AND($D47=OBJECTIFS!$B$20,OBJECTIFS!$G$22="dmt"),AND($D47=OBJECTIFS!$B$27,OBJECTIFS!$G$29="dmt"),AND($D47=OBJECTIFS!$B$34,OBJECTIFS!$G$36="dmt"),AND($D47=OBJECTIFS!$B$6,OBJECTIFS!$G$8="taux de chute"),AND($D47=OBJECTIFS!$B$13,OBJECTIFS!$G$15="taux de chute"),AND($D47=OBJECTIFS!$B$20,OBJECTIFS!$G$22="taux de chute"),AND($D47=OBJECTIFS!$B$27,OBJECTIFS!$G$29="taux de chute"),AND($D47=OBJECTIFS!$B$34,OBJECTIFS!$G$36="taux de chute")),IFERROR(S47/R47,""),IFERROR(R47/S47,""))</f>
        <v/>
      </c>
      <c r="U47" s="94">
        <f>IFERROR(IF(OR(R47="",S47="",T47=""),0,IF(T47&lt;OBJECTIFS!$E$56,0,IF(T47&lt;OBJECTIFS!$G$56,U$8*OBJECTIFS!$F$60,IF(T47&lt;OBJECTIFS!$I$56,U$8*OBJECTIFS!$H$60,U$8)))),0)</f>
        <v>0</v>
      </c>
      <c r="V47" s="25"/>
      <c r="W47" s="90" t="str">
        <f>IF(OR($A47="",$D47="",V47=""),"",SUMIFS(OBJECTIFS!H$9:H$39,OBJECTIFS!$A$9:$A$39,$D47,OBJECTIFS!$C$9:$C$39,$F47))</f>
        <v/>
      </c>
      <c r="X47" s="90" t="str">
        <f>IF(OR(AND($D47=OBJECTIFS!$B$6,OBJECTIFS!H$8="dmt"),AND($D47=OBJECTIFS!$B$13,OBJECTIFS!$H$15="dmt"),AND($D47=OBJECTIFS!$B$20,OBJECTIFS!$H$22="dmt"),AND($D47=OBJECTIFS!$B$27,OBJECTIFS!$H$29="dmt"),AND($D47=OBJECTIFS!$B$34,OBJECTIFS!$H$36="dmt"),AND($D47=OBJECTIFS!$B$6,OBJECTIFS!$H$8="taux de chute"),AND($D47=OBJECTIFS!$B$13,OBJECTIFS!$H$15="taux de chute"),AND($D47=OBJECTIFS!$B$20,OBJECTIFS!$H$22="taux de chute"),AND($D47=OBJECTIFS!$B$27,OBJECTIFS!$H$29="taux de chute"),AND($D47=OBJECTIFS!$B$34,OBJECTIFS!$H$36="taux de chute")),IFERROR(W47/V47,""),IFERROR(V47/W47,""))</f>
        <v/>
      </c>
      <c r="Y47" s="91">
        <f>IFERROR(IF(OR(V47="",W47="",X47=""),0,IF(X47&lt;OBJECTIFS!$E$56,0,IF(X47&lt;OBJECTIFS!$G$56,Y$8*OBJECTIFS!$F$60,IF(X47&lt;OBJECTIFS!$I$56,Y$8*OBJECTIFS!$H$60,Y$8)))),0)</f>
        <v>0</v>
      </c>
      <c r="Z47" s="167"/>
      <c r="AA47" s="90" t="str">
        <f>IF(OR($A47="",$D47="",Z47=""),"",SUMIFS(OBJECTIFS!I$9:I$39,OBJECTIFS!$A$9:$A$39,$D47,OBJECTIFS!$C$9:$C$39,$F47))</f>
        <v/>
      </c>
      <c r="AB47" s="90" t="str">
        <f>IF(OR(AND($D47=OBJECTIFS!$B$6,OBJECTIFS!I$8="dmt"),AND($D47=OBJECTIFS!$B$13,OBJECTIFS!$I$15="dmt"),AND($D47=OBJECTIFS!$B$20,OBJECTIFS!$I$22="dmt"),AND($D47=OBJECTIFS!$B$27,OBJECTIFS!$I$29="dmt"),AND($D47=OBJECTIFS!$B$34,OBJECTIFS!$I$36="dmt"),AND($D47=OBJECTIFS!$B$6,OBJECTIFS!$I$8="taux de chute"),AND($D47=OBJECTIFS!$B$13,OBJECTIFS!$I$15="taux de chute"),AND($D47=OBJECTIFS!$B$20,OBJECTIFS!$I$22="taux de chute"),AND($D47=OBJECTIFS!$B$27,OBJECTIFS!$I$29="taux de chute"),AND($D47=OBJECTIFS!$B$34,OBJECTIFS!$I$36="taux de chute")),IFERROR(AA47/Z47,""),IFERROR(Z47/AA47,""))</f>
        <v/>
      </c>
      <c r="AC47" s="95">
        <f>IFERROR(IF(OR(Z47="",AA47="",AB47=""),0,IF(AB47&lt;OBJECTIFS!$E$56,0,IF(AB47&lt;OBJECTIFS!$G$56,AC$8*OBJECTIFS!$F$60,IF(AB47&lt;OBJECTIFS!$I$56,AC$8*OBJECTIFS!$H$60,AC$8)))),0)</f>
        <v>0</v>
      </c>
      <c r="AD47" s="186"/>
      <c r="AE47" s="187"/>
      <c r="AF47" s="96">
        <f t="shared" ca="1" si="11"/>
        <v>0</v>
      </c>
      <c r="AG47" s="63"/>
      <c r="AH47" s="186"/>
      <c r="AI47" s="24"/>
      <c r="AJ47" s="24"/>
      <c r="AK47" s="24"/>
      <c r="AL47" s="24"/>
      <c r="AM47" s="79">
        <f t="shared" si="12"/>
        <v>0</v>
      </c>
      <c r="AN47" s="79">
        <v>22</v>
      </c>
      <c r="AO47" s="80">
        <f t="shared" si="13"/>
        <v>0</v>
      </c>
      <c r="AP47" s="81" t="str">
        <f t="shared" ca="1" si="14"/>
        <v/>
      </c>
      <c r="AQ47" s="82"/>
      <c r="AR47" s="97">
        <f>IFERROR(VLOOKUP(B47,OBJECTIFS!$C$76:$E$137,2,FALSE),0)</f>
        <v>0</v>
      </c>
      <c r="AS47" s="98">
        <f>IFERROR(VLOOKUP(B47,OBJECTIFS!$H$76:$J$137,2,FALSE),0)</f>
        <v>0</v>
      </c>
      <c r="AT47" s="98">
        <f>IFERROR(VLOOKUP(B47,OBJECTIFS!$C$142:$E$203,2,FALSE),0)</f>
        <v>0</v>
      </c>
      <c r="AU47" s="98">
        <f>IFERROR(VLOOKUP(B47,OBJECTIFS!$H$142:$J$203,2,FALSE),0)</f>
        <v>0</v>
      </c>
      <c r="AV47" s="98">
        <f>IFERROR(VLOOKUP(B47,OBJECTIFS!$F$208:$H$269,3,FALSE),0)</f>
        <v>0</v>
      </c>
      <c r="AW47" s="81">
        <f t="shared" si="15"/>
        <v>0</v>
      </c>
      <c r="AX47" s="82"/>
      <c r="AY47" s="99" t="str">
        <f t="shared" ca="1" si="16"/>
        <v/>
      </c>
      <c r="AZ47" s="63"/>
      <c r="BA47" s="100">
        <f t="shared" ca="1" si="17"/>
        <v>0</v>
      </c>
      <c r="BB47" s="64" t="str">
        <f t="shared" ca="1" si="18"/>
        <v/>
      </c>
      <c r="BC47" s="101" t="str">
        <f t="shared" ca="1" si="19"/>
        <v/>
      </c>
    </row>
    <row r="48" spans="1:55" x14ac:dyDescent="0.2">
      <c r="A48" s="21"/>
      <c r="B48" s="22"/>
      <c r="C48" s="22"/>
      <c r="D48" s="23"/>
      <c r="E48" s="24"/>
      <c r="F48" s="34"/>
      <c r="H48" s="89" t="str">
        <f>IF(OR(D48="",F48="",A48=""),"",IF(E48="oui",0,IF(D48=OBJECTIFS!$C$45,VLOOKUP(F48,OBJECTIFS!$C$9:$D$11,2,FALSE),IF(D48=OBJECTIFS!$C$46,VLOOKUP(F48,OBJECTIFS!$C$16:$D$18,2,FALSE),IF(D48=OBJECTIFS!$C$47,VLOOKUP(F48,OBJECTIFS!$C$23:$D$25,2,FALSE),IF(D48=OBJECTIFS!$C$48,VLOOKUP(F48,OBJECTIFS!$C$30:$D$32,2,FALSE),IF(D48=OBJECTIFS!$C$49,VLOOKUP(F48,OBJECTIFS!$C$37:$D$39,2,FALSE))))))))</f>
        <v/>
      </c>
      <c r="J48" s="25"/>
      <c r="K48" s="90" t="str">
        <f>IF(OR($A48="",$D48="",J48=""),"",SUMIFS(OBJECTIFS!E$9:E$39,OBJECTIFS!$A$9:$A$39,$D48,OBJECTIFS!$C$9:$C$39,$F48))</f>
        <v/>
      </c>
      <c r="L48" s="90" t="str">
        <f>IF(OR(AND($D48=OBJECTIFS!$B$6,OBJECTIFS!E$8="dmt"),AND($D48=OBJECTIFS!$B$13,OBJECTIFS!$E$15="dmt"),AND($D48=OBJECTIFS!$B$20,OBJECTIFS!$E$22="dmt"),AND($D48=OBJECTIFS!$B$27,OBJECTIFS!$E$29="dmt"),AND($D48=OBJECTIFS!$B$34,OBJECTIFS!$E$36="dmt"),AND($D48=OBJECTIFS!$B$6,OBJECTIFS!$E$8="taux de chute"),AND($D48=OBJECTIFS!$B$13,OBJECTIFS!$E$15="taux de chute"),AND($D48=OBJECTIFS!$B$20,OBJECTIFS!$E$22="taux de chute"),AND($D48=OBJECTIFS!$B$27,OBJECTIFS!$E$29="taux de chute"),AND($D48=OBJECTIFS!$B$34,OBJECTIFS!$E$36="taux de chute")),IFERROR(K48/J48,""),IFERROR(J48/K48,""))</f>
        <v/>
      </c>
      <c r="M48" s="91">
        <f>IFERROR(IF(OR(J48="",K48="",L48=""),0,IF(L48&lt;OBJECTIFS!$E$56,0,IF(L48&lt;OBJECTIFS!$G$56,M$8*OBJECTIFS!$F$60,IF(L48&lt;OBJECTIFS!$I$56,M$8*OBJECTIFS!$H$60,M$8)))),0)</f>
        <v>0</v>
      </c>
      <c r="N48" s="161"/>
      <c r="O48" s="92" t="str">
        <f>IF(OR($A48="",$D48="",N48=""),"",SUMIFS(OBJECTIFS!F$9:F$39,OBJECTIFS!$A$9:$A$39,$D48,OBJECTIFS!$C$9:$C$39,$F48))</f>
        <v/>
      </c>
      <c r="P48" s="90" t="str">
        <f>IF(OR(AND($D48=OBJECTIFS!$B$6,OBJECTIFS!$F$8="dmt"),AND($D48=OBJECTIFS!$B$13,OBJECTIFS!$F$15="dmt"),AND($D48=OBJECTIFS!$B$20,OBJECTIFS!$F$22="dmt"),AND($D48=OBJECTIFS!$B$27,OBJECTIFS!$F$29="dmt"),AND($D48=OBJECTIFS!$B$34,OBJECTIFS!$F$36="dmt"),AND($D48=OBJECTIFS!$B$6,OBJECTIFS!$F$8="taux de chute"),AND($D48=OBJECTIFS!$B$13,OBJECTIFS!$F$15="taux de chute"),AND($D48=OBJECTIFS!$B$20,OBJECTIFS!$F$22="taux de chute"),AND($D48=OBJECTIFS!$B$27,OBJECTIFS!$F$29="taux de chute"),AND($D48=OBJECTIFS!$B$34,OBJECTIFS!$F$36="taux de chute")),IFERROR(O48/N48,""),IFERROR(N48/O48,""))</f>
        <v/>
      </c>
      <c r="Q48" s="91">
        <f>IFERROR(IF(OR(N48="",O48="",P48=""),0,IF(P48&lt;OBJECTIFS!$E$56,0,IF(P48&lt;OBJECTIFS!$G$56,Q$8*OBJECTIFS!$F$60,IF(P48&lt;OBJECTIFS!$I$56,Q$8*OBJECTIFS!$H$60,Q$8)))),0)</f>
        <v>0</v>
      </c>
      <c r="R48" s="164"/>
      <c r="S48" s="93" t="str">
        <f>IF(OR($A48="",$D48="",R48=""),"",SUMIFS(OBJECTIFS!G$9:G$39,OBJECTIFS!$A$9:$A$39,$D48,OBJECTIFS!$C$9:$C$39,$F48))</f>
        <v/>
      </c>
      <c r="T48" s="90" t="str">
        <f>IF(OR(AND($D48=OBJECTIFS!$B$6,OBJECTIFS!G$8="dmt"),AND($D48=OBJECTIFS!$B$13,OBJECTIFS!$G$15="dmt"),AND($D48=OBJECTIFS!$B$20,OBJECTIFS!$G$22="dmt"),AND($D48=OBJECTIFS!$B$27,OBJECTIFS!$G$29="dmt"),AND($D48=OBJECTIFS!$B$34,OBJECTIFS!$G$36="dmt"),AND($D48=OBJECTIFS!$B$6,OBJECTIFS!$G$8="taux de chute"),AND($D48=OBJECTIFS!$B$13,OBJECTIFS!$G$15="taux de chute"),AND($D48=OBJECTIFS!$B$20,OBJECTIFS!$G$22="taux de chute"),AND($D48=OBJECTIFS!$B$27,OBJECTIFS!$G$29="taux de chute"),AND($D48=OBJECTIFS!$B$34,OBJECTIFS!$G$36="taux de chute")),IFERROR(S48/R48,""),IFERROR(R48/S48,""))</f>
        <v/>
      </c>
      <c r="U48" s="94">
        <f>IFERROR(IF(OR(R48="",S48="",T48=""),0,IF(T48&lt;OBJECTIFS!$E$56,0,IF(T48&lt;OBJECTIFS!$G$56,U$8*OBJECTIFS!$F$60,IF(T48&lt;OBJECTIFS!$I$56,U$8*OBJECTIFS!$H$60,U$8)))),0)</f>
        <v>0</v>
      </c>
      <c r="V48" s="25"/>
      <c r="W48" s="90" t="str">
        <f>IF(OR($A48="",$D48="",V48=""),"",SUMIFS(OBJECTIFS!H$9:H$39,OBJECTIFS!$A$9:$A$39,$D48,OBJECTIFS!$C$9:$C$39,$F48))</f>
        <v/>
      </c>
      <c r="X48" s="90" t="str">
        <f>IF(OR(AND($D48=OBJECTIFS!$B$6,OBJECTIFS!H$8="dmt"),AND($D48=OBJECTIFS!$B$13,OBJECTIFS!$H$15="dmt"),AND($D48=OBJECTIFS!$B$20,OBJECTIFS!$H$22="dmt"),AND($D48=OBJECTIFS!$B$27,OBJECTIFS!$H$29="dmt"),AND($D48=OBJECTIFS!$B$34,OBJECTIFS!$H$36="dmt"),AND($D48=OBJECTIFS!$B$6,OBJECTIFS!$H$8="taux de chute"),AND($D48=OBJECTIFS!$B$13,OBJECTIFS!$H$15="taux de chute"),AND($D48=OBJECTIFS!$B$20,OBJECTIFS!$H$22="taux de chute"),AND($D48=OBJECTIFS!$B$27,OBJECTIFS!$H$29="taux de chute"),AND($D48=OBJECTIFS!$B$34,OBJECTIFS!$H$36="taux de chute")),IFERROR(W48/V48,""),IFERROR(V48/W48,""))</f>
        <v/>
      </c>
      <c r="Y48" s="91">
        <f>IFERROR(IF(OR(V48="",W48="",X48=""),0,IF(X48&lt;OBJECTIFS!$E$56,0,IF(X48&lt;OBJECTIFS!$G$56,Y$8*OBJECTIFS!$F$60,IF(X48&lt;OBJECTIFS!$I$56,Y$8*OBJECTIFS!$H$60,Y$8)))),0)</f>
        <v>0</v>
      </c>
      <c r="Z48" s="167"/>
      <c r="AA48" s="90" t="str">
        <f>IF(OR($A48="",$D48="",Z48=""),"",SUMIFS(OBJECTIFS!I$9:I$39,OBJECTIFS!$A$9:$A$39,$D48,OBJECTIFS!$C$9:$C$39,$F48))</f>
        <v/>
      </c>
      <c r="AB48" s="90" t="str">
        <f>IF(OR(AND($D48=OBJECTIFS!$B$6,OBJECTIFS!I$8="dmt"),AND($D48=OBJECTIFS!$B$13,OBJECTIFS!$I$15="dmt"),AND($D48=OBJECTIFS!$B$20,OBJECTIFS!$I$22="dmt"),AND($D48=OBJECTIFS!$B$27,OBJECTIFS!$I$29="dmt"),AND($D48=OBJECTIFS!$B$34,OBJECTIFS!$I$36="dmt"),AND($D48=OBJECTIFS!$B$6,OBJECTIFS!$I$8="taux de chute"),AND($D48=OBJECTIFS!$B$13,OBJECTIFS!$I$15="taux de chute"),AND($D48=OBJECTIFS!$B$20,OBJECTIFS!$I$22="taux de chute"),AND($D48=OBJECTIFS!$B$27,OBJECTIFS!$I$29="taux de chute"),AND($D48=OBJECTIFS!$B$34,OBJECTIFS!$I$36="taux de chute")),IFERROR(AA48/Z48,""),IFERROR(Z48/AA48,""))</f>
        <v/>
      </c>
      <c r="AC48" s="95">
        <f>IFERROR(IF(OR(Z48="",AA48="",AB48=""),0,IF(AB48&lt;OBJECTIFS!$E$56,0,IF(AB48&lt;OBJECTIFS!$G$56,AC$8*OBJECTIFS!$F$60,IF(AB48&lt;OBJECTIFS!$I$56,AC$8*OBJECTIFS!$H$60,AC$8)))),0)</f>
        <v>0</v>
      </c>
      <c r="AD48" s="186"/>
      <c r="AE48" s="187"/>
      <c r="AF48" s="96">
        <f t="shared" ca="1" si="11"/>
        <v>0</v>
      </c>
      <c r="AG48" s="63"/>
      <c r="AH48" s="186"/>
      <c r="AI48" s="24"/>
      <c r="AJ48" s="24"/>
      <c r="AK48" s="24"/>
      <c r="AL48" s="24"/>
      <c r="AM48" s="79">
        <f t="shared" si="12"/>
        <v>0</v>
      </c>
      <c r="AN48" s="79">
        <v>22</v>
      </c>
      <c r="AO48" s="80">
        <f t="shared" si="13"/>
        <v>0</v>
      </c>
      <c r="AP48" s="81" t="str">
        <f t="shared" ca="1" si="14"/>
        <v/>
      </c>
      <c r="AQ48" s="82"/>
      <c r="AR48" s="97">
        <f>IFERROR(VLOOKUP(B48,OBJECTIFS!$C$76:$E$137,2,FALSE),0)</f>
        <v>0</v>
      </c>
      <c r="AS48" s="98">
        <f>IFERROR(VLOOKUP(B48,OBJECTIFS!$H$76:$J$137,2,FALSE),0)</f>
        <v>0</v>
      </c>
      <c r="AT48" s="98">
        <f>IFERROR(VLOOKUP(B48,OBJECTIFS!$C$142:$E$203,2,FALSE),0)</f>
        <v>0</v>
      </c>
      <c r="AU48" s="98">
        <f>IFERROR(VLOOKUP(B48,OBJECTIFS!$H$142:$J$203,2,FALSE),0)</f>
        <v>0</v>
      </c>
      <c r="AV48" s="98">
        <f>IFERROR(VLOOKUP(B48,OBJECTIFS!$F$208:$H$269,3,FALSE),0)</f>
        <v>0</v>
      </c>
      <c r="AW48" s="81">
        <f t="shared" si="15"/>
        <v>0</v>
      </c>
      <c r="AX48" s="82"/>
      <c r="AY48" s="99" t="str">
        <f t="shared" ca="1" si="16"/>
        <v/>
      </c>
      <c r="AZ48" s="63"/>
      <c r="BA48" s="100">
        <f t="shared" ca="1" si="17"/>
        <v>0</v>
      </c>
      <c r="BB48" s="64" t="str">
        <f t="shared" ca="1" si="18"/>
        <v/>
      </c>
      <c r="BC48" s="101" t="str">
        <f t="shared" ca="1" si="19"/>
        <v/>
      </c>
    </row>
    <row r="49" spans="1:55" x14ac:dyDescent="0.2">
      <c r="A49" s="21"/>
      <c r="B49" s="22"/>
      <c r="C49" s="22"/>
      <c r="D49" s="23"/>
      <c r="E49" s="24"/>
      <c r="F49" s="34"/>
      <c r="H49" s="89" t="str">
        <f>IF(OR(D49="",F49="",A49=""),"",IF(E49="oui",0,IF(D49=OBJECTIFS!$C$45,VLOOKUP(F49,OBJECTIFS!$C$9:$D$11,2,FALSE),IF(D49=OBJECTIFS!$C$46,VLOOKUP(F49,OBJECTIFS!$C$16:$D$18,2,FALSE),IF(D49=OBJECTIFS!$C$47,VLOOKUP(F49,OBJECTIFS!$C$23:$D$25,2,FALSE),IF(D49=OBJECTIFS!$C$48,VLOOKUP(F49,OBJECTIFS!$C$30:$D$32,2,FALSE),IF(D49=OBJECTIFS!$C$49,VLOOKUP(F49,OBJECTIFS!$C$37:$D$39,2,FALSE))))))))</f>
        <v/>
      </c>
      <c r="J49" s="25"/>
      <c r="K49" s="90" t="str">
        <f>IF(OR($A49="",$D49="",J49=""),"",SUMIFS(OBJECTIFS!E$9:E$39,OBJECTIFS!$A$9:$A$39,$D49,OBJECTIFS!$C$9:$C$39,$F49))</f>
        <v/>
      </c>
      <c r="L49" s="90" t="str">
        <f>IF(OR(AND($D49=OBJECTIFS!$B$6,OBJECTIFS!E$8="dmt"),AND($D49=OBJECTIFS!$B$13,OBJECTIFS!$E$15="dmt"),AND($D49=OBJECTIFS!$B$20,OBJECTIFS!$E$22="dmt"),AND($D49=OBJECTIFS!$B$27,OBJECTIFS!$E$29="dmt"),AND($D49=OBJECTIFS!$B$34,OBJECTIFS!$E$36="dmt"),AND($D49=OBJECTIFS!$B$6,OBJECTIFS!$E$8="taux de chute"),AND($D49=OBJECTIFS!$B$13,OBJECTIFS!$E$15="taux de chute"),AND($D49=OBJECTIFS!$B$20,OBJECTIFS!$E$22="taux de chute"),AND($D49=OBJECTIFS!$B$27,OBJECTIFS!$E$29="taux de chute"),AND($D49=OBJECTIFS!$B$34,OBJECTIFS!$E$36="taux de chute")),IFERROR(K49/J49,""),IFERROR(J49/K49,""))</f>
        <v/>
      </c>
      <c r="M49" s="91">
        <f>IFERROR(IF(OR(J49="",K49="",L49=""),0,IF(L49&lt;OBJECTIFS!$E$56,0,IF(L49&lt;OBJECTIFS!$G$56,M$8*OBJECTIFS!$F$60,IF(L49&lt;OBJECTIFS!$I$56,M$8*OBJECTIFS!$H$60,M$8)))),0)</f>
        <v>0</v>
      </c>
      <c r="N49" s="161"/>
      <c r="O49" s="92" t="str">
        <f>IF(OR($A49="",$D49="",N49=""),"",SUMIFS(OBJECTIFS!F$9:F$39,OBJECTIFS!$A$9:$A$39,$D49,OBJECTIFS!$C$9:$C$39,$F49))</f>
        <v/>
      </c>
      <c r="P49" s="90" t="str">
        <f>IF(OR(AND($D49=OBJECTIFS!$B$6,OBJECTIFS!$F$8="dmt"),AND($D49=OBJECTIFS!$B$13,OBJECTIFS!$F$15="dmt"),AND($D49=OBJECTIFS!$B$20,OBJECTIFS!$F$22="dmt"),AND($D49=OBJECTIFS!$B$27,OBJECTIFS!$F$29="dmt"),AND($D49=OBJECTIFS!$B$34,OBJECTIFS!$F$36="dmt"),AND($D49=OBJECTIFS!$B$6,OBJECTIFS!$F$8="taux de chute"),AND($D49=OBJECTIFS!$B$13,OBJECTIFS!$F$15="taux de chute"),AND($D49=OBJECTIFS!$B$20,OBJECTIFS!$F$22="taux de chute"),AND($D49=OBJECTIFS!$B$27,OBJECTIFS!$F$29="taux de chute"),AND($D49=OBJECTIFS!$B$34,OBJECTIFS!$F$36="taux de chute")),IFERROR(O49/N49,""),IFERROR(N49/O49,""))</f>
        <v/>
      </c>
      <c r="Q49" s="91">
        <f>IFERROR(IF(OR(N49="",O49="",P49=""),0,IF(P49&lt;OBJECTIFS!$E$56,0,IF(P49&lt;OBJECTIFS!$G$56,Q$8*OBJECTIFS!$F$60,IF(P49&lt;OBJECTIFS!$I$56,Q$8*OBJECTIFS!$H$60,Q$8)))),0)</f>
        <v>0</v>
      </c>
      <c r="R49" s="164"/>
      <c r="S49" s="93" t="str">
        <f>IF(OR($A49="",$D49="",R49=""),"",SUMIFS(OBJECTIFS!G$9:G$39,OBJECTIFS!$A$9:$A$39,$D49,OBJECTIFS!$C$9:$C$39,$F49))</f>
        <v/>
      </c>
      <c r="T49" s="90" t="str">
        <f>IF(OR(AND($D49=OBJECTIFS!$B$6,OBJECTIFS!G$8="dmt"),AND($D49=OBJECTIFS!$B$13,OBJECTIFS!$G$15="dmt"),AND($D49=OBJECTIFS!$B$20,OBJECTIFS!$G$22="dmt"),AND($D49=OBJECTIFS!$B$27,OBJECTIFS!$G$29="dmt"),AND($D49=OBJECTIFS!$B$34,OBJECTIFS!$G$36="dmt"),AND($D49=OBJECTIFS!$B$6,OBJECTIFS!$G$8="taux de chute"),AND($D49=OBJECTIFS!$B$13,OBJECTIFS!$G$15="taux de chute"),AND($D49=OBJECTIFS!$B$20,OBJECTIFS!$G$22="taux de chute"),AND($D49=OBJECTIFS!$B$27,OBJECTIFS!$G$29="taux de chute"),AND($D49=OBJECTIFS!$B$34,OBJECTIFS!$G$36="taux de chute")),IFERROR(S49/R49,""),IFERROR(R49/S49,""))</f>
        <v/>
      </c>
      <c r="U49" s="94">
        <f>IFERROR(IF(OR(R49="",S49="",T49=""),0,IF(T49&lt;OBJECTIFS!$E$56,0,IF(T49&lt;OBJECTIFS!$G$56,U$8*OBJECTIFS!$F$60,IF(T49&lt;OBJECTIFS!$I$56,U$8*OBJECTIFS!$H$60,U$8)))),0)</f>
        <v>0</v>
      </c>
      <c r="V49" s="25"/>
      <c r="W49" s="90" t="str">
        <f>IF(OR($A49="",$D49="",V49=""),"",SUMIFS(OBJECTIFS!H$9:H$39,OBJECTIFS!$A$9:$A$39,$D49,OBJECTIFS!$C$9:$C$39,$F49))</f>
        <v/>
      </c>
      <c r="X49" s="90" t="str">
        <f>IF(OR(AND($D49=OBJECTIFS!$B$6,OBJECTIFS!H$8="dmt"),AND($D49=OBJECTIFS!$B$13,OBJECTIFS!$H$15="dmt"),AND($D49=OBJECTIFS!$B$20,OBJECTIFS!$H$22="dmt"),AND($D49=OBJECTIFS!$B$27,OBJECTIFS!$H$29="dmt"),AND($D49=OBJECTIFS!$B$34,OBJECTIFS!$H$36="dmt"),AND($D49=OBJECTIFS!$B$6,OBJECTIFS!$H$8="taux de chute"),AND($D49=OBJECTIFS!$B$13,OBJECTIFS!$H$15="taux de chute"),AND($D49=OBJECTIFS!$B$20,OBJECTIFS!$H$22="taux de chute"),AND($D49=OBJECTIFS!$B$27,OBJECTIFS!$H$29="taux de chute"),AND($D49=OBJECTIFS!$B$34,OBJECTIFS!$H$36="taux de chute")),IFERROR(W49/V49,""),IFERROR(V49/W49,""))</f>
        <v/>
      </c>
      <c r="Y49" s="91">
        <f>IFERROR(IF(OR(V49="",W49="",X49=""),0,IF(X49&lt;OBJECTIFS!$E$56,0,IF(X49&lt;OBJECTIFS!$G$56,Y$8*OBJECTIFS!$F$60,IF(X49&lt;OBJECTIFS!$I$56,Y$8*OBJECTIFS!$H$60,Y$8)))),0)</f>
        <v>0</v>
      </c>
      <c r="Z49" s="167"/>
      <c r="AA49" s="90" t="str">
        <f>IF(OR($A49="",$D49="",Z49=""),"",SUMIFS(OBJECTIFS!I$9:I$39,OBJECTIFS!$A$9:$A$39,$D49,OBJECTIFS!$C$9:$C$39,$F49))</f>
        <v/>
      </c>
      <c r="AB49" s="90" t="str">
        <f>IF(OR(AND($D49=OBJECTIFS!$B$6,OBJECTIFS!I$8="dmt"),AND($D49=OBJECTIFS!$B$13,OBJECTIFS!$I$15="dmt"),AND($D49=OBJECTIFS!$B$20,OBJECTIFS!$I$22="dmt"),AND($D49=OBJECTIFS!$B$27,OBJECTIFS!$I$29="dmt"),AND($D49=OBJECTIFS!$B$34,OBJECTIFS!$I$36="dmt"),AND($D49=OBJECTIFS!$B$6,OBJECTIFS!$I$8="taux de chute"),AND($D49=OBJECTIFS!$B$13,OBJECTIFS!$I$15="taux de chute"),AND($D49=OBJECTIFS!$B$20,OBJECTIFS!$I$22="taux de chute"),AND($D49=OBJECTIFS!$B$27,OBJECTIFS!$I$29="taux de chute"),AND($D49=OBJECTIFS!$B$34,OBJECTIFS!$I$36="taux de chute")),IFERROR(AA49/Z49,""),IFERROR(Z49/AA49,""))</f>
        <v/>
      </c>
      <c r="AC49" s="95">
        <f>IFERROR(IF(OR(Z49="",AA49="",AB49=""),0,IF(AB49&lt;OBJECTIFS!$E$56,0,IF(AB49&lt;OBJECTIFS!$G$56,AC$8*OBJECTIFS!$F$60,IF(AB49&lt;OBJECTIFS!$I$56,AC$8*OBJECTIFS!$H$60,AC$8)))),0)</f>
        <v>0</v>
      </c>
      <c r="AD49" s="186"/>
      <c r="AE49" s="187"/>
      <c r="AF49" s="96">
        <f t="shared" ca="1" si="11"/>
        <v>0</v>
      </c>
      <c r="AG49" s="63"/>
      <c r="AH49" s="186"/>
      <c r="AI49" s="24"/>
      <c r="AJ49" s="24"/>
      <c r="AK49" s="24"/>
      <c r="AL49" s="24"/>
      <c r="AM49" s="79">
        <f t="shared" si="12"/>
        <v>0</v>
      </c>
      <c r="AN49" s="79">
        <v>22</v>
      </c>
      <c r="AO49" s="80">
        <f t="shared" si="13"/>
        <v>0</v>
      </c>
      <c r="AP49" s="81" t="str">
        <f t="shared" ca="1" si="14"/>
        <v/>
      </c>
      <c r="AQ49" s="82"/>
      <c r="AR49" s="97">
        <f>IFERROR(VLOOKUP(B49,OBJECTIFS!$C$76:$E$137,2,FALSE),0)</f>
        <v>0</v>
      </c>
      <c r="AS49" s="98">
        <f>IFERROR(VLOOKUP(B49,OBJECTIFS!$H$76:$J$137,2,FALSE),0)</f>
        <v>0</v>
      </c>
      <c r="AT49" s="98">
        <f>IFERROR(VLOOKUP(B49,OBJECTIFS!$C$142:$E$203,2,FALSE),0)</f>
        <v>0</v>
      </c>
      <c r="AU49" s="98">
        <f>IFERROR(VLOOKUP(B49,OBJECTIFS!$H$142:$J$203,2,FALSE),0)</f>
        <v>0</v>
      </c>
      <c r="AV49" s="98">
        <f>IFERROR(VLOOKUP(B49,OBJECTIFS!$F$208:$H$269,3,FALSE),0)</f>
        <v>0</v>
      </c>
      <c r="AW49" s="81">
        <f t="shared" si="15"/>
        <v>0</v>
      </c>
      <c r="AX49" s="82"/>
      <c r="AY49" s="99" t="str">
        <f t="shared" ca="1" si="16"/>
        <v/>
      </c>
      <c r="AZ49" s="63"/>
      <c r="BA49" s="100">
        <f t="shared" ca="1" si="17"/>
        <v>0</v>
      </c>
      <c r="BB49" s="64" t="str">
        <f t="shared" ca="1" si="18"/>
        <v/>
      </c>
      <c r="BC49" s="101" t="str">
        <f t="shared" ca="1" si="19"/>
        <v/>
      </c>
    </row>
    <row r="50" spans="1:55" x14ac:dyDescent="0.2">
      <c r="A50" s="21"/>
      <c r="B50" s="22"/>
      <c r="C50" s="22"/>
      <c r="D50" s="23"/>
      <c r="E50" s="24"/>
      <c r="F50" s="34"/>
      <c r="H50" s="89" t="str">
        <f>IF(OR(D50="",F50="",A50=""),"",IF(E50="oui",0,IF(D50=OBJECTIFS!$C$45,VLOOKUP(F50,OBJECTIFS!$C$9:$D$11,2,FALSE),IF(D50=OBJECTIFS!$C$46,VLOOKUP(F50,OBJECTIFS!$C$16:$D$18,2,FALSE),IF(D50=OBJECTIFS!$C$47,VLOOKUP(F50,OBJECTIFS!$C$23:$D$25,2,FALSE),IF(D50=OBJECTIFS!$C$48,VLOOKUP(F50,OBJECTIFS!$C$30:$D$32,2,FALSE),IF(D50=OBJECTIFS!$C$49,VLOOKUP(F50,OBJECTIFS!$C$37:$D$39,2,FALSE))))))))</f>
        <v/>
      </c>
      <c r="J50" s="25"/>
      <c r="K50" s="90" t="str">
        <f>IF(OR($A50="",$D50="",J50=""),"",SUMIFS(OBJECTIFS!E$9:E$39,OBJECTIFS!$A$9:$A$39,$D50,OBJECTIFS!$C$9:$C$39,$F50))</f>
        <v/>
      </c>
      <c r="L50" s="90" t="str">
        <f>IF(OR(AND($D50=OBJECTIFS!$B$6,OBJECTIFS!E$8="dmt"),AND($D50=OBJECTIFS!$B$13,OBJECTIFS!$E$15="dmt"),AND($D50=OBJECTIFS!$B$20,OBJECTIFS!$E$22="dmt"),AND($D50=OBJECTIFS!$B$27,OBJECTIFS!$E$29="dmt"),AND($D50=OBJECTIFS!$B$34,OBJECTIFS!$E$36="dmt"),AND($D50=OBJECTIFS!$B$6,OBJECTIFS!$E$8="taux de chute"),AND($D50=OBJECTIFS!$B$13,OBJECTIFS!$E$15="taux de chute"),AND($D50=OBJECTIFS!$B$20,OBJECTIFS!$E$22="taux de chute"),AND($D50=OBJECTIFS!$B$27,OBJECTIFS!$E$29="taux de chute"),AND($D50=OBJECTIFS!$B$34,OBJECTIFS!$E$36="taux de chute")),IFERROR(K50/J50,""),IFERROR(J50/K50,""))</f>
        <v/>
      </c>
      <c r="M50" s="91">
        <f>IFERROR(IF(OR(J50="",K50="",L50=""),0,IF(L50&lt;OBJECTIFS!$E$56,0,IF(L50&lt;OBJECTIFS!$G$56,M$8*OBJECTIFS!$F$60,IF(L50&lt;OBJECTIFS!$I$56,M$8*OBJECTIFS!$H$60,M$8)))),0)</f>
        <v>0</v>
      </c>
      <c r="N50" s="161"/>
      <c r="O50" s="92" t="str">
        <f>IF(OR($A50="",$D50="",N50=""),"",SUMIFS(OBJECTIFS!F$9:F$39,OBJECTIFS!$A$9:$A$39,$D50,OBJECTIFS!$C$9:$C$39,$F50))</f>
        <v/>
      </c>
      <c r="P50" s="90" t="str">
        <f>IF(OR(AND($D50=OBJECTIFS!$B$6,OBJECTIFS!$F$8="dmt"),AND($D50=OBJECTIFS!$B$13,OBJECTIFS!$F$15="dmt"),AND($D50=OBJECTIFS!$B$20,OBJECTIFS!$F$22="dmt"),AND($D50=OBJECTIFS!$B$27,OBJECTIFS!$F$29="dmt"),AND($D50=OBJECTIFS!$B$34,OBJECTIFS!$F$36="dmt"),AND($D50=OBJECTIFS!$B$6,OBJECTIFS!$F$8="taux de chute"),AND($D50=OBJECTIFS!$B$13,OBJECTIFS!$F$15="taux de chute"),AND($D50=OBJECTIFS!$B$20,OBJECTIFS!$F$22="taux de chute"),AND($D50=OBJECTIFS!$B$27,OBJECTIFS!$F$29="taux de chute"),AND($D50=OBJECTIFS!$B$34,OBJECTIFS!$F$36="taux de chute")),IFERROR(O50/N50,""),IFERROR(N50/O50,""))</f>
        <v/>
      </c>
      <c r="Q50" s="91">
        <f>IFERROR(IF(OR(N50="",O50="",P50=""),0,IF(P50&lt;OBJECTIFS!$E$56,0,IF(P50&lt;OBJECTIFS!$G$56,Q$8*OBJECTIFS!$F$60,IF(P50&lt;OBJECTIFS!$I$56,Q$8*OBJECTIFS!$H$60,Q$8)))),0)</f>
        <v>0</v>
      </c>
      <c r="R50" s="164"/>
      <c r="S50" s="93" t="str">
        <f>IF(OR($A50="",$D50="",R50=""),"",SUMIFS(OBJECTIFS!G$9:G$39,OBJECTIFS!$A$9:$A$39,$D50,OBJECTIFS!$C$9:$C$39,$F50))</f>
        <v/>
      </c>
      <c r="T50" s="90" t="str">
        <f>IF(OR(AND($D50=OBJECTIFS!$B$6,OBJECTIFS!G$8="dmt"),AND($D50=OBJECTIFS!$B$13,OBJECTIFS!$G$15="dmt"),AND($D50=OBJECTIFS!$B$20,OBJECTIFS!$G$22="dmt"),AND($D50=OBJECTIFS!$B$27,OBJECTIFS!$G$29="dmt"),AND($D50=OBJECTIFS!$B$34,OBJECTIFS!$G$36="dmt"),AND($D50=OBJECTIFS!$B$6,OBJECTIFS!$G$8="taux de chute"),AND($D50=OBJECTIFS!$B$13,OBJECTIFS!$G$15="taux de chute"),AND($D50=OBJECTIFS!$B$20,OBJECTIFS!$G$22="taux de chute"),AND($D50=OBJECTIFS!$B$27,OBJECTIFS!$G$29="taux de chute"),AND($D50=OBJECTIFS!$B$34,OBJECTIFS!$G$36="taux de chute")),IFERROR(S50/R50,""),IFERROR(R50/S50,""))</f>
        <v/>
      </c>
      <c r="U50" s="94">
        <f>IFERROR(IF(OR(R50="",S50="",T50=""),0,IF(T50&lt;OBJECTIFS!$E$56,0,IF(T50&lt;OBJECTIFS!$G$56,U$8*OBJECTIFS!$F$60,IF(T50&lt;OBJECTIFS!$I$56,U$8*OBJECTIFS!$H$60,U$8)))),0)</f>
        <v>0</v>
      </c>
      <c r="V50" s="25"/>
      <c r="W50" s="90" t="str">
        <f>IF(OR($A50="",$D50="",V50=""),"",SUMIFS(OBJECTIFS!H$9:H$39,OBJECTIFS!$A$9:$A$39,$D50,OBJECTIFS!$C$9:$C$39,$F50))</f>
        <v/>
      </c>
      <c r="X50" s="90" t="str">
        <f>IF(OR(AND($D50=OBJECTIFS!$B$6,OBJECTIFS!H$8="dmt"),AND($D50=OBJECTIFS!$B$13,OBJECTIFS!$H$15="dmt"),AND($D50=OBJECTIFS!$B$20,OBJECTIFS!$H$22="dmt"),AND($D50=OBJECTIFS!$B$27,OBJECTIFS!$H$29="dmt"),AND($D50=OBJECTIFS!$B$34,OBJECTIFS!$H$36="dmt"),AND($D50=OBJECTIFS!$B$6,OBJECTIFS!$H$8="taux de chute"),AND($D50=OBJECTIFS!$B$13,OBJECTIFS!$H$15="taux de chute"),AND($D50=OBJECTIFS!$B$20,OBJECTIFS!$H$22="taux de chute"),AND($D50=OBJECTIFS!$B$27,OBJECTIFS!$H$29="taux de chute"),AND($D50=OBJECTIFS!$B$34,OBJECTIFS!$H$36="taux de chute")),IFERROR(W50/V50,""),IFERROR(V50/W50,""))</f>
        <v/>
      </c>
      <c r="Y50" s="91">
        <f>IFERROR(IF(OR(V50="",W50="",X50=""),0,IF(X50&lt;OBJECTIFS!$E$56,0,IF(X50&lt;OBJECTIFS!$G$56,Y$8*OBJECTIFS!$F$60,IF(X50&lt;OBJECTIFS!$I$56,Y$8*OBJECTIFS!$H$60,Y$8)))),0)</f>
        <v>0</v>
      </c>
      <c r="Z50" s="167"/>
      <c r="AA50" s="90" t="str">
        <f>IF(OR($A50="",$D50="",Z50=""),"",SUMIFS(OBJECTIFS!I$9:I$39,OBJECTIFS!$A$9:$A$39,$D50,OBJECTIFS!$C$9:$C$39,$F50))</f>
        <v/>
      </c>
      <c r="AB50" s="90" t="str">
        <f>IF(OR(AND($D50=OBJECTIFS!$B$6,OBJECTIFS!I$8="dmt"),AND($D50=OBJECTIFS!$B$13,OBJECTIFS!$I$15="dmt"),AND($D50=OBJECTIFS!$B$20,OBJECTIFS!$I$22="dmt"),AND($D50=OBJECTIFS!$B$27,OBJECTIFS!$I$29="dmt"),AND($D50=OBJECTIFS!$B$34,OBJECTIFS!$I$36="dmt"),AND($D50=OBJECTIFS!$B$6,OBJECTIFS!$I$8="taux de chute"),AND($D50=OBJECTIFS!$B$13,OBJECTIFS!$I$15="taux de chute"),AND($D50=OBJECTIFS!$B$20,OBJECTIFS!$I$22="taux de chute"),AND($D50=OBJECTIFS!$B$27,OBJECTIFS!$I$29="taux de chute"),AND($D50=OBJECTIFS!$B$34,OBJECTIFS!$I$36="taux de chute")),IFERROR(AA50/Z50,""),IFERROR(Z50/AA50,""))</f>
        <v/>
      </c>
      <c r="AC50" s="95">
        <f>IFERROR(IF(OR(Z50="",AA50="",AB50=""),0,IF(AB50&lt;OBJECTIFS!$E$56,0,IF(AB50&lt;OBJECTIFS!$G$56,AC$8*OBJECTIFS!$F$60,IF(AB50&lt;OBJECTIFS!$I$56,AC$8*OBJECTIFS!$H$60,AC$8)))),0)</f>
        <v>0</v>
      </c>
      <c r="AD50" s="186"/>
      <c r="AE50" s="187"/>
      <c r="AF50" s="96">
        <f t="shared" ca="1" si="11"/>
        <v>0</v>
      </c>
      <c r="AG50" s="63"/>
      <c r="AH50" s="186"/>
      <c r="AI50" s="24"/>
      <c r="AJ50" s="24"/>
      <c r="AK50" s="24"/>
      <c r="AL50" s="24"/>
      <c r="AM50" s="79">
        <f t="shared" si="12"/>
        <v>0</v>
      </c>
      <c r="AN50" s="79">
        <v>22</v>
      </c>
      <c r="AO50" s="80">
        <f t="shared" si="13"/>
        <v>0</v>
      </c>
      <c r="AP50" s="81" t="str">
        <f t="shared" ca="1" si="14"/>
        <v/>
      </c>
      <c r="AQ50" s="82"/>
      <c r="AR50" s="97">
        <f>IFERROR(VLOOKUP(B50,OBJECTIFS!$C$76:$E$137,2,FALSE),0)</f>
        <v>0</v>
      </c>
      <c r="AS50" s="98">
        <f>IFERROR(VLOOKUP(B50,OBJECTIFS!$H$76:$J$137,2,FALSE),0)</f>
        <v>0</v>
      </c>
      <c r="AT50" s="98">
        <f>IFERROR(VLOOKUP(B50,OBJECTIFS!$C$142:$E$203,2,FALSE),0)</f>
        <v>0</v>
      </c>
      <c r="AU50" s="98">
        <f>IFERROR(VLOOKUP(B50,OBJECTIFS!$H$142:$J$203,2,FALSE),0)</f>
        <v>0</v>
      </c>
      <c r="AV50" s="98">
        <f>IFERROR(VLOOKUP(B50,OBJECTIFS!$F$208:$H$269,3,FALSE),0)</f>
        <v>0</v>
      </c>
      <c r="AW50" s="81">
        <f t="shared" si="15"/>
        <v>0</v>
      </c>
      <c r="AX50" s="82"/>
      <c r="AY50" s="99" t="str">
        <f t="shared" ca="1" si="16"/>
        <v/>
      </c>
      <c r="AZ50" s="63"/>
      <c r="BA50" s="100">
        <f t="shared" ca="1" si="17"/>
        <v>0</v>
      </c>
      <c r="BB50" s="64" t="str">
        <f t="shared" ca="1" si="18"/>
        <v/>
      </c>
      <c r="BC50" s="101" t="str">
        <f t="shared" ca="1" si="19"/>
        <v/>
      </c>
    </row>
    <row r="51" spans="1:55" x14ac:dyDescent="0.2">
      <c r="A51" s="21"/>
      <c r="B51" s="22"/>
      <c r="C51" s="22"/>
      <c r="D51" s="23"/>
      <c r="E51" s="24"/>
      <c r="F51" s="34"/>
      <c r="H51" s="89" t="str">
        <f>IF(OR(D51="",F51="",A51=""),"",IF(E51="oui",0,IF(D51=OBJECTIFS!$C$45,VLOOKUP(F51,OBJECTIFS!$C$9:$D$11,2,FALSE),IF(D51=OBJECTIFS!$C$46,VLOOKUP(F51,OBJECTIFS!$C$16:$D$18,2,FALSE),IF(D51=OBJECTIFS!$C$47,VLOOKUP(F51,OBJECTIFS!$C$23:$D$25,2,FALSE),IF(D51=OBJECTIFS!$C$48,VLOOKUP(F51,OBJECTIFS!$C$30:$D$32,2,FALSE),IF(D51=OBJECTIFS!$C$49,VLOOKUP(F51,OBJECTIFS!$C$37:$D$39,2,FALSE))))))))</f>
        <v/>
      </c>
      <c r="J51" s="25"/>
      <c r="K51" s="90" t="str">
        <f>IF(OR($A51="",$D51="",J51=""),"",SUMIFS(OBJECTIFS!E$9:E$39,OBJECTIFS!$A$9:$A$39,$D51,OBJECTIFS!$C$9:$C$39,$F51))</f>
        <v/>
      </c>
      <c r="L51" s="90" t="str">
        <f>IF(OR(AND($D51=OBJECTIFS!$B$6,OBJECTIFS!E$8="dmt"),AND($D51=OBJECTIFS!$B$13,OBJECTIFS!$E$15="dmt"),AND($D51=OBJECTIFS!$B$20,OBJECTIFS!$E$22="dmt"),AND($D51=OBJECTIFS!$B$27,OBJECTIFS!$E$29="dmt"),AND($D51=OBJECTIFS!$B$34,OBJECTIFS!$E$36="dmt"),AND($D51=OBJECTIFS!$B$6,OBJECTIFS!$E$8="taux de chute"),AND($D51=OBJECTIFS!$B$13,OBJECTIFS!$E$15="taux de chute"),AND($D51=OBJECTIFS!$B$20,OBJECTIFS!$E$22="taux de chute"),AND($D51=OBJECTIFS!$B$27,OBJECTIFS!$E$29="taux de chute"),AND($D51=OBJECTIFS!$B$34,OBJECTIFS!$E$36="taux de chute")),IFERROR(K51/J51,""),IFERROR(J51/K51,""))</f>
        <v/>
      </c>
      <c r="M51" s="91">
        <f>IFERROR(IF(OR(J51="",K51="",L51=""),0,IF(L51&lt;OBJECTIFS!$E$56,0,IF(L51&lt;OBJECTIFS!$G$56,M$8*OBJECTIFS!$F$60,IF(L51&lt;OBJECTIFS!$I$56,M$8*OBJECTIFS!$H$60,M$8)))),0)</f>
        <v>0</v>
      </c>
      <c r="N51" s="161"/>
      <c r="O51" s="92" t="str">
        <f>IF(OR($A51="",$D51="",N51=""),"",SUMIFS(OBJECTIFS!F$9:F$39,OBJECTIFS!$A$9:$A$39,$D51,OBJECTIFS!$C$9:$C$39,$F51))</f>
        <v/>
      </c>
      <c r="P51" s="90" t="str">
        <f>IF(OR(AND($D51=OBJECTIFS!$B$6,OBJECTIFS!$F$8="dmt"),AND($D51=OBJECTIFS!$B$13,OBJECTIFS!$F$15="dmt"),AND($D51=OBJECTIFS!$B$20,OBJECTIFS!$F$22="dmt"),AND($D51=OBJECTIFS!$B$27,OBJECTIFS!$F$29="dmt"),AND($D51=OBJECTIFS!$B$34,OBJECTIFS!$F$36="dmt"),AND($D51=OBJECTIFS!$B$6,OBJECTIFS!$F$8="taux de chute"),AND($D51=OBJECTIFS!$B$13,OBJECTIFS!$F$15="taux de chute"),AND($D51=OBJECTIFS!$B$20,OBJECTIFS!$F$22="taux de chute"),AND($D51=OBJECTIFS!$B$27,OBJECTIFS!$F$29="taux de chute"),AND($D51=OBJECTIFS!$B$34,OBJECTIFS!$F$36="taux de chute")),IFERROR(O51/N51,""),IFERROR(N51/O51,""))</f>
        <v/>
      </c>
      <c r="Q51" s="91">
        <f>IFERROR(IF(OR(N51="",O51="",P51=""),0,IF(P51&lt;OBJECTIFS!$E$56,0,IF(P51&lt;OBJECTIFS!$G$56,Q$8*OBJECTIFS!$F$60,IF(P51&lt;OBJECTIFS!$I$56,Q$8*OBJECTIFS!$H$60,Q$8)))),0)</f>
        <v>0</v>
      </c>
      <c r="R51" s="164"/>
      <c r="S51" s="93" t="str">
        <f>IF(OR($A51="",$D51="",R51=""),"",SUMIFS(OBJECTIFS!G$9:G$39,OBJECTIFS!$A$9:$A$39,$D51,OBJECTIFS!$C$9:$C$39,$F51))</f>
        <v/>
      </c>
      <c r="T51" s="90" t="str">
        <f>IF(OR(AND($D51=OBJECTIFS!$B$6,OBJECTIFS!G$8="dmt"),AND($D51=OBJECTIFS!$B$13,OBJECTIFS!$G$15="dmt"),AND($D51=OBJECTIFS!$B$20,OBJECTIFS!$G$22="dmt"),AND($D51=OBJECTIFS!$B$27,OBJECTIFS!$G$29="dmt"),AND($D51=OBJECTIFS!$B$34,OBJECTIFS!$G$36="dmt"),AND($D51=OBJECTIFS!$B$6,OBJECTIFS!$G$8="taux de chute"),AND($D51=OBJECTIFS!$B$13,OBJECTIFS!$G$15="taux de chute"),AND($D51=OBJECTIFS!$B$20,OBJECTIFS!$G$22="taux de chute"),AND($D51=OBJECTIFS!$B$27,OBJECTIFS!$G$29="taux de chute"),AND($D51=OBJECTIFS!$B$34,OBJECTIFS!$G$36="taux de chute")),IFERROR(S51/R51,""),IFERROR(R51/S51,""))</f>
        <v/>
      </c>
      <c r="U51" s="94">
        <f>IFERROR(IF(OR(R51="",S51="",T51=""),0,IF(T51&lt;OBJECTIFS!$E$56,0,IF(T51&lt;OBJECTIFS!$G$56,U$8*OBJECTIFS!$F$60,IF(T51&lt;OBJECTIFS!$I$56,U$8*OBJECTIFS!$H$60,U$8)))),0)</f>
        <v>0</v>
      </c>
      <c r="V51" s="25"/>
      <c r="W51" s="90" t="str">
        <f>IF(OR($A51="",$D51="",V51=""),"",SUMIFS(OBJECTIFS!H$9:H$39,OBJECTIFS!$A$9:$A$39,$D51,OBJECTIFS!$C$9:$C$39,$F51))</f>
        <v/>
      </c>
      <c r="X51" s="90" t="str">
        <f>IF(OR(AND($D51=OBJECTIFS!$B$6,OBJECTIFS!H$8="dmt"),AND($D51=OBJECTIFS!$B$13,OBJECTIFS!$H$15="dmt"),AND($D51=OBJECTIFS!$B$20,OBJECTIFS!$H$22="dmt"),AND($D51=OBJECTIFS!$B$27,OBJECTIFS!$H$29="dmt"),AND($D51=OBJECTIFS!$B$34,OBJECTIFS!$H$36="dmt"),AND($D51=OBJECTIFS!$B$6,OBJECTIFS!$H$8="taux de chute"),AND($D51=OBJECTIFS!$B$13,OBJECTIFS!$H$15="taux de chute"),AND($D51=OBJECTIFS!$B$20,OBJECTIFS!$H$22="taux de chute"),AND($D51=OBJECTIFS!$B$27,OBJECTIFS!$H$29="taux de chute"),AND($D51=OBJECTIFS!$B$34,OBJECTIFS!$H$36="taux de chute")),IFERROR(W51/V51,""),IFERROR(V51/W51,""))</f>
        <v/>
      </c>
      <c r="Y51" s="91">
        <f>IFERROR(IF(OR(V51="",W51="",X51=""),0,IF(X51&lt;OBJECTIFS!$E$56,0,IF(X51&lt;OBJECTIFS!$G$56,Y$8*OBJECTIFS!$F$60,IF(X51&lt;OBJECTIFS!$I$56,Y$8*OBJECTIFS!$H$60,Y$8)))),0)</f>
        <v>0</v>
      </c>
      <c r="Z51" s="167"/>
      <c r="AA51" s="90" t="str">
        <f>IF(OR($A51="",$D51="",Z51=""),"",SUMIFS(OBJECTIFS!I$9:I$39,OBJECTIFS!$A$9:$A$39,$D51,OBJECTIFS!$C$9:$C$39,$F51))</f>
        <v/>
      </c>
      <c r="AB51" s="90" t="str">
        <f>IF(OR(AND($D51=OBJECTIFS!$B$6,OBJECTIFS!I$8="dmt"),AND($D51=OBJECTIFS!$B$13,OBJECTIFS!$I$15="dmt"),AND($D51=OBJECTIFS!$B$20,OBJECTIFS!$I$22="dmt"),AND($D51=OBJECTIFS!$B$27,OBJECTIFS!$I$29="dmt"),AND($D51=OBJECTIFS!$B$34,OBJECTIFS!$I$36="dmt"),AND($D51=OBJECTIFS!$B$6,OBJECTIFS!$I$8="taux de chute"),AND($D51=OBJECTIFS!$B$13,OBJECTIFS!$I$15="taux de chute"),AND($D51=OBJECTIFS!$B$20,OBJECTIFS!$I$22="taux de chute"),AND($D51=OBJECTIFS!$B$27,OBJECTIFS!$I$29="taux de chute"),AND($D51=OBJECTIFS!$B$34,OBJECTIFS!$I$36="taux de chute")),IFERROR(AA51/Z51,""),IFERROR(Z51/AA51,""))</f>
        <v/>
      </c>
      <c r="AC51" s="95">
        <f>IFERROR(IF(OR(Z51="",AA51="",AB51=""),0,IF(AB51&lt;OBJECTIFS!$E$56,0,IF(AB51&lt;OBJECTIFS!$G$56,AC$8*OBJECTIFS!$F$60,IF(AB51&lt;OBJECTIFS!$I$56,AC$8*OBJECTIFS!$H$60,AC$8)))),0)</f>
        <v>0</v>
      </c>
      <c r="AD51" s="186"/>
      <c r="AE51" s="187"/>
      <c r="AF51" s="96">
        <f t="shared" ca="1" si="11"/>
        <v>0</v>
      </c>
      <c r="AG51" s="63"/>
      <c r="AH51" s="186"/>
      <c r="AI51" s="24"/>
      <c r="AJ51" s="24"/>
      <c r="AK51" s="24"/>
      <c r="AL51" s="24"/>
      <c r="AM51" s="79">
        <f t="shared" si="12"/>
        <v>0</v>
      </c>
      <c r="AN51" s="79">
        <v>22</v>
      </c>
      <c r="AO51" s="80">
        <f t="shared" si="13"/>
        <v>0</v>
      </c>
      <c r="AP51" s="81" t="str">
        <f t="shared" ca="1" si="14"/>
        <v/>
      </c>
      <c r="AQ51" s="82"/>
      <c r="AR51" s="97">
        <f>IFERROR(VLOOKUP(B51,OBJECTIFS!$C$76:$E$137,2,FALSE),0)</f>
        <v>0</v>
      </c>
      <c r="AS51" s="98">
        <f>IFERROR(VLOOKUP(B51,OBJECTIFS!$H$76:$J$137,2,FALSE),0)</f>
        <v>0</v>
      </c>
      <c r="AT51" s="98">
        <f>IFERROR(VLOOKUP(B51,OBJECTIFS!$C$142:$E$203,2,FALSE),0)</f>
        <v>0</v>
      </c>
      <c r="AU51" s="98">
        <f>IFERROR(VLOOKUP(B51,OBJECTIFS!$H$142:$J$203,2,FALSE),0)</f>
        <v>0</v>
      </c>
      <c r="AV51" s="98">
        <f>IFERROR(VLOOKUP(B51,OBJECTIFS!$F$208:$H$269,3,FALSE),0)</f>
        <v>0</v>
      </c>
      <c r="AW51" s="81">
        <f t="shared" si="15"/>
        <v>0</v>
      </c>
      <c r="AX51" s="82"/>
      <c r="AY51" s="99" t="str">
        <f t="shared" ca="1" si="16"/>
        <v/>
      </c>
      <c r="AZ51" s="63"/>
      <c r="BA51" s="100">
        <f t="shared" ca="1" si="17"/>
        <v>0</v>
      </c>
      <c r="BB51" s="64" t="str">
        <f t="shared" ca="1" si="18"/>
        <v/>
      </c>
      <c r="BC51" s="101" t="str">
        <f t="shared" ca="1" si="19"/>
        <v/>
      </c>
    </row>
    <row r="52" spans="1:55" x14ac:dyDescent="0.2">
      <c r="A52" s="21"/>
      <c r="B52" s="22"/>
      <c r="C52" s="22"/>
      <c r="D52" s="23"/>
      <c r="E52" s="24"/>
      <c r="F52" s="34"/>
      <c r="H52" s="89" t="str">
        <f>IF(OR(D52="",F52="",A52=""),"",IF(E52="oui",0,IF(D52=OBJECTIFS!$C$45,VLOOKUP(F52,OBJECTIFS!$C$9:$D$11,2,FALSE),IF(D52=OBJECTIFS!$C$46,VLOOKUP(F52,OBJECTIFS!$C$16:$D$18,2,FALSE),IF(D52=OBJECTIFS!$C$47,VLOOKUP(F52,OBJECTIFS!$C$23:$D$25,2,FALSE),IF(D52=OBJECTIFS!$C$48,VLOOKUP(F52,OBJECTIFS!$C$30:$D$32,2,FALSE),IF(D52=OBJECTIFS!$C$49,VLOOKUP(F52,OBJECTIFS!$C$37:$D$39,2,FALSE))))))))</f>
        <v/>
      </c>
      <c r="J52" s="25"/>
      <c r="K52" s="90" t="str">
        <f>IF(OR($A52="",$D52="",J52=""),"",SUMIFS(OBJECTIFS!E$9:E$39,OBJECTIFS!$A$9:$A$39,$D52,OBJECTIFS!$C$9:$C$39,$F52))</f>
        <v/>
      </c>
      <c r="L52" s="90" t="str">
        <f>IF(OR(AND($D52=OBJECTIFS!$B$6,OBJECTIFS!E$8="dmt"),AND($D52=OBJECTIFS!$B$13,OBJECTIFS!$E$15="dmt"),AND($D52=OBJECTIFS!$B$20,OBJECTIFS!$E$22="dmt"),AND($D52=OBJECTIFS!$B$27,OBJECTIFS!$E$29="dmt"),AND($D52=OBJECTIFS!$B$34,OBJECTIFS!$E$36="dmt"),AND($D52=OBJECTIFS!$B$6,OBJECTIFS!$E$8="taux de chute"),AND($D52=OBJECTIFS!$B$13,OBJECTIFS!$E$15="taux de chute"),AND($D52=OBJECTIFS!$B$20,OBJECTIFS!$E$22="taux de chute"),AND($D52=OBJECTIFS!$B$27,OBJECTIFS!$E$29="taux de chute"),AND($D52=OBJECTIFS!$B$34,OBJECTIFS!$E$36="taux de chute")),IFERROR(K52/J52,""),IFERROR(J52/K52,""))</f>
        <v/>
      </c>
      <c r="M52" s="91">
        <f>IFERROR(IF(OR(J52="",K52="",L52=""),0,IF(L52&lt;OBJECTIFS!$E$56,0,IF(L52&lt;OBJECTIFS!$G$56,M$8*OBJECTIFS!$F$60,IF(L52&lt;OBJECTIFS!$I$56,M$8*OBJECTIFS!$H$60,M$8)))),0)</f>
        <v>0</v>
      </c>
      <c r="N52" s="161"/>
      <c r="O52" s="92" t="str">
        <f>IF(OR($A52="",$D52="",N52=""),"",SUMIFS(OBJECTIFS!F$9:F$39,OBJECTIFS!$A$9:$A$39,$D52,OBJECTIFS!$C$9:$C$39,$F52))</f>
        <v/>
      </c>
      <c r="P52" s="90" t="str">
        <f>IF(OR(AND($D52=OBJECTIFS!$B$6,OBJECTIFS!$F$8="dmt"),AND($D52=OBJECTIFS!$B$13,OBJECTIFS!$F$15="dmt"),AND($D52=OBJECTIFS!$B$20,OBJECTIFS!$F$22="dmt"),AND($D52=OBJECTIFS!$B$27,OBJECTIFS!$F$29="dmt"),AND($D52=OBJECTIFS!$B$34,OBJECTIFS!$F$36="dmt"),AND($D52=OBJECTIFS!$B$6,OBJECTIFS!$F$8="taux de chute"),AND($D52=OBJECTIFS!$B$13,OBJECTIFS!$F$15="taux de chute"),AND($D52=OBJECTIFS!$B$20,OBJECTIFS!$F$22="taux de chute"),AND($D52=OBJECTIFS!$B$27,OBJECTIFS!$F$29="taux de chute"),AND($D52=OBJECTIFS!$B$34,OBJECTIFS!$F$36="taux de chute")),IFERROR(O52/N52,""),IFERROR(N52/O52,""))</f>
        <v/>
      </c>
      <c r="Q52" s="91">
        <f>IFERROR(IF(OR(N52="",O52="",P52=""),0,IF(P52&lt;OBJECTIFS!$E$56,0,IF(P52&lt;OBJECTIFS!$G$56,Q$8*OBJECTIFS!$F$60,IF(P52&lt;OBJECTIFS!$I$56,Q$8*OBJECTIFS!$H$60,Q$8)))),0)</f>
        <v>0</v>
      </c>
      <c r="R52" s="164"/>
      <c r="S52" s="93" t="str">
        <f>IF(OR($A52="",$D52="",R52=""),"",SUMIFS(OBJECTIFS!G$9:G$39,OBJECTIFS!$A$9:$A$39,$D52,OBJECTIFS!$C$9:$C$39,$F52))</f>
        <v/>
      </c>
      <c r="T52" s="90" t="str">
        <f>IF(OR(AND($D52=OBJECTIFS!$B$6,OBJECTIFS!G$8="dmt"),AND($D52=OBJECTIFS!$B$13,OBJECTIFS!$G$15="dmt"),AND($D52=OBJECTIFS!$B$20,OBJECTIFS!$G$22="dmt"),AND($D52=OBJECTIFS!$B$27,OBJECTIFS!$G$29="dmt"),AND($D52=OBJECTIFS!$B$34,OBJECTIFS!$G$36="dmt"),AND($D52=OBJECTIFS!$B$6,OBJECTIFS!$G$8="taux de chute"),AND($D52=OBJECTIFS!$B$13,OBJECTIFS!$G$15="taux de chute"),AND($D52=OBJECTIFS!$B$20,OBJECTIFS!$G$22="taux de chute"),AND($D52=OBJECTIFS!$B$27,OBJECTIFS!$G$29="taux de chute"),AND($D52=OBJECTIFS!$B$34,OBJECTIFS!$G$36="taux de chute")),IFERROR(S52/R52,""),IFERROR(R52/S52,""))</f>
        <v/>
      </c>
      <c r="U52" s="94">
        <f>IFERROR(IF(OR(R52="",S52="",T52=""),0,IF(T52&lt;OBJECTIFS!$E$56,0,IF(T52&lt;OBJECTIFS!$G$56,U$8*OBJECTIFS!$F$60,IF(T52&lt;OBJECTIFS!$I$56,U$8*OBJECTIFS!$H$60,U$8)))),0)</f>
        <v>0</v>
      </c>
      <c r="V52" s="25"/>
      <c r="W52" s="90" t="str">
        <f>IF(OR($A52="",$D52="",V52=""),"",SUMIFS(OBJECTIFS!H$9:H$39,OBJECTIFS!$A$9:$A$39,$D52,OBJECTIFS!$C$9:$C$39,$F52))</f>
        <v/>
      </c>
      <c r="X52" s="90" t="str">
        <f>IF(OR(AND($D52=OBJECTIFS!$B$6,OBJECTIFS!H$8="dmt"),AND($D52=OBJECTIFS!$B$13,OBJECTIFS!$H$15="dmt"),AND($D52=OBJECTIFS!$B$20,OBJECTIFS!$H$22="dmt"),AND($D52=OBJECTIFS!$B$27,OBJECTIFS!$H$29="dmt"),AND($D52=OBJECTIFS!$B$34,OBJECTIFS!$H$36="dmt"),AND($D52=OBJECTIFS!$B$6,OBJECTIFS!$H$8="taux de chute"),AND($D52=OBJECTIFS!$B$13,OBJECTIFS!$H$15="taux de chute"),AND($D52=OBJECTIFS!$B$20,OBJECTIFS!$H$22="taux de chute"),AND($D52=OBJECTIFS!$B$27,OBJECTIFS!$H$29="taux de chute"),AND($D52=OBJECTIFS!$B$34,OBJECTIFS!$H$36="taux de chute")),IFERROR(W52/V52,""),IFERROR(V52/W52,""))</f>
        <v/>
      </c>
      <c r="Y52" s="91">
        <f>IFERROR(IF(OR(V52="",W52="",X52=""),0,IF(X52&lt;OBJECTIFS!$E$56,0,IF(X52&lt;OBJECTIFS!$G$56,Y$8*OBJECTIFS!$F$60,IF(X52&lt;OBJECTIFS!$I$56,Y$8*OBJECTIFS!$H$60,Y$8)))),0)</f>
        <v>0</v>
      </c>
      <c r="Z52" s="167"/>
      <c r="AA52" s="90" t="str">
        <f>IF(OR($A52="",$D52="",Z52=""),"",SUMIFS(OBJECTIFS!I$9:I$39,OBJECTIFS!$A$9:$A$39,$D52,OBJECTIFS!$C$9:$C$39,$F52))</f>
        <v/>
      </c>
      <c r="AB52" s="90" t="str">
        <f>IF(OR(AND($D52=OBJECTIFS!$B$6,OBJECTIFS!I$8="dmt"),AND($D52=OBJECTIFS!$B$13,OBJECTIFS!$I$15="dmt"),AND($D52=OBJECTIFS!$B$20,OBJECTIFS!$I$22="dmt"),AND($D52=OBJECTIFS!$B$27,OBJECTIFS!$I$29="dmt"),AND($D52=OBJECTIFS!$B$34,OBJECTIFS!$I$36="dmt"),AND($D52=OBJECTIFS!$B$6,OBJECTIFS!$I$8="taux de chute"),AND($D52=OBJECTIFS!$B$13,OBJECTIFS!$I$15="taux de chute"),AND($D52=OBJECTIFS!$B$20,OBJECTIFS!$I$22="taux de chute"),AND($D52=OBJECTIFS!$B$27,OBJECTIFS!$I$29="taux de chute"),AND($D52=OBJECTIFS!$B$34,OBJECTIFS!$I$36="taux de chute")),IFERROR(AA52/Z52,""),IFERROR(Z52/AA52,""))</f>
        <v/>
      </c>
      <c r="AC52" s="95">
        <f>IFERROR(IF(OR(Z52="",AA52="",AB52=""),0,IF(AB52&lt;OBJECTIFS!$E$56,0,IF(AB52&lt;OBJECTIFS!$G$56,AC$8*OBJECTIFS!$F$60,IF(AB52&lt;OBJECTIFS!$I$56,AC$8*OBJECTIFS!$H$60,AC$8)))),0)</f>
        <v>0</v>
      </c>
      <c r="AD52" s="186"/>
      <c r="AE52" s="187"/>
      <c r="AF52" s="96">
        <f t="shared" ca="1" si="11"/>
        <v>0</v>
      </c>
      <c r="AG52" s="63"/>
      <c r="AH52" s="186"/>
      <c r="AI52" s="24"/>
      <c r="AJ52" s="24"/>
      <c r="AK52" s="24"/>
      <c r="AL52" s="24"/>
      <c r="AM52" s="79">
        <f t="shared" si="12"/>
        <v>0</v>
      </c>
      <c r="AN52" s="79">
        <v>22</v>
      </c>
      <c r="AO52" s="80">
        <f t="shared" si="13"/>
        <v>0</v>
      </c>
      <c r="AP52" s="81" t="str">
        <f t="shared" ca="1" si="14"/>
        <v/>
      </c>
      <c r="AQ52" s="82"/>
      <c r="AR52" s="97">
        <f>IFERROR(VLOOKUP(B52,OBJECTIFS!$C$76:$E$137,2,FALSE),0)</f>
        <v>0</v>
      </c>
      <c r="AS52" s="98">
        <f>IFERROR(VLOOKUP(B52,OBJECTIFS!$H$76:$J$137,2,FALSE),0)</f>
        <v>0</v>
      </c>
      <c r="AT52" s="98">
        <f>IFERROR(VLOOKUP(B52,OBJECTIFS!$C$142:$E$203,2,FALSE),0)</f>
        <v>0</v>
      </c>
      <c r="AU52" s="98">
        <f>IFERROR(VLOOKUP(B52,OBJECTIFS!$H$142:$J$203,2,FALSE),0)</f>
        <v>0</v>
      </c>
      <c r="AV52" s="98">
        <f>IFERROR(VLOOKUP(B52,OBJECTIFS!$F$208:$H$269,3,FALSE),0)</f>
        <v>0</v>
      </c>
      <c r="AW52" s="81">
        <f t="shared" si="15"/>
        <v>0</v>
      </c>
      <c r="AX52" s="82"/>
      <c r="AY52" s="99" t="str">
        <f t="shared" ca="1" si="16"/>
        <v/>
      </c>
      <c r="AZ52" s="63"/>
      <c r="BA52" s="100">
        <f t="shared" ca="1" si="17"/>
        <v>0</v>
      </c>
      <c r="BB52" s="64" t="str">
        <f t="shared" ca="1" si="18"/>
        <v/>
      </c>
      <c r="BC52" s="101" t="str">
        <f t="shared" ca="1" si="19"/>
        <v/>
      </c>
    </row>
    <row r="53" spans="1:55" x14ac:dyDescent="0.2">
      <c r="A53" s="21"/>
      <c r="B53" s="22"/>
      <c r="C53" s="22"/>
      <c r="D53" s="23"/>
      <c r="E53" s="24"/>
      <c r="F53" s="34"/>
      <c r="H53" s="89" t="str">
        <f>IF(OR(D53="",F53="",A53=""),"",IF(E53="oui",0,IF(D53=OBJECTIFS!$C$45,VLOOKUP(F53,OBJECTIFS!$C$9:$D$11,2,FALSE),IF(D53=OBJECTIFS!$C$46,VLOOKUP(F53,OBJECTIFS!$C$16:$D$18,2,FALSE),IF(D53=OBJECTIFS!$C$47,VLOOKUP(F53,OBJECTIFS!$C$23:$D$25,2,FALSE),IF(D53=OBJECTIFS!$C$48,VLOOKUP(F53,OBJECTIFS!$C$30:$D$32,2,FALSE),IF(D53=OBJECTIFS!$C$49,VLOOKUP(F53,OBJECTIFS!$C$37:$D$39,2,FALSE))))))))</f>
        <v/>
      </c>
      <c r="J53" s="25"/>
      <c r="K53" s="90" t="str">
        <f>IF(OR($A53="",$D53="",J53=""),"",SUMIFS(OBJECTIFS!E$9:E$39,OBJECTIFS!$A$9:$A$39,$D53,OBJECTIFS!$C$9:$C$39,$F53))</f>
        <v/>
      </c>
      <c r="L53" s="90" t="str">
        <f>IF(OR(AND($D53=OBJECTIFS!$B$6,OBJECTIFS!E$8="dmt"),AND($D53=OBJECTIFS!$B$13,OBJECTIFS!$E$15="dmt"),AND($D53=OBJECTIFS!$B$20,OBJECTIFS!$E$22="dmt"),AND($D53=OBJECTIFS!$B$27,OBJECTIFS!$E$29="dmt"),AND($D53=OBJECTIFS!$B$34,OBJECTIFS!$E$36="dmt"),AND($D53=OBJECTIFS!$B$6,OBJECTIFS!$E$8="taux de chute"),AND($D53=OBJECTIFS!$B$13,OBJECTIFS!$E$15="taux de chute"),AND($D53=OBJECTIFS!$B$20,OBJECTIFS!$E$22="taux de chute"),AND($D53=OBJECTIFS!$B$27,OBJECTIFS!$E$29="taux de chute"),AND($D53=OBJECTIFS!$B$34,OBJECTIFS!$E$36="taux de chute")),IFERROR(K53/J53,""),IFERROR(J53/K53,""))</f>
        <v/>
      </c>
      <c r="M53" s="91">
        <f>IFERROR(IF(OR(J53="",K53="",L53=""),0,IF(L53&lt;OBJECTIFS!$E$56,0,IF(L53&lt;OBJECTIFS!$G$56,M$8*OBJECTIFS!$F$60,IF(L53&lt;OBJECTIFS!$I$56,M$8*OBJECTIFS!$H$60,M$8)))),0)</f>
        <v>0</v>
      </c>
      <c r="N53" s="161"/>
      <c r="O53" s="92" t="str">
        <f>IF(OR($A53="",$D53="",N53=""),"",SUMIFS(OBJECTIFS!F$9:F$39,OBJECTIFS!$A$9:$A$39,$D53,OBJECTIFS!$C$9:$C$39,$F53))</f>
        <v/>
      </c>
      <c r="P53" s="90" t="str">
        <f>IF(OR(AND($D53=OBJECTIFS!$B$6,OBJECTIFS!$F$8="dmt"),AND($D53=OBJECTIFS!$B$13,OBJECTIFS!$F$15="dmt"),AND($D53=OBJECTIFS!$B$20,OBJECTIFS!$F$22="dmt"),AND($D53=OBJECTIFS!$B$27,OBJECTIFS!$F$29="dmt"),AND($D53=OBJECTIFS!$B$34,OBJECTIFS!$F$36="dmt"),AND($D53=OBJECTIFS!$B$6,OBJECTIFS!$F$8="taux de chute"),AND($D53=OBJECTIFS!$B$13,OBJECTIFS!$F$15="taux de chute"),AND($D53=OBJECTIFS!$B$20,OBJECTIFS!$F$22="taux de chute"),AND($D53=OBJECTIFS!$B$27,OBJECTIFS!$F$29="taux de chute"),AND($D53=OBJECTIFS!$B$34,OBJECTIFS!$F$36="taux de chute")),IFERROR(O53/N53,""),IFERROR(N53/O53,""))</f>
        <v/>
      </c>
      <c r="Q53" s="91">
        <f>IFERROR(IF(OR(N53="",O53="",P53=""),0,IF(P53&lt;OBJECTIFS!$E$56,0,IF(P53&lt;OBJECTIFS!$G$56,Q$8*OBJECTIFS!$F$60,IF(P53&lt;OBJECTIFS!$I$56,Q$8*OBJECTIFS!$H$60,Q$8)))),0)</f>
        <v>0</v>
      </c>
      <c r="R53" s="164"/>
      <c r="S53" s="93" t="str">
        <f>IF(OR($A53="",$D53="",R53=""),"",SUMIFS(OBJECTIFS!G$9:G$39,OBJECTIFS!$A$9:$A$39,$D53,OBJECTIFS!$C$9:$C$39,$F53))</f>
        <v/>
      </c>
      <c r="T53" s="90" t="str">
        <f>IF(OR(AND($D53=OBJECTIFS!$B$6,OBJECTIFS!G$8="dmt"),AND($D53=OBJECTIFS!$B$13,OBJECTIFS!$G$15="dmt"),AND($D53=OBJECTIFS!$B$20,OBJECTIFS!$G$22="dmt"),AND($D53=OBJECTIFS!$B$27,OBJECTIFS!$G$29="dmt"),AND($D53=OBJECTIFS!$B$34,OBJECTIFS!$G$36="dmt"),AND($D53=OBJECTIFS!$B$6,OBJECTIFS!$G$8="taux de chute"),AND($D53=OBJECTIFS!$B$13,OBJECTIFS!$G$15="taux de chute"),AND($D53=OBJECTIFS!$B$20,OBJECTIFS!$G$22="taux de chute"),AND($D53=OBJECTIFS!$B$27,OBJECTIFS!$G$29="taux de chute"),AND($D53=OBJECTIFS!$B$34,OBJECTIFS!$G$36="taux de chute")),IFERROR(S53/R53,""),IFERROR(R53/S53,""))</f>
        <v/>
      </c>
      <c r="U53" s="94">
        <f>IFERROR(IF(OR(R53="",S53="",T53=""),0,IF(T53&lt;OBJECTIFS!$E$56,0,IF(T53&lt;OBJECTIFS!$G$56,U$8*OBJECTIFS!$F$60,IF(T53&lt;OBJECTIFS!$I$56,U$8*OBJECTIFS!$H$60,U$8)))),0)</f>
        <v>0</v>
      </c>
      <c r="V53" s="25"/>
      <c r="W53" s="90" t="str">
        <f>IF(OR($A53="",$D53="",V53=""),"",SUMIFS(OBJECTIFS!H$9:H$39,OBJECTIFS!$A$9:$A$39,$D53,OBJECTIFS!$C$9:$C$39,$F53))</f>
        <v/>
      </c>
      <c r="X53" s="90" t="str">
        <f>IF(OR(AND($D53=OBJECTIFS!$B$6,OBJECTIFS!H$8="dmt"),AND($D53=OBJECTIFS!$B$13,OBJECTIFS!$H$15="dmt"),AND($D53=OBJECTIFS!$B$20,OBJECTIFS!$H$22="dmt"),AND($D53=OBJECTIFS!$B$27,OBJECTIFS!$H$29="dmt"),AND($D53=OBJECTIFS!$B$34,OBJECTIFS!$H$36="dmt"),AND($D53=OBJECTIFS!$B$6,OBJECTIFS!$H$8="taux de chute"),AND($D53=OBJECTIFS!$B$13,OBJECTIFS!$H$15="taux de chute"),AND($D53=OBJECTIFS!$B$20,OBJECTIFS!$H$22="taux de chute"),AND($D53=OBJECTIFS!$B$27,OBJECTIFS!$H$29="taux de chute"),AND($D53=OBJECTIFS!$B$34,OBJECTIFS!$H$36="taux de chute")),IFERROR(W53/V53,""),IFERROR(V53/W53,""))</f>
        <v/>
      </c>
      <c r="Y53" s="91">
        <f>IFERROR(IF(OR(V53="",W53="",X53=""),0,IF(X53&lt;OBJECTIFS!$E$56,0,IF(X53&lt;OBJECTIFS!$G$56,Y$8*OBJECTIFS!$F$60,IF(X53&lt;OBJECTIFS!$I$56,Y$8*OBJECTIFS!$H$60,Y$8)))),0)</f>
        <v>0</v>
      </c>
      <c r="Z53" s="167"/>
      <c r="AA53" s="90" t="str">
        <f>IF(OR($A53="",$D53="",Z53=""),"",SUMIFS(OBJECTIFS!I$9:I$39,OBJECTIFS!$A$9:$A$39,$D53,OBJECTIFS!$C$9:$C$39,$F53))</f>
        <v/>
      </c>
      <c r="AB53" s="90" t="str">
        <f>IF(OR(AND($D53=OBJECTIFS!$B$6,OBJECTIFS!I$8="dmt"),AND($D53=OBJECTIFS!$B$13,OBJECTIFS!$I$15="dmt"),AND($D53=OBJECTIFS!$B$20,OBJECTIFS!$I$22="dmt"),AND($D53=OBJECTIFS!$B$27,OBJECTIFS!$I$29="dmt"),AND($D53=OBJECTIFS!$B$34,OBJECTIFS!$I$36="dmt"),AND($D53=OBJECTIFS!$B$6,OBJECTIFS!$I$8="taux de chute"),AND($D53=OBJECTIFS!$B$13,OBJECTIFS!$I$15="taux de chute"),AND($D53=OBJECTIFS!$B$20,OBJECTIFS!$I$22="taux de chute"),AND($D53=OBJECTIFS!$B$27,OBJECTIFS!$I$29="taux de chute"),AND($D53=OBJECTIFS!$B$34,OBJECTIFS!$I$36="taux de chute")),IFERROR(AA53/Z53,""),IFERROR(Z53/AA53,""))</f>
        <v/>
      </c>
      <c r="AC53" s="95">
        <f>IFERROR(IF(OR(Z53="",AA53="",AB53=""),0,IF(AB53&lt;OBJECTIFS!$E$56,0,IF(AB53&lt;OBJECTIFS!$G$56,AC$8*OBJECTIFS!$F$60,IF(AB53&lt;OBJECTIFS!$I$56,AC$8*OBJECTIFS!$H$60,AC$8)))),0)</f>
        <v>0</v>
      </c>
      <c r="AD53" s="186"/>
      <c r="AE53" s="187"/>
      <c r="AF53" s="96">
        <f t="shared" ca="1" si="11"/>
        <v>0</v>
      </c>
      <c r="AG53" s="63"/>
      <c r="AH53" s="186"/>
      <c r="AI53" s="24"/>
      <c r="AJ53" s="24"/>
      <c r="AK53" s="24"/>
      <c r="AL53" s="24"/>
      <c r="AM53" s="79">
        <f t="shared" si="12"/>
        <v>0</v>
      </c>
      <c r="AN53" s="79">
        <v>22</v>
      </c>
      <c r="AO53" s="80">
        <f t="shared" si="13"/>
        <v>0</v>
      </c>
      <c r="AP53" s="81" t="str">
        <f t="shared" ca="1" si="14"/>
        <v/>
      </c>
      <c r="AQ53" s="82"/>
      <c r="AR53" s="97">
        <f>IFERROR(VLOOKUP(B53,OBJECTIFS!$C$76:$E$137,2,FALSE),0)</f>
        <v>0</v>
      </c>
      <c r="AS53" s="98">
        <f>IFERROR(VLOOKUP(B53,OBJECTIFS!$H$76:$J$137,2,FALSE),0)</f>
        <v>0</v>
      </c>
      <c r="AT53" s="98">
        <f>IFERROR(VLOOKUP(B53,OBJECTIFS!$C$142:$E$203,2,FALSE),0)</f>
        <v>0</v>
      </c>
      <c r="AU53" s="98">
        <f>IFERROR(VLOOKUP(B53,OBJECTIFS!$H$142:$J$203,2,FALSE),0)</f>
        <v>0</v>
      </c>
      <c r="AV53" s="98">
        <f>IFERROR(VLOOKUP(B53,OBJECTIFS!$F$208:$H$269,3,FALSE),0)</f>
        <v>0</v>
      </c>
      <c r="AW53" s="81">
        <f t="shared" si="15"/>
        <v>0</v>
      </c>
      <c r="AX53" s="82"/>
      <c r="AY53" s="99" t="str">
        <f t="shared" ca="1" si="16"/>
        <v/>
      </c>
      <c r="AZ53" s="63"/>
      <c r="BA53" s="100">
        <f t="shared" ca="1" si="17"/>
        <v>0</v>
      </c>
      <c r="BB53" s="64" t="str">
        <f t="shared" ca="1" si="18"/>
        <v/>
      </c>
      <c r="BC53" s="101" t="str">
        <f t="shared" ca="1" si="19"/>
        <v/>
      </c>
    </row>
    <row r="54" spans="1:55" x14ac:dyDescent="0.2">
      <c r="A54" s="21"/>
      <c r="B54" s="22"/>
      <c r="C54" s="22"/>
      <c r="D54" s="23"/>
      <c r="E54" s="24"/>
      <c r="F54" s="34"/>
      <c r="H54" s="89" t="str">
        <f>IF(OR(D54="",F54="",A54=""),"",IF(E54="oui",0,IF(D54=OBJECTIFS!$C$45,VLOOKUP(F54,OBJECTIFS!$C$9:$D$11,2,FALSE),IF(D54=OBJECTIFS!$C$46,VLOOKUP(F54,OBJECTIFS!$C$16:$D$18,2,FALSE),IF(D54=OBJECTIFS!$C$47,VLOOKUP(F54,OBJECTIFS!$C$23:$D$25,2,FALSE),IF(D54=OBJECTIFS!$C$48,VLOOKUP(F54,OBJECTIFS!$C$30:$D$32,2,FALSE),IF(D54=OBJECTIFS!$C$49,VLOOKUP(F54,OBJECTIFS!$C$37:$D$39,2,FALSE))))))))</f>
        <v/>
      </c>
      <c r="J54" s="25"/>
      <c r="K54" s="90" t="str">
        <f>IF(OR($A54="",$D54="",J54=""),"",SUMIFS(OBJECTIFS!E$9:E$39,OBJECTIFS!$A$9:$A$39,$D54,OBJECTIFS!$C$9:$C$39,$F54))</f>
        <v/>
      </c>
      <c r="L54" s="90" t="str">
        <f>IF(OR(AND($D54=OBJECTIFS!$B$6,OBJECTIFS!E$8="dmt"),AND($D54=OBJECTIFS!$B$13,OBJECTIFS!$E$15="dmt"),AND($D54=OBJECTIFS!$B$20,OBJECTIFS!$E$22="dmt"),AND($D54=OBJECTIFS!$B$27,OBJECTIFS!$E$29="dmt"),AND($D54=OBJECTIFS!$B$34,OBJECTIFS!$E$36="dmt"),AND($D54=OBJECTIFS!$B$6,OBJECTIFS!$E$8="taux de chute"),AND($D54=OBJECTIFS!$B$13,OBJECTIFS!$E$15="taux de chute"),AND($D54=OBJECTIFS!$B$20,OBJECTIFS!$E$22="taux de chute"),AND($D54=OBJECTIFS!$B$27,OBJECTIFS!$E$29="taux de chute"),AND($D54=OBJECTIFS!$B$34,OBJECTIFS!$E$36="taux de chute")),IFERROR(K54/J54,""),IFERROR(J54/K54,""))</f>
        <v/>
      </c>
      <c r="M54" s="91">
        <f>IFERROR(IF(OR(J54="",K54="",L54=""),0,IF(L54&lt;OBJECTIFS!$E$56,0,IF(L54&lt;OBJECTIFS!$G$56,M$8*OBJECTIFS!$F$60,IF(L54&lt;OBJECTIFS!$I$56,M$8*OBJECTIFS!$H$60,M$8)))),0)</f>
        <v>0</v>
      </c>
      <c r="N54" s="161"/>
      <c r="O54" s="92" t="str">
        <f>IF(OR($A54="",$D54="",N54=""),"",SUMIFS(OBJECTIFS!F$9:F$39,OBJECTIFS!$A$9:$A$39,$D54,OBJECTIFS!$C$9:$C$39,$F54))</f>
        <v/>
      </c>
      <c r="P54" s="90" t="str">
        <f>IF(OR(AND($D54=OBJECTIFS!$B$6,OBJECTIFS!$F$8="dmt"),AND($D54=OBJECTIFS!$B$13,OBJECTIFS!$F$15="dmt"),AND($D54=OBJECTIFS!$B$20,OBJECTIFS!$F$22="dmt"),AND($D54=OBJECTIFS!$B$27,OBJECTIFS!$F$29="dmt"),AND($D54=OBJECTIFS!$B$34,OBJECTIFS!$F$36="dmt"),AND($D54=OBJECTIFS!$B$6,OBJECTIFS!$F$8="taux de chute"),AND($D54=OBJECTIFS!$B$13,OBJECTIFS!$F$15="taux de chute"),AND($D54=OBJECTIFS!$B$20,OBJECTIFS!$F$22="taux de chute"),AND($D54=OBJECTIFS!$B$27,OBJECTIFS!$F$29="taux de chute"),AND($D54=OBJECTIFS!$B$34,OBJECTIFS!$F$36="taux de chute")),IFERROR(O54/N54,""),IFERROR(N54/O54,""))</f>
        <v/>
      </c>
      <c r="Q54" s="91">
        <f>IFERROR(IF(OR(N54="",O54="",P54=""),0,IF(P54&lt;OBJECTIFS!$E$56,0,IF(P54&lt;OBJECTIFS!$G$56,Q$8*OBJECTIFS!$F$60,IF(P54&lt;OBJECTIFS!$I$56,Q$8*OBJECTIFS!$H$60,Q$8)))),0)</f>
        <v>0</v>
      </c>
      <c r="R54" s="164"/>
      <c r="S54" s="93" t="str">
        <f>IF(OR($A54="",$D54="",R54=""),"",SUMIFS(OBJECTIFS!G$9:G$39,OBJECTIFS!$A$9:$A$39,$D54,OBJECTIFS!$C$9:$C$39,$F54))</f>
        <v/>
      </c>
      <c r="T54" s="90" t="str">
        <f>IF(OR(AND($D54=OBJECTIFS!$B$6,OBJECTIFS!G$8="dmt"),AND($D54=OBJECTIFS!$B$13,OBJECTIFS!$G$15="dmt"),AND($D54=OBJECTIFS!$B$20,OBJECTIFS!$G$22="dmt"),AND($D54=OBJECTIFS!$B$27,OBJECTIFS!$G$29="dmt"),AND($D54=OBJECTIFS!$B$34,OBJECTIFS!$G$36="dmt"),AND($D54=OBJECTIFS!$B$6,OBJECTIFS!$G$8="taux de chute"),AND($D54=OBJECTIFS!$B$13,OBJECTIFS!$G$15="taux de chute"),AND($D54=OBJECTIFS!$B$20,OBJECTIFS!$G$22="taux de chute"),AND($D54=OBJECTIFS!$B$27,OBJECTIFS!$G$29="taux de chute"),AND($D54=OBJECTIFS!$B$34,OBJECTIFS!$G$36="taux de chute")),IFERROR(S54/R54,""),IFERROR(R54/S54,""))</f>
        <v/>
      </c>
      <c r="U54" s="94">
        <f>IFERROR(IF(OR(R54="",S54="",T54=""),0,IF(T54&lt;OBJECTIFS!$E$56,0,IF(T54&lt;OBJECTIFS!$G$56,U$8*OBJECTIFS!$F$60,IF(T54&lt;OBJECTIFS!$I$56,U$8*OBJECTIFS!$H$60,U$8)))),0)</f>
        <v>0</v>
      </c>
      <c r="V54" s="25"/>
      <c r="W54" s="90" t="str">
        <f>IF(OR($A54="",$D54="",V54=""),"",SUMIFS(OBJECTIFS!H$9:H$39,OBJECTIFS!$A$9:$A$39,$D54,OBJECTIFS!$C$9:$C$39,$F54))</f>
        <v/>
      </c>
      <c r="X54" s="90" t="str">
        <f>IF(OR(AND($D54=OBJECTIFS!$B$6,OBJECTIFS!H$8="dmt"),AND($D54=OBJECTIFS!$B$13,OBJECTIFS!$H$15="dmt"),AND($D54=OBJECTIFS!$B$20,OBJECTIFS!$H$22="dmt"),AND($D54=OBJECTIFS!$B$27,OBJECTIFS!$H$29="dmt"),AND($D54=OBJECTIFS!$B$34,OBJECTIFS!$H$36="dmt"),AND($D54=OBJECTIFS!$B$6,OBJECTIFS!$H$8="taux de chute"),AND($D54=OBJECTIFS!$B$13,OBJECTIFS!$H$15="taux de chute"),AND($D54=OBJECTIFS!$B$20,OBJECTIFS!$H$22="taux de chute"),AND($D54=OBJECTIFS!$B$27,OBJECTIFS!$H$29="taux de chute"),AND($D54=OBJECTIFS!$B$34,OBJECTIFS!$H$36="taux de chute")),IFERROR(W54/V54,""),IFERROR(V54/W54,""))</f>
        <v/>
      </c>
      <c r="Y54" s="91">
        <f>IFERROR(IF(OR(V54="",W54="",X54=""),0,IF(X54&lt;OBJECTIFS!$E$56,0,IF(X54&lt;OBJECTIFS!$G$56,Y$8*OBJECTIFS!$F$60,IF(X54&lt;OBJECTIFS!$I$56,Y$8*OBJECTIFS!$H$60,Y$8)))),0)</f>
        <v>0</v>
      </c>
      <c r="Z54" s="167"/>
      <c r="AA54" s="90" t="str">
        <f>IF(OR($A54="",$D54="",Z54=""),"",SUMIFS(OBJECTIFS!I$9:I$39,OBJECTIFS!$A$9:$A$39,$D54,OBJECTIFS!$C$9:$C$39,$F54))</f>
        <v/>
      </c>
      <c r="AB54" s="90" t="str">
        <f>IF(OR(AND($D54=OBJECTIFS!$B$6,OBJECTIFS!I$8="dmt"),AND($D54=OBJECTIFS!$B$13,OBJECTIFS!$I$15="dmt"),AND($D54=OBJECTIFS!$B$20,OBJECTIFS!$I$22="dmt"),AND($D54=OBJECTIFS!$B$27,OBJECTIFS!$I$29="dmt"),AND($D54=OBJECTIFS!$B$34,OBJECTIFS!$I$36="dmt"),AND($D54=OBJECTIFS!$B$6,OBJECTIFS!$I$8="taux de chute"),AND($D54=OBJECTIFS!$B$13,OBJECTIFS!$I$15="taux de chute"),AND($D54=OBJECTIFS!$B$20,OBJECTIFS!$I$22="taux de chute"),AND($D54=OBJECTIFS!$B$27,OBJECTIFS!$I$29="taux de chute"),AND($D54=OBJECTIFS!$B$34,OBJECTIFS!$I$36="taux de chute")),IFERROR(AA54/Z54,""),IFERROR(Z54/AA54,""))</f>
        <v/>
      </c>
      <c r="AC54" s="95">
        <f>IFERROR(IF(OR(Z54="",AA54="",AB54=""),0,IF(AB54&lt;OBJECTIFS!$E$56,0,IF(AB54&lt;OBJECTIFS!$G$56,AC$8*OBJECTIFS!$F$60,IF(AB54&lt;OBJECTIFS!$I$56,AC$8*OBJECTIFS!$H$60,AC$8)))),0)</f>
        <v>0</v>
      </c>
      <c r="AD54" s="186"/>
      <c r="AE54" s="187"/>
      <c r="AF54" s="96">
        <f t="shared" ca="1" si="11"/>
        <v>0</v>
      </c>
      <c r="AG54" s="63"/>
      <c r="AH54" s="186"/>
      <c r="AI54" s="24"/>
      <c r="AJ54" s="24"/>
      <c r="AK54" s="24"/>
      <c r="AL54" s="24"/>
      <c r="AM54" s="79">
        <f t="shared" si="12"/>
        <v>0</v>
      </c>
      <c r="AN54" s="79">
        <v>22</v>
      </c>
      <c r="AO54" s="80">
        <f t="shared" si="13"/>
        <v>0</v>
      </c>
      <c r="AP54" s="81" t="str">
        <f t="shared" ca="1" si="14"/>
        <v/>
      </c>
      <c r="AQ54" s="82"/>
      <c r="AR54" s="97">
        <f>IFERROR(VLOOKUP(B54,OBJECTIFS!$C$76:$E$137,2,FALSE),0)</f>
        <v>0</v>
      </c>
      <c r="AS54" s="98">
        <f>IFERROR(VLOOKUP(B54,OBJECTIFS!$H$76:$J$137,2,FALSE),0)</f>
        <v>0</v>
      </c>
      <c r="AT54" s="98">
        <f>IFERROR(VLOOKUP(B54,OBJECTIFS!$C$142:$E$203,2,FALSE),0)</f>
        <v>0</v>
      </c>
      <c r="AU54" s="98">
        <f>IFERROR(VLOOKUP(B54,OBJECTIFS!$H$142:$J$203,2,FALSE),0)</f>
        <v>0</v>
      </c>
      <c r="AV54" s="98">
        <f>IFERROR(VLOOKUP(B54,OBJECTIFS!$F$208:$H$269,3,FALSE),0)</f>
        <v>0</v>
      </c>
      <c r="AW54" s="81">
        <f t="shared" si="15"/>
        <v>0</v>
      </c>
      <c r="AX54" s="82"/>
      <c r="AY54" s="99" t="str">
        <f t="shared" ca="1" si="16"/>
        <v/>
      </c>
      <c r="AZ54" s="63"/>
      <c r="BA54" s="100">
        <f t="shared" ca="1" si="17"/>
        <v>0</v>
      </c>
      <c r="BB54" s="64" t="str">
        <f t="shared" ca="1" si="18"/>
        <v/>
      </c>
      <c r="BC54" s="101" t="str">
        <f t="shared" ca="1" si="19"/>
        <v/>
      </c>
    </row>
    <row r="55" spans="1:55" x14ac:dyDescent="0.2">
      <c r="A55" s="21"/>
      <c r="B55" s="22"/>
      <c r="C55" s="22"/>
      <c r="D55" s="23"/>
      <c r="E55" s="24"/>
      <c r="F55" s="34"/>
      <c r="H55" s="89" t="str">
        <f>IF(OR(D55="",F55="",A55=""),"",IF(E55="oui",0,IF(D55=OBJECTIFS!$C$45,VLOOKUP(F55,OBJECTIFS!$C$9:$D$11,2,FALSE),IF(D55=OBJECTIFS!$C$46,VLOOKUP(F55,OBJECTIFS!$C$16:$D$18,2,FALSE),IF(D55=OBJECTIFS!$C$47,VLOOKUP(F55,OBJECTIFS!$C$23:$D$25,2,FALSE),IF(D55=OBJECTIFS!$C$48,VLOOKUP(F55,OBJECTIFS!$C$30:$D$32,2,FALSE),IF(D55=OBJECTIFS!$C$49,VLOOKUP(F55,OBJECTIFS!$C$37:$D$39,2,FALSE))))))))</f>
        <v/>
      </c>
      <c r="J55" s="25"/>
      <c r="K55" s="90" t="str">
        <f>IF(OR($A55="",$D55="",J55=""),"",SUMIFS(OBJECTIFS!E$9:E$39,OBJECTIFS!$A$9:$A$39,$D55,OBJECTIFS!$C$9:$C$39,$F55))</f>
        <v/>
      </c>
      <c r="L55" s="90" t="str">
        <f>IF(OR(AND($D55=OBJECTIFS!$B$6,OBJECTIFS!E$8="dmt"),AND($D55=OBJECTIFS!$B$13,OBJECTIFS!$E$15="dmt"),AND($D55=OBJECTIFS!$B$20,OBJECTIFS!$E$22="dmt"),AND($D55=OBJECTIFS!$B$27,OBJECTIFS!$E$29="dmt"),AND($D55=OBJECTIFS!$B$34,OBJECTIFS!$E$36="dmt"),AND($D55=OBJECTIFS!$B$6,OBJECTIFS!$E$8="taux de chute"),AND($D55=OBJECTIFS!$B$13,OBJECTIFS!$E$15="taux de chute"),AND($D55=OBJECTIFS!$B$20,OBJECTIFS!$E$22="taux de chute"),AND($D55=OBJECTIFS!$B$27,OBJECTIFS!$E$29="taux de chute"),AND($D55=OBJECTIFS!$B$34,OBJECTIFS!$E$36="taux de chute")),IFERROR(K55/J55,""),IFERROR(J55/K55,""))</f>
        <v/>
      </c>
      <c r="M55" s="91">
        <f>IFERROR(IF(OR(J55="",K55="",L55=""),0,IF(L55&lt;OBJECTIFS!$E$56,0,IF(L55&lt;OBJECTIFS!$G$56,M$8*OBJECTIFS!$F$60,IF(L55&lt;OBJECTIFS!$I$56,M$8*OBJECTIFS!$H$60,M$8)))),0)</f>
        <v>0</v>
      </c>
      <c r="N55" s="161"/>
      <c r="O55" s="92" t="str">
        <f>IF(OR($A55="",$D55="",N55=""),"",SUMIFS(OBJECTIFS!F$9:F$39,OBJECTIFS!$A$9:$A$39,$D55,OBJECTIFS!$C$9:$C$39,$F55))</f>
        <v/>
      </c>
      <c r="P55" s="90" t="str">
        <f>IF(OR(AND($D55=OBJECTIFS!$B$6,OBJECTIFS!$F$8="dmt"),AND($D55=OBJECTIFS!$B$13,OBJECTIFS!$F$15="dmt"),AND($D55=OBJECTIFS!$B$20,OBJECTIFS!$F$22="dmt"),AND($D55=OBJECTIFS!$B$27,OBJECTIFS!$F$29="dmt"),AND($D55=OBJECTIFS!$B$34,OBJECTIFS!$F$36="dmt"),AND($D55=OBJECTIFS!$B$6,OBJECTIFS!$F$8="taux de chute"),AND($D55=OBJECTIFS!$B$13,OBJECTIFS!$F$15="taux de chute"),AND($D55=OBJECTIFS!$B$20,OBJECTIFS!$F$22="taux de chute"),AND($D55=OBJECTIFS!$B$27,OBJECTIFS!$F$29="taux de chute"),AND($D55=OBJECTIFS!$B$34,OBJECTIFS!$F$36="taux de chute")),IFERROR(O55/N55,""),IFERROR(N55/O55,""))</f>
        <v/>
      </c>
      <c r="Q55" s="91">
        <f>IFERROR(IF(OR(N55="",O55="",P55=""),0,IF(P55&lt;OBJECTIFS!$E$56,0,IF(P55&lt;OBJECTIFS!$G$56,Q$8*OBJECTIFS!$F$60,IF(P55&lt;OBJECTIFS!$I$56,Q$8*OBJECTIFS!$H$60,Q$8)))),0)</f>
        <v>0</v>
      </c>
      <c r="R55" s="164"/>
      <c r="S55" s="93" t="str">
        <f>IF(OR($A55="",$D55="",R55=""),"",SUMIFS(OBJECTIFS!G$9:G$39,OBJECTIFS!$A$9:$A$39,$D55,OBJECTIFS!$C$9:$C$39,$F55))</f>
        <v/>
      </c>
      <c r="T55" s="90" t="str">
        <f>IF(OR(AND($D55=OBJECTIFS!$B$6,OBJECTIFS!G$8="dmt"),AND($D55=OBJECTIFS!$B$13,OBJECTIFS!$G$15="dmt"),AND($D55=OBJECTIFS!$B$20,OBJECTIFS!$G$22="dmt"),AND($D55=OBJECTIFS!$B$27,OBJECTIFS!$G$29="dmt"),AND($D55=OBJECTIFS!$B$34,OBJECTIFS!$G$36="dmt"),AND($D55=OBJECTIFS!$B$6,OBJECTIFS!$G$8="taux de chute"),AND($D55=OBJECTIFS!$B$13,OBJECTIFS!$G$15="taux de chute"),AND($D55=OBJECTIFS!$B$20,OBJECTIFS!$G$22="taux de chute"),AND($D55=OBJECTIFS!$B$27,OBJECTIFS!$G$29="taux de chute"),AND($D55=OBJECTIFS!$B$34,OBJECTIFS!$G$36="taux de chute")),IFERROR(S55/R55,""),IFERROR(R55/S55,""))</f>
        <v/>
      </c>
      <c r="U55" s="94">
        <f>IFERROR(IF(OR(R55="",S55="",T55=""),0,IF(T55&lt;OBJECTIFS!$E$56,0,IF(T55&lt;OBJECTIFS!$G$56,U$8*OBJECTIFS!$F$60,IF(T55&lt;OBJECTIFS!$I$56,U$8*OBJECTIFS!$H$60,U$8)))),0)</f>
        <v>0</v>
      </c>
      <c r="V55" s="25"/>
      <c r="W55" s="90" t="str">
        <f>IF(OR($A55="",$D55="",V55=""),"",SUMIFS(OBJECTIFS!H$9:H$39,OBJECTIFS!$A$9:$A$39,$D55,OBJECTIFS!$C$9:$C$39,$F55))</f>
        <v/>
      </c>
      <c r="X55" s="90" t="str">
        <f>IF(OR(AND($D55=OBJECTIFS!$B$6,OBJECTIFS!H$8="dmt"),AND($D55=OBJECTIFS!$B$13,OBJECTIFS!$H$15="dmt"),AND($D55=OBJECTIFS!$B$20,OBJECTIFS!$H$22="dmt"),AND($D55=OBJECTIFS!$B$27,OBJECTIFS!$H$29="dmt"),AND($D55=OBJECTIFS!$B$34,OBJECTIFS!$H$36="dmt"),AND($D55=OBJECTIFS!$B$6,OBJECTIFS!$H$8="taux de chute"),AND($D55=OBJECTIFS!$B$13,OBJECTIFS!$H$15="taux de chute"),AND($D55=OBJECTIFS!$B$20,OBJECTIFS!$H$22="taux de chute"),AND($D55=OBJECTIFS!$B$27,OBJECTIFS!$H$29="taux de chute"),AND($D55=OBJECTIFS!$B$34,OBJECTIFS!$H$36="taux de chute")),IFERROR(W55/V55,""),IFERROR(V55/W55,""))</f>
        <v/>
      </c>
      <c r="Y55" s="91">
        <f>IFERROR(IF(OR(V55="",W55="",X55=""),0,IF(X55&lt;OBJECTIFS!$E$56,0,IF(X55&lt;OBJECTIFS!$G$56,Y$8*OBJECTIFS!$F$60,IF(X55&lt;OBJECTIFS!$I$56,Y$8*OBJECTIFS!$H$60,Y$8)))),0)</f>
        <v>0</v>
      </c>
      <c r="Z55" s="167"/>
      <c r="AA55" s="90" t="str">
        <f>IF(OR($A55="",$D55="",Z55=""),"",SUMIFS(OBJECTIFS!I$9:I$39,OBJECTIFS!$A$9:$A$39,$D55,OBJECTIFS!$C$9:$C$39,$F55))</f>
        <v/>
      </c>
      <c r="AB55" s="90" t="str">
        <f>IF(OR(AND($D55=OBJECTIFS!$B$6,OBJECTIFS!I$8="dmt"),AND($D55=OBJECTIFS!$B$13,OBJECTIFS!$I$15="dmt"),AND($D55=OBJECTIFS!$B$20,OBJECTIFS!$I$22="dmt"),AND($D55=OBJECTIFS!$B$27,OBJECTIFS!$I$29="dmt"),AND($D55=OBJECTIFS!$B$34,OBJECTIFS!$I$36="dmt"),AND($D55=OBJECTIFS!$B$6,OBJECTIFS!$I$8="taux de chute"),AND($D55=OBJECTIFS!$B$13,OBJECTIFS!$I$15="taux de chute"),AND($D55=OBJECTIFS!$B$20,OBJECTIFS!$I$22="taux de chute"),AND($D55=OBJECTIFS!$B$27,OBJECTIFS!$I$29="taux de chute"),AND($D55=OBJECTIFS!$B$34,OBJECTIFS!$I$36="taux de chute")),IFERROR(AA55/Z55,""),IFERROR(Z55/AA55,""))</f>
        <v/>
      </c>
      <c r="AC55" s="95">
        <f>IFERROR(IF(OR(Z55="",AA55="",AB55=""),0,IF(AB55&lt;OBJECTIFS!$E$56,0,IF(AB55&lt;OBJECTIFS!$G$56,AC$8*OBJECTIFS!$F$60,IF(AB55&lt;OBJECTIFS!$I$56,AC$8*OBJECTIFS!$H$60,AC$8)))),0)</f>
        <v>0</v>
      </c>
      <c r="AD55" s="186"/>
      <c r="AE55" s="187"/>
      <c r="AF55" s="96">
        <f t="shared" ca="1" si="11"/>
        <v>0</v>
      </c>
      <c r="AG55" s="63"/>
      <c r="AH55" s="186"/>
      <c r="AI55" s="24"/>
      <c r="AJ55" s="24"/>
      <c r="AK55" s="24"/>
      <c r="AL55" s="24"/>
      <c r="AM55" s="79">
        <f t="shared" si="12"/>
        <v>0</v>
      </c>
      <c r="AN55" s="79">
        <v>22</v>
      </c>
      <c r="AO55" s="80">
        <f t="shared" si="13"/>
        <v>0</v>
      </c>
      <c r="AP55" s="81" t="str">
        <f t="shared" ca="1" si="14"/>
        <v/>
      </c>
      <c r="AQ55" s="82"/>
      <c r="AR55" s="97">
        <f>IFERROR(VLOOKUP(B55,OBJECTIFS!$C$76:$E$137,2,FALSE),0)</f>
        <v>0</v>
      </c>
      <c r="AS55" s="98">
        <f>IFERROR(VLOOKUP(B55,OBJECTIFS!$H$76:$J$137,2,FALSE),0)</f>
        <v>0</v>
      </c>
      <c r="AT55" s="98">
        <f>IFERROR(VLOOKUP(B55,OBJECTIFS!$C$142:$E$203,2,FALSE),0)</f>
        <v>0</v>
      </c>
      <c r="AU55" s="98">
        <f>IFERROR(VLOOKUP(B55,OBJECTIFS!$H$142:$J$203,2,FALSE),0)</f>
        <v>0</v>
      </c>
      <c r="AV55" s="98">
        <f>IFERROR(VLOOKUP(B55,OBJECTIFS!$F$208:$H$269,3,FALSE),0)</f>
        <v>0</v>
      </c>
      <c r="AW55" s="81">
        <f t="shared" si="15"/>
        <v>0</v>
      </c>
      <c r="AX55" s="82"/>
      <c r="AY55" s="99" t="str">
        <f t="shared" ca="1" si="16"/>
        <v/>
      </c>
      <c r="AZ55" s="63"/>
      <c r="BA55" s="100">
        <f t="shared" ca="1" si="17"/>
        <v>0</v>
      </c>
      <c r="BB55" s="64" t="str">
        <f t="shared" ca="1" si="18"/>
        <v/>
      </c>
      <c r="BC55" s="101" t="str">
        <f t="shared" ca="1" si="19"/>
        <v/>
      </c>
    </row>
    <row r="56" spans="1:55" x14ac:dyDescent="0.2">
      <c r="A56" s="21"/>
      <c r="B56" s="22"/>
      <c r="C56" s="22"/>
      <c r="D56" s="23"/>
      <c r="E56" s="24"/>
      <c r="F56" s="34"/>
      <c r="H56" s="89" t="str">
        <f>IF(OR(D56="",F56="",A56=""),"",IF(E56="oui",0,IF(D56=OBJECTIFS!$C$45,VLOOKUP(F56,OBJECTIFS!$C$9:$D$11,2,FALSE),IF(D56=OBJECTIFS!$C$46,VLOOKUP(F56,OBJECTIFS!$C$16:$D$18,2,FALSE),IF(D56=OBJECTIFS!$C$47,VLOOKUP(F56,OBJECTIFS!$C$23:$D$25,2,FALSE),IF(D56=OBJECTIFS!$C$48,VLOOKUP(F56,OBJECTIFS!$C$30:$D$32,2,FALSE),IF(D56=OBJECTIFS!$C$49,VLOOKUP(F56,OBJECTIFS!$C$37:$D$39,2,FALSE))))))))</f>
        <v/>
      </c>
      <c r="J56" s="25"/>
      <c r="K56" s="90" t="str">
        <f>IF(OR($A56="",$D56="",J56=""),"",SUMIFS(OBJECTIFS!E$9:E$39,OBJECTIFS!$A$9:$A$39,$D56,OBJECTIFS!$C$9:$C$39,$F56))</f>
        <v/>
      </c>
      <c r="L56" s="90" t="str">
        <f>IF(OR(AND($D56=OBJECTIFS!$B$6,OBJECTIFS!E$8="dmt"),AND($D56=OBJECTIFS!$B$13,OBJECTIFS!$E$15="dmt"),AND($D56=OBJECTIFS!$B$20,OBJECTIFS!$E$22="dmt"),AND($D56=OBJECTIFS!$B$27,OBJECTIFS!$E$29="dmt"),AND($D56=OBJECTIFS!$B$34,OBJECTIFS!$E$36="dmt"),AND($D56=OBJECTIFS!$B$6,OBJECTIFS!$E$8="taux de chute"),AND($D56=OBJECTIFS!$B$13,OBJECTIFS!$E$15="taux de chute"),AND($D56=OBJECTIFS!$B$20,OBJECTIFS!$E$22="taux de chute"),AND($D56=OBJECTIFS!$B$27,OBJECTIFS!$E$29="taux de chute"),AND($D56=OBJECTIFS!$B$34,OBJECTIFS!$E$36="taux de chute")),IFERROR(K56/J56,""),IFERROR(J56/K56,""))</f>
        <v/>
      </c>
      <c r="M56" s="91">
        <f>IFERROR(IF(OR(J56="",K56="",L56=""),0,IF(L56&lt;OBJECTIFS!$E$56,0,IF(L56&lt;OBJECTIFS!$G$56,M$8*OBJECTIFS!$F$60,IF(L56&lt;OBJECTIFS!$I$56,M$8*OBJECTIFS!$H$60,M$8)))),0)</f>
        <v>0</v>
      </c>
      <c r="N56" s="161"/>
      <c r="O56" s="92" t="str">
        <f>IF(OR($A56="",$D56="",N56=""),"",SUMIFS(OBJECTIFS!F$9:F$39,OBJECTIFS!$A$9:$A$39,$D56,OBJECTIFS!$C$9:$C$39,$F56))</f>
        <v/>
      </c>
      <c r="P56" s="90" t="str">
        <f>IF(OR(AND($D56=OBJECTIFS!$B$6,OBJECTIFS!$F$8="dmt"),AND($D56=OBJECTIFS!$B$13,OBJECTIFS!$F$15="dmt"),AND($D56=OBJECTIFS!$B$20,OBJECTIFS!$F$22="dmt"),AND($D56=OBJECTIFS!$B$27,OBJECTIFS!$F$29="dmt"),AND($D56=OBJECTIFS!$B$34,OBJECTIFS!$F$36="dmt"),AND($D56=OBJECTIFS!$B$6,OBJECTIFS!$F$8="taux de chute"),AND($D56=OBJECTIFS!$B$13,OBJECTIFS!$F$15="taux de chute"),AND($D56=OBJECTIFS!$B$20,OBJECTIFS!$F$22="taux de chute"),AND($D56=OBJECTIFS!$B$27,OBJECTIFS!$F$29="taux de chute"),AND($D56=OBJECTIFS!$B$34,OBJECTIFS!$F$36="taux de chute")),IFERROR(O56/N56,""),IFERROR(N56/O56,""))</f>
        <v/>
      </c>
      <c r="Q56" s="91">
        <f>IFERROR(IF(OR(N56="",O56="",P56=""),0,IF(P56&lt;OBJECTIFS!$E$56,0,IF(P56&lt;OBJECTIFS!$G$56,Q$8*OBJECTIFS!$F$60,IF(P56&lt;OBJECTIFS!$I$56,Q$8*OBJECTIFS!$H$60,Q$8)))),0)</f>
        <v>0</v>
      </c>
      <c r="R56" s="164"/>
      <c r="S56" s="93" t="str">
        <f>IF(OR($A56="",$D56="",R56=""),"",SUMIFS(OBJECTIFS!G$9:G$39,OBJECTIFS!$A$9:$A$39,$D56,OBJECTIFS!$C$9:$C$39,$F56))</f>
        <v/>
      </c>
      <c r="T56" s="90" t="str">
        <f>IF(OR(AND($D56=OBJECTIFS!$B$6,OBJECTIFS!G$8="dmt"),AND($D56=OBJECTIFS!$B$13,OBJECTIFS!$G$15="dmt"),AND($D56=OBJECTIFS!$B$20,OBJECTIFS!$G$22="dmt"),AND($D56=OBJECTIFS!$B$27,OBJECTIFS!$G$29="dmt"),AND($D56=OBJECTIFS!$B$34,OBJECTIFS!$G$36="dmt"),AND($D56=OBJECTIFS!$B$6,OBJECTIFS!$G$8="taux de chute"),AND($D56=OBJECTIFS!$B$13,OBJECTIFS!$G$15="taux de chute"),AND($D56=OBJECTIFS!$B$20,OBJECTIFS!$G$22="taux de chute"),AND($D56=OBJECTIFS!$B$27,OBJECTIFS!$G$29="taux de chute"),AND($D56=OBJECTIFS!$B$34,OBJECTIFS!$G$36="taux de chute")),IFERROR(S56/R56,""),IFERROR(R56/S56,""))</f>
        <v/>
      </c>
      <c r="U56" s="94">
        <f>IFERROR(IF(OR(R56="",S56="",T56=""),0,IF(T56&lt;OBJECTIFS!$E$56,0,IF(T56&lt;OBJECTIFS!$G$56,U$8*OBJECTIFS!$F$60,IF(T56&lt;OBJECTIFS!$I$56,U$8*OBJECTIFS!$H$60,U$8)))),0)</f>
        <v>0</v>
      </c>
      <c r="V56" s="25"/>
      <c r="W56" s="90" t="str">
        <f>IF(OR($A56="",$D56="",V56=""),"",SUMIFS(OBJECTIFS!H$9:H$39,OBJECTIFS!$A$9:$A$39,$D56,OBJECTIFS!$C$9:$C$39,$F56))</f>
        <v/>
      </c>
      <c r="X56" s="90" t="str">
        <f>IF(OR(AND($D56=OBJECTIFS!$B$6,OBJECTIFS!H$8="dmt"),AND($D56=OBJECTIFS!$B$13,OBJECTIFS!$H$15="dmt"),AND($D56=OBJECTIFS!$B$20,OBJECTIFS!$H$22="dmt"),AND($D56=OBJECTIFS!$B$27,OBJECTIFS!$H$29="dmt"),AND($D56=OBJECTIFS!$B$34,OBJECTIFS!$H$36="dmt"),AND($D56=OBJECTIFS!$B$6,OBJECTIFS!$H$8="taux de chute"),AND($D56=OBJECTIFS!$B$13,OBJECTIFS!$H$15="taux de chute"),AND($D56=OBJECTIFS!$B$20,OBJECTIFS!$H$22="taux de chute"),AND($D56=OBJECTIFS!$B$27,OBJECTIFS!$H$29="taux de chute"),AND($D56=OBJECTIFS!$B$34,OBJECTIFS!$H$36="taux de chute")),IFERROR(W56/V56,""),IFERROR(V56/W56,""))</f>
        <v/>
      </c>
      <c r="Y56" s="91">
        <f>IFERROR(IF(OR(V56="",W56="",X56=""),0,IF(X56&lt;OBJECTIFS!$E$56,0,IF(X56&lt;OBJECTIFS!$G$56,Y$8*OBJECTIFS!$F$60,IF(X56&lt;OBJECTIFS!$I$56,Y$8*OBJECTIFS!$H$60,Y$8)))),0)</f>
        <v>0</v>
      </c>
      <c r="Z56" s="167"/>
      <c r="AA56" s="90" t="str">
        <f>IF(OR($A56="",$D56="",Z56=""),"",SUMIFS(OBJECTIFS!I$9:I$39,OBJECTIFS!$A$9:$A$39,$D56,OBJECTIFS!$C$9:$C$39,$F56))</f>
        <v/>
      </c>
      <c r="AB56" s="90" t="str">
        <f>IF(OR(AND($D56=OBJECTIFS!$B$6,OBJECTIFS!I$8="dmt"),AND($D56=OBJECTIFS!$B$13,OBJECTIFS!$I$15="dmt"),AND($D56=OBJECTIFS!$B$20,OBJECTIFS!$I$22="dmt"),AND($D56=OBJECTIFS!$B$27,OBJECTIFS!$I$29="dmt"),AND($D56=OBJECTIFS!$B$34,OBJECTIFS!$I$36="dmt"),AND($D56=OBJECTIFS!$B$6,OBJECTIFS!$I$8="taux de chute"),AND($D56=OBJECTIFS!$B$13,OBJECTIFS!$I$15="taux de chute"),AND($D56=OBJECTIFS!$B$20,OBJECTIFS!$I$22="taux de chute"),AND($D56=OBJECTIFS!$B$27,OBJECTIFS!$I$29="taux de chute"),AND($D56=OBJECTIFS!$B$34,OBJECTIFS!$I$36="taux de chute")),IFERROR(AA56/Z56,""),IFERROR(Z56/AA56,""))</f>
        <v/>
      </c>
      <c r="AC56" s="95">
        <f>IFERROR(IF(OR(Z56="",AA56="",AB56=""),0,IF(AB56&lt;OBJECTIFS!$E$56,0,IF(AB56&lt;OBJECTIFS!$G$56,AC$8*OBJECTIFS!$F$60,IF(AB56&lt;OBJECTIFS!$I$56,AC$8*OBJECTIFS!$H$60,AC$8)))),0)</f>
        <v>0</v>
      </c>
      <c r="AD56" s="186"/>
      <c r="AE56" s="187"/>
      <c r="AF56" s="96">
        <f t="shared" ca="1" si="11"/>
        <v>0</v>
      </c>
      <c r="AG56" s="63"/>
      <c r="AH56" s="186"/>
      <c r="AI56" s="24"/>
      <c r="AJ56" s="24"/>
      <c r="AK56" s="24"/>
      <c r="AL56" s="24"/>
      <c r="AM56" s="79">
        <f t="shared" si="12"/>
        <v>0</v>
      </c>
      <c r="AN56" s="79">
        <v>22</v>
      </c>
      <c r="AO56" s="80">
        <f t="shared" si="13"/>
        <v>0</v>
      </c>
      <c r="AP56" s="81" t="str">
        <f t="shared" ca="1" si="14"/>
        <v/>
      </c>
      <c r="AQ56" s="82"/>
      <c r="AR56" s="97">
        <f>IFERROR(VLOOKUP(B56,OBJECTIFS!$C$76:$E$137,2,FALSE),0)</f>
        <v>0</v>
      </c>
      <c r="AS56" s="98">
        <f>IFERROR(VLOOKUP(B56,OBJECTIFS!$H$76:$J$137,2,FALSE),0)</f>
        <v>0</v>
      </c>
      <c r="AT56" s="98">
        <f>IFERROR(VLOOKUP(B56,OBJECTIFS!$C$142:$E$203,2,FALSE),0)</f>
        <v>0</v>
      </c>
      <c r="AU56" s="98">
        <f>IFERROR(VLOOKUP(B56,OBJECTIFS!$H$142:$J$203,2,FALSE),0)</f>
        <v>0</v>
      </c>
      <c r="AV56" s="98">
        <f>IFERROR(VLOOKUP(B56,OBJECTIFS!$F$208:$H$269,3,FALSE),0)</f>
        <v>0</v>
      </c>
      <c r="AW56" s="81">
        <f t="shared" si="15"/>
        <v>0</v>
      </c>
      <c r="AX56" s="82"/>
      <c r="AY56" s="99" t="str">
        <f t="shared" ca="1" si="16"/>
        <v/>
      </c>
      <c r="AZ56" s="63"/>
      <c r="BA56" s="100">
        <f t="shared" ca="1" si="17"/>
        <v>0</v>
      </c>
      <c r="BB56" s="64" t="str">
        <f t="shared" ca="1" si="18"/>
        <v/>
      </c>
      <c r="BC56" s="101" t="str">
        <f t="shared" ca="1" si="19"/>
        <v/>
      </c>
    </row>
    <row r="57" spans="1:55" x14ac:dyDescent="0.2">
      <c r="A57" s="21"/>
      <c r="B57" s="22"/>
      <c r="C57" s="22"/>
      <c r="D57" s="23"/>
      <c r="E57" s="24"/>
      <c r="F57" s="34"/>
      <c r="H57" s="89" t="str">
        <f>IF(OR(D57="",F57="",A57=""),"",IF(E57="oui",0,IF(D57=OBJECTIFS!$C$45,VLOOKUP(F57,OBJECTIFS!$C$9:$D$11,2,FALSE),IF(D57=OBJECTIFS!$C$46,VLOOKUP(F57,OBJECTIFS!$C$16:$D$18,2,FALSE),IF(D57=OBJECTIFS!$C$47,VLOOKUP(F57,OBJECTIFS!$C$23:$D$25,2,FALSE),IF(D57=OBJECTIFS!$C$48,VLOOKUP(F57,OBJECTIFS!$C$30:$D$32,2,FALSE),IF(D57=OBJECTIFS!$C$49,VLOOKUP(F57,OBJECTIFS!$C$37:$D$39,2,FALSE))))))))</f>
        <v/>
      </c>
      <c r="J57" s="25"/>
      <c r="K57" s="90" t="str">
        <f>IF(OR($A57="",$D57="",J57=""),"",SUMIFS(OBJECTIFS!E$9:E$39,OBJECTIFS!$A$9:$A$39,$D57,OBJECTIFS!$C$9:$C$39,$F57))</f>
        <v/>
      </c>
      <c r="L57" s="90" t="str">
        <f>IF(OR(AND($D57=OBJECTIFS!$B$6,OBJECTIFS!E$8="dmt"),AND($D57=OBJECTIFS!$B$13,OBJECTIFS!$E$15="dmt"),AND($D57=OBJECTIFS!$B$20,OBJECTIFS!$E$22="dmt"),AND($D57=OBJECTIFS!$B$27,OBJECTIFS!$E$29="dmt"),AND($D57=OBJECTIFS!$B$34,OBJECTIFS!$E$36="dmt"),AND($D57=OBJECTIFS!$B$6,OBJECTIFS!$E$8="taux de chute"),AND($D57=OBJECTIFS!$B$13,OBJECTIFS!$E$15="taux de chute"),AND($D57=OBJECTIFS!$B$20,OBJECTIFS!$E$22="taux de chute"),AND($D57=OBJECTIFS!$B$27,OBJECTIFS!$E$29="taux de chute"),AND($D57=OBJECTIFS!$B$34,OBJECTIFS!$E$36="taux de chute")),IFERROR(K57/J57,""),IFERROR(J57/K57,""))</f>
        <v/>
      </c>
      <c r="M57" s="91">
        <f>IFERROR(IF(OR(J57="",K57="",L57=""),0,IF(L57&lt;OBJECTIFS!$E$56,0,IF(L57&lt;OBJECTIFS!$G$56,M$8*OBJECTIFS!$F$60,IF(L57&lt;OBJECTIFS!$I$56,M$8*OBJECTIFS!$H$60,M$8)))),0)</f>
        <v>0</v>
      </c>
      <c r="N57" s="161"/>
      <c r="O57" s="92" t="str">
        <f>IF(OR($A57="",$D57="",N57=""),"",SUMIFS(OBJECTIFS!F$9:F$39,OBJECTIFS!$A$9:$A$39,$D57,OBJECTIFS!$C$9:$C$39,$F57))</f>
        <v/>
      </c>
      <c r="P57" s="90" t="str">
        <f>IF(OR(AND($D57=OBJECTIFS!$B$6,OBJECTIFS!$F$8="dmt"),AND($D57=OBJECTIFS!$B$13,OBJECTIFS!$F$15="dmt"),AND($D57=OBJECTIFS!$B$20,OBJECTIFS!$F$22="dmt"),AND($D57=OBJECTIFS!$B$27,OBJECTIFS!$F$29="dmt"),AND($D57=OBJECTIFS!$B$34,OBJECTIFS!$F$36="dmt"),AND($D57=OBJECTIFS!$B$6,OBJECTIFS!$F$8="taux de chute"),AND($D57=OBJECTIFS!$B$13,OBJECTIFS!$F$15="taux de chute"),AND($D57=OBJECTIFS!$B$20,OBJECTIFS!$F$22="taux de chute"),AND($D57=OBJECTIFS!$B$27,OBJECTIFS!$F$29="taux de chute"),AND($D57=OBJECTIFS!$B$34,OBJECTIFS!$F$36="taux de chute")),IFERROR(O57/N57,""),IFERROR(N57/O57,""))</f>
        <v/>
      </c>
      <c r="Q57" s="91">
        <f>IFERROR(IF(OR(N57="",O57="",P57=""),0,IF(P57&lt;OBJECTIFS!$E$56,0,IF(P57&lt;OBJECTIFS!$G$56,Q$8*OBJECTIFS!$F$60,IF(P57&lt;OBJECTIFS!$I$56,Q$8*OBJECTIFS!$H$60,Q$8)))),0)</f>
        <v>0</v>
      </c>
      <c r="R57" s="164"/>
      <c r="S57" s="93" t="str">
        <f>IF(OR($A57="",$D57="",R57=""),"",SUMIFS(OBJECTIFS!G$9:G$39,OBJECTIFS!$A$9:$A$39,$D57,OBJECTIFS!$C$9:$C$39,$F57))</f>
        <v/>
      </c>
      <c r="T57" s="90" t="str">
        <f>IF(OR(AND($D57=OBJECTIFS!$B$6,OBJECTIFS!G$8="dmt"),AND($D57=OBJECTIFS!$B$13,OBJECTIFS!$G$15="dmt"),AND($D57=OBJECTIFS!$B$20,OBJECTIFS!$G$22="dmt"),AND($D57=OBJECTIFS!$B$27,OBJECTIFS!$G$29="dmt"),AND($D57=OBJECTIFS!$B$34,OBJECTIFS!$G$36="dmt"),AND($D57=OBJECTIFS!$B$6,OBJECTIFS!$G$8="taux de chute"),AND($D57=OBJECTIFS!$B$13,OBJECTIFS!$G$15="taux de chute"),AND($D57=OBJECTIFS!$B$20,OBJECTIFS!$G$22="taux de chute"),AND($D57=OBJECTIFS!$B$27,OBJECTIFS!$G$29="taux de chute"),AND($D57=OBJECTIFS!$B$34,OBJECTIFS!$G$36="taux de chute")),IFERROR(S57/R57,""),IFERROR(R57/S57,""))</f>
        <v/>
      </c>
      <c r="U57" s="94">
        <f>IFERROR(IF(OR(R57="",S57="",T57=""),0,IF(T57&lt;OBJECTIFS!$E$56,0,IF(T57&lt;OBJECTIFS!$G$56,U$8*OBJECTIFS!$F$60,IF(T57&lt;OBJECTIFS!$I$56,U$8*OBJECTIFS!$H$60,U$8)))),0)</f>
        <v>0</v>
      </c>
      <c r="V57" s="25"/>
      <c r="W57" s="90" t="str">
        <f>IF(OR($A57="",$D57="",V57=""),"",SUMIFS(OBJECTIFS!H$9:H$39,OBJECTIFS!$A$9:$A$39,$D57,OBJECTIFS!$C$9:$C$39,$F57))</f>
        <v/>
      </c>
      <c r="X57" s="90" t="str">
        <f>IF(OR(AND($D57=OBJECTIFS!$B$6,OBJECTIFS!H$8="dmt"),AND($D57=OBJECTIFS!$B$13,OBJECTIFS!$H$15="dmt"),AND($D57=OBJECTIFS!$B$20,OBJECTIFS!$H$22="dmt"),AND($D57=OBJECTIFS!$B$27,OBJECTIFS!$H$29="dmt"),AND($D57=OBJECTIFS!$B$34,OBJECTIFS!$H$36="dmt"),AND($D57=OBJECTIFS!$B$6,OBJECTIFS!$H$8="taux de chute"),AND($D57=OBJECTIFS!$B$13,OBJECTIFS!$H$15="taux de chute"),AND($D57=OBJECTIFS!$B$20,OBJECTIFS!$H$22="taux de chute"),AND($D57=OBJECTIFS!$B$27,OBJECTIFS!$H$29="taux de chute"),AND($D57=OBJECTIFS!$B$34,OBJECTIFS!$H$36="taux de chute")),IFERROR(W57/V57,""),IFERROR(V57/W57,""))</f>
        <v/>
      </c>
      <c r="Y57" s="91">
        <f>IFERROR(IF(OR(V57="",W57="",X57=""),0,IF(X57&lt;OBJECTIFS!$E$56,0,IF(X57&lt;OBJECTIFS!$G$56,Y$8*OBJECTIFS!$F$60,IF(X57&lt;OBJECTIFS!$I$56,Y$8*OBJECTIFS!$H$60,Y$8)))),0)</f>
        <v>0</v>
      </c>
      <c r="Z57" s="167"/>
      <c r="AA57" s="90" t="str">
        <f>IF(OR($A57="",$D57="",Z57=""),"",SUMIFS(OBJECTIFS!I$9:I$39,OBJECTIFS!$A$9:$A$39,$D57,OBJECTIFS!$C$9:$C$39,$F57))</f>
        <v/>
      </c>
      <c r="AB57" s="90" t="str">
        <f>IF(OR(AND($D57=OBJECTIFS!$B$6,OBJECTIFS!I$8="dmt"),AND($D57=OBJECTIFS!$B$13,OBJECTIFS!$I$15="dmt"),AND($D57=OBJECTIFS!$B$20,OBJECTIFS!$I$22="dmt"),AND($D57=OBJECTIFS!$B$27,OBJECTIFS!$I$29="dmt"),AND($D57=OBJECTIFS!$B$34,OBJECTIFS!$I$36="dmt"),AND($D57=OBJECTIFS!$B$6,OBJECTIFS!$I$8="taux de chute"),AND($D57=OBJECTIFS!$B$13,OBJECTIFS!$I$15="taux de chute"),AND($D57=OBJECTIFS!$B$20,OBJECTIFS!$I$22="taux de chute"),AND($D57=OBJECTIFS!$B$27,OBJECTIFS!$I$29="taux de chute"),AND($D57=OBJECTIFS!$B$34,OBJECTIFS!$I$36="taux de chute")),IFERROR(AA57/Z57,""),IFERROR(Z57/AA57,""))</f>
        <v/>
      </c>
      <c r="AC57" s="95">
        <f>IFERROR(IF(OR(Z57="",AA57="",AB57=""),0,IF(AB57&lt;OBJECTIFS!$E$56,0,IF(AB57&lt;OBJECTIFS!$G$56,AC$8*OBJECTIFS!$F$60,IF(AB57&lt;OBJECTIFS!$I$56,AC$8*OBJECTIFS!$H$60,AC$8)))),0)</f>
        <v>0</v>
      </c>
      <c r="AD57" s="186"/>
      <c r="AE57" s="187"/>
      <c r="AF57" s="96">
        <f t="shared" ca="1" si="11"/>
        <v>0</v>
      </c>
      <c r="AG57" s="63"/>
      <c r="AH57" s="186"/>
      <c r="AI57" s="24"/>
      <c r="AJ57" s="24"/>
      <c r="AK57" s="24"/>
      <c r="AL57" s="24"/>
      <c r="AM57" s="79">
        <f t="shared" si="12"/>
        <v>0</v>
      </c>
      <c r="AN57" s="79">
        <v>22</v>
      </c>
      <c r="AO57" s="80">
        <f t="shared" si="13"/>
        <v>0</v>
      </c>
      <c r="AP57" s="81" t="str">
        <f t="shared" ca="1" si="14"/>
        <v/>
      </c>
      <c r="AQ57" s="82"/>
      <c r="AR57" s="97">
        <f>IFERROR(VLOOKUP(B57,OBJECTIFS!$C$76:$E$137,2,FALSE),0)</f>
        <v>0</v>
      </c>
      <c r="AS57" s="98">
        <f>IFERROR(VLOOKUP(B57,OBJECTIFS!$H$76:$J$137,2,FALSE),0)</f>
        <v>0</v>
      </c>
      <c r="AT57" s="98">
        <f>IFERROR(VLOOKUP(B57,OBJECTIFS!$C$142:$E$203,2,FALSE),0)</f>
        <v>0</v>
      </c>
      <c r="AU57" s="98">
        <f>IFERROR(VLOOKUP(B57,OBJECTIFS!$H$142:$J$203,2,FALSE),0)</f>
        <v>0</v>
      </c>
      <c r="AV57" s="98">
        <f>IFERROR(VLOOKUP(B57,OBJECTIFS!$F$208:$H$269,3,FALSE),0)</f>
        <v>0</v>
      </c>
      <c r="AW57" s="81">
        <f t="shared" si="15"/>
        <v>0</v>
      </c>
      <c r="AX57" s="82"/>
      <c r="AY57" s="99" t="str">
        <f t="shared" ca="1" si="16"/>
        <v/>
      </c>
      <c r="AZ57" s="63"/>
      <c r="BA57" s="100">
        <f t="shared" ca="1" si="17"/>
        <v>0</v>
      </c>
      <c r="BB57" s="64" t="str">
        <f t="shared" ca="1" si="18"/>
        <v/>
      </c>
      <c r="BC57" s="101" t="str">
        <f t="shared" ca="1" si="19"/>
        <v/>
      </c>
    </row>
    <row r="58" spans="1:55" x14ac:dyDescent="0.2">
      <c r="A58" s="21"/>
      <c r="B58" s="22"/>
      <c r="C58" s="22"/>
      <c r="D58" s="23"/>
      <c r="E58" s="24"/>
      <c r="F58" s="34"/>
      <c r="H58" s="89" t="str">
        <f>IF(OR(D58="",F58="",A58=""),"",IF(E58="oui",0,IF(D58=OBJECTIFS!$C$45,VLOOKUP(F58,OBJECTIFS!$C$9:$D$11,2,FALSE),IF(D58=OBJECTIFS!$C$46,VLOOKUP(F58,OBJECTIFS!$C$16:$D$18,2,FALSE),IF(D58=OBJECTIFS!$C$47,VLOOKUP(F58,OBJECTIFS!$C$23:$D$25,2,FALSE),IF(D58=OBJECTIFS!$C$48,VLOOKUP(F58,OBJECTIFS!$C$30:$D$32,2,FALSE),IF(D58=OBJECTIFS!$C$49,VLOOKUP(F58,OBJECTIFS!$C$37:$D$39,2,FALSE))))))))</f>
        <v/>
      </c>
      <c r="J58" s="25"/>
      <c r="K58" s="90" t="str">
        <f>IF(OR($A58="",$D58="",J58=""),"",SUMIFS(OBJECTIFS!E$9:E$39,OBJECTIFS!$A$9:$A$39,$D58,OBJECTIFS!$C$9:$C$39,$F58))</f>
        <v/>
      </c>
      <c r="L58" s="90" t="str">
        <f>IF(OR(AND($D58=OBJECTIFS!$B$6,OBJECTIFS!E$8="dmt"),AND($D58=OBJECTIFS!$B$13,OBJECTIFS!$E$15="dmt"),AND($D58=OBJECTIFS!$B$20,OBJECTIFS!$E$22="dmt"),AND($D58=OBJECTIFS!$B$27,OBJECTIFS!$E$29="dmt"),AND($D58=OBJECTIFS!$B$34,OBJECTIFS!$E$36="dmt"),AND($D58=OBJECTIFS!$B$6,OBJECTIFS!$E$8="taux de chute"),AND($D58=OBJECTIFS!$B$13,OBJECTIFS!$E$15="taux de chute"),AND($D58=OBJECTIFS!$B$20,OBJECTIFS!$E$22="taux de chute"),AND($D58=OBJECTIFS!$B$27,OBJECTIFS!$E$29="taux de chute"),AND($D58=OBJECTIFS!$B$34,OBJECTIFS!$E$36="taux de chute")),IFERROR(K58/J58,""),IFERROR(J58/K58,""))</f>
        <v/>
      </c>
      <c r="M58" s="91">
        <f>IFERROR(IF(OR(J58="",K58="",L58=""),0,IF(L58&lt;OBJECTIFS!$E$56,0,IF(L58&lt;OBJECTIFS!$G$56,M$8*OBJECTIFS!$F$60,IF(L58&lt;OBJECTIFS!$I$56,M$8*OBJECTIFS!$H$60,M$8)))),0)</f>
        <v>0</v>
      </c>
      <c r="N58" s="161"/>
      <c r="O58" s="92" t="str">
        <f>IF(OR($A58="",$D58="",N58=""),"",SUMIFS(OBJECTIFS!F$9:F$39,OBJECTIFS!$A$9:$A$39,$D58,OBJECTIFS!$C$9:$C$39,$F58))</f>
        <v/>
      </c>
      <c r="P58" s="90" t="str">
        <f>IF(OR(AND($D58=OBJECTIFS!$B$6,OBJECTIFS!$F$8="dmt"),AND($D58=OBJECTIFS!$B$13,OBJECTIFS!$F$15="dmt"),AND($D58=OBJECTIFS!$B$20,OBJECTIFS!$F$22="dmt"),AND($D58=OBJECTIFS!$B$27,OBJECTIFS!$F$29="dmt"),AND($D58=OBJECTIFS!$B$34,OBJECTIFS!$F$36="dmt"),AND($D58=OBJECTIFS!$B$6,OBJECTIFS!$F$8="taux de chute"),AND($D58=OBJECTIFS!$B$13,OBJECTIFS!$F$15="taux de chute"),AND($D58=OBJECTIFS!$B$20,OBJECTIFS!$F$22="taux de chute"),AND($D58=OBJECTIFS!$B$27,OBJECTIFS!$F$29="taux de chute"),AND($D58=OBJECTIFS!$B$34,OBJECTIFS!$F$36="taux de chute")),IFERROR(O58/N58,""),IFERROR(N58/O58,""))</f>
        <v/>
      </c>
      <c r="Q58" s="91">
        <f>IFERROR(IF(OR(N58="",O58="",P58=""),0,IF(P58&lt;OBJECTIFS!$E$56,0,IF(P58&lt;OBJECTIFS!$G$56,Q$8*OBJECTIFS!$F$60,IF(P58&lt;OBJECTIFS!$I$56,Q$8*OBJECTIFS!$H$60,Q$8)))),0)</f>
        <v>0</v>
      </c>
      <c r="R58" s="164"/>
      <c r="S58" s="93" t="str">
        <f>IF(OR($A58="",$D58="",R58=""),"",SUMIFS(OBJECTIFS!G$9:G$39,OBJECTIFS!$A$9:$A$39,$D58,OBJECTIFS!$C$9:$C$39,$F58))</f>
        <v/>
      </c>
      <c r="T58" s="90" t="str">
        <f>IF(OR(AND($D58=OBJECTIFS!$B$6,OBJECTIFS!G$8="dmt"),AND($D58=OBJECTIFS!$B$13,OBJECTIFS!$G$15="dmt"),AND($D58=OBJECTIFS!$B$20,OBJECTIFS!$G$22="dmt"),AND($D58=OBJECTIFS!$B$27,OBJECTIFS!$G$29="dmt"),AND($D58=OBJECTIFS!$B$34,OBJECTIFS!$G$36="dmt"),AND($D58=OBJECTIFS!$B$6,OBJECTIFS!$G$8="taux de chute"),AND($D58=OBJECTIFS!$B$13,OBJECTIFS!$G$15="taux de chute"),AND($D58=OBJECTIFS!$B$20,OBJECTIFS!$G$22="taux de chute"),AND($D58=OBJECTIFS!$B$27,OBJECTIFS!$G$29="taux de chute"),AND($D58=OBJECTIFS!$B$34,OBJECTIFS!$G$36="taux de chute")),IFERROR(S58/R58,""),IFERROR(R58/S58,""))</f>
        <v/>
      </c>
      <c r="U58" s="94">
        <f>IFERROR(IF(OR(R58="",S58="",T58=""),0,IF(T58&lt;OBJECTIFS!$E$56,0,IF(T58&lt;OBJECTIFS!$G$56,U$8*OBJECTIFS!$F$60,IF(T58&lt;OBJECTIFS!$I$56,U$8*OBJECTIFS!$H$60,U$8)))),0)</f>
        <v>0</v>
      </c>
      <c r="V58" s="25"/>
      <c r="W58" s="90" t="str">
        <f>IF(OR($A58="",$D58="",V58=""),"",SUMIFS(OBJECTIFS!H$9:H$39,OBJECTIFS!$A$9:$A$39,$D58,OBJECTIFS!$C$9:$C$39,$F58))</f>
        <v/>
      </c>
      <c r="X58" s="90" t="str">
        <f>IF(OR(AND($D58=OBJECTIFS!$B$6,OBJECTIFS!H$8="dmt"),AND($D58=OBJECTIFS!$B$13,OBJECTIFS!$H$15="dmt"),AND($D58=OBJECTIFS!$B$20,OBJECTIFS!$H$22="dmt"),AND($D58=OBJECTIFS!$B$27,OBJECTIFS!$H$29="dmt"),AND($D58=OBJECTIFS!$B$34,OBJECTIFS!$H$36="dmt"),AND($D58=OBJECTIFS!$B$6,OBJECTIFS!$H$8="taux de chute"),AND($D58=OBJECTIFS!$B$13,OBJECTIFS!$H$15="taux de chute"),AND($D58=OBJECTIFS!$B$20,OBJECTIFS!$H$22="taux de chute"),AND($D58=OBJECTIFS!$B$27,OBJECTIFS!$H$29="taux de chute"),AND($D58=OBJECTIFS!$B$34,OBJECTIFS!$H$36="taux de chute")),IFERROR(W58/V58,""),IFERROR(V58/W58,""))</f>
        <v/>
      </c>
      <c r="Y58" s="91">
        <f>IFERROR(IF(OR(V58="",W58="",X58=""),0,IF(X58&lt;OBJECTIFS!$E$56,0,IF(X58&lt;OBJECTIFS!$G$56,Y$8*OBJECTIFS!$F$60,IF(X58&lt;OBJECTIFS!$I$56,Y$8*OBJECTIFS!$H$60,Y$8)))),0)</f>
        <v>0</v>
      </c>
      <c r="Z58" s="167"/>
      <c r="AA58" s="90" t="str">
        <f>IF(OR($A58="",$D58="",Z58=""),"",SUMIFS(OBJECTIFS!I$9:I$39,OBJECTIFS!$A$9:$A$39,$D58,OBJECTIFS!$C$9:$C$39,$F58))</f>
        <v/>
      </c>
      <c r="AB58" s="90" t="str">
        <f>IF(OR(AND($D58=OBJECTIFS!$B$6,OBJECTIFS!I$8="dmt"),AND($D58=OBJECTIFS!$B$13,OBJECTIFS!$I$15="dmt"),AND($D58=OBJECTIFS!$B$20,OBJECTIFS!$I$22="dmt"),AND($D58=OBJECTIFS!$B$27,OBJECTIFS!$I$29="dmt"),AND($D58=OBJECTIFS!$B$34,OBJECTIFS!$I$36="dmt"),AND($D58=OBJECTIFS!$B$6,OBJECTIFS!$I$8="taux de chute"),AND($D58=OBJECTIFS!$B$13,OBJECTIFS!$I$15="taux de chute"),AND($D58=OBJECTIFS!$B$20,OBJECTIFS!$I$22="taux de chute"),AND($D58=OBJECTIFS!$B$27,OBJECTIFS!$I$29="taux de chute"),AND($D58=OBJECTIFS!$B$34,OBJECTIFS!$I$36="taux de chute")),IFERROR(AA58/Z58,""),IFERROR(Z58/AA58,""))</f>
        <v/>
      </c>
      <c r="AC58" s="95">
        <f>IFERROR(IF(OR(Z58="",AA58="",AB58=""),0,IF(AB58&lt;OBJECTIFS!$E$56,0,IF(AB58&lt;OBJECTIFS!$G$56,AC$8*OBJECTIFS!$F$60,IF(AB58&lt;OBJECTIFS!$I$56,AC$8*OBJECTIFS!$H$60,AC$8)))),0)</f>
        <v>0</v>
      </c>
      <c r="AD58" s="186"/>
      <c r="AE58" s="187"/>
      <c r="AF58" s="96">
        <f t="shared" ca="1" si="11"/>
        <v>0</v>
      </c>
      <c r="AG58" s="63"/>
      <c r="AH58" s="186"/>
      <c r="AI58" s="24"/>
      <c r="AJ58" s="24"/>
      <c r="AK58" s="24"/>
      <c r="AL58" s="24"/>
      <c r="AM58" s="79">
        <f t="shared" si="12"/>
        <v>0</v>
      </c>
      <c r="AN58" s="79">
        <v>22</v>
      </c>
      <c r="AO58" s="80">
        <f t="shared" si="13"/>
        <v>0</v>
      </c>
      <c r="AP58" s="81" t="str">
        <f t="shared" ca="1" si="14"/>
        <v/>
      </c>
      <c r="AQ58" s="82"/>
      <c r="AR58" s="97">
        <f>IFERROR(VLOOKUP(B58,OBJECTIFS!$C$76:$E$137,2,FALSE),0)</f>
        <v>0</v>
      </c>
      <c r="AS58" s="98">
        <f>IFERROR(VLOOKUP(B58,OBJECTIFS!$H$76:$J$137,2,FALSE),0)</f>
        <v>0</v>
      </c>
      <c r="AT58" s="98">
        <f>IFERROR(VLOOKUP(B58,OBJECTIFS!$C$142:$E$203,2,FALSE),0)</f>
        <v>0</v>
      </c>
      <c r="AU58" s="98">
        <f>IFERROR(VLOOKUP(B58,OBJECTIFS!$H$142:$J$203,2,FALSE),0)</f>
        <v>0</v>
      </c>
      <c r="AV58" s="98">
        <f>IFERROR(VLOOKUP(B58,OBJECTIFS!$F$208:$H$269,3,FALSE),0)</f>
        <v>0</v>
      </c>
      <c r="AW58" s="81">
        <f t="shared" si="15"/>
        <v>0</v>
      </c>
      <c r="AX58" s="82"/>
      <c r="AY58" s="99" t="str">
        <f t="shared" ca="1" si="16"/>
        <v/>
      </c>
      <c r="AZ58" s="63"/>
      <c r="BA58" s="100">
        <f t="shared" ca="1" si="17"/>
        <v>0</v>
      </c>
      <c r="BB58" s="64" t="str">
        <f t="shared" ca="1" si="18"/>
        <v/>
      </c>
      <c r="BC58" s="101" t="str">
        <f t="shared" ca="1" si="19"/>
        <v/>
      </c>
    </row>
    <row r="59" spans="1:55" x14ac:dyDescent="0.2">
      <c r="A59" s="21"/>
      <c r="B59" s="22"/>
      <c r="C59" s="22"/>
      <c r="D59" s="23"/>
      <c r="E59" s="24"/>
      <c r="F59" s="34"/>
      <c r="H59" s="89" t="str">
        <f>IF(OR(D59="",F59="",A59=""),"",IF(E59="oui",0,IF(D59=OBJECTIFS!$C$45,VLOOKUP(F59,OBJECTIFS!$C$9:$D$11,2,FALSE),IF(D59=OBJECTIFS!$C$46,VLOOKUP(F59,OBJECTIFS!$C$16:$D$18,2,FALSE),IF(D59=OBJECTIFS!$C$47,VLOOKUP(F59,OBJECTIFS!$C$23:$D$25,2,FALSE),IF(D59=OBJECTIFS!$C$48,VLOOKUP(F59,OBJECTIFS!$C$30:$D$32,2,FALSE),IF(D59=OBJECTIFS!$C$49,VLOOKUP(F59,OBJECTIFS!$C$37:$D$39,2,FALSE))))))))</f>
        <v/>
      </c>
      <c r="J59" s="25"/>
      <c r="K59" s="90" t="str">
        <f>IF(OR($A59="",$D59="",J59=""),"",SUMIFS(OBJECTIFS!E$9:E$39,OBJECTIFS!$A$9:$A$39,$D59,OBJECTIFS!$C$9:$C$39,$F59))</f>
        <v/>
      </c>
      <c r="L59" s="90" t="str">
        <f>IF(OR(AND($D59=OBJECTIFS!$B$6,OBJECTIFS!E$8="dmt"),AND($D59=OBJECTIFS!$B$13,OBJECTIFS!$E$15="dmt"),AND($D59=OBJECTIFS!$B$20,OBJECTIFS!$E$22="dmt"),AND($D59=OBJECTIFS!$B$27,OBJECTIFS!$E$29="dmt"),AND($D59=OBJECTIFS!$B$34,OBJECTIFS!$E$36="dmt"),AND($D59=OBJECTIFS!$B$6,OBJECTIFS!$E$8="taux de chute"),AND($D59=OBJECTIFS!$B$13,OBJECTIFS!$E$15="taux de chute"),AND($D59=OBJECTIFS!$B$20,OBJECTIFS!$E$22="taux de chute"),AND($D59=OBJECTIFS!$B$27,OBJECTIFS!$E$29="taux de chute"),AND($D59=OBJECTIFS!$B$34,OBJECTIFS!$E$36="taux de chute")),IFERROR(K59/J59,""),IFERROR(J59/K59,""))</f>
        <v/>
      </c>
      <c r="M59" s="91">
        <f>IFERROR(IF(OR(J59="",K59="",L59=""),0,IF(L59&lt;OBJECTIFS!$E$56,0,IF(L59&lt;OBJECTIFS!$G$56,M$8*OBJECTIFS!$F$60,IF(L59&lt;OBJECTIFS!$I$56,M$8*OBJECTIFS!$H$60,M$8)))),0)</f>
        <v>0</v>
      </c>
      <c r="N59" s="161"/>
      <c r="O59" s="92" t="str">
        <f>IF(OR($A59="",$D59="",N59=""),"",SUMIFS(OBJECTIFS!F$9:F$39,OBJECTIFS!$A$9:$A$39,$D59,OBJECTIFS!$C$9:$C$39,$F59))</f>
        <v/>
      </c>
      <c r="P59" s="90" t="str">
        <f>IF(OR(AND($D59=OBJECTIFS!$B$6,OBJECTIFS!$F$8="dmt"),AND($D59=OBJECTIFS!$B$13,OBJECTIFS!$F$15="dmt"),AND($D59=OBJECTIFS!$B$20,OBJECTIFS!$F$22="dmt"),AND($D59=OBJECTIFS!$B$27,OBJECTIFS!$F$29="dmt"),AND($D59=OBJECTIFS!$B$34,OBJECTIFS!$F$36="dmt"),AND($D59=OBJECTIFS!$B$6,OBJECTIFS!$F$8="taux de chute"),AND($D59=OBJECTIFS!$B$13,OBJECTIFS!$F$15="taux de chute"),AND($D59=OBJECTIFS!$B$20,OBJECTIFS!$F$22="taux de chute"),AND($D59=OBJECTIFS!$B$27,OBJECTIFS!$F$29="taux de chute"),AND($D59=OBJECTIFS!$B$34,OBJECTIFS!$F$36="taux de chute")),IFERROR(O59/N59,""),IFERROR(N59/O59,""))</f>
        <v/>
      </c>
      <c r="Q59" s="91">
        <f>IFERROR(IF(OR(N59="",O59="",P59=""),0,IF(P59&lt;OBJECTIFS!$E$56,0,IF(P59&lt;OBJECTIFS!$G$56,Q$8*OBJECTIFS!$F$60,IF(P59&lt;OBJECTIFS!$I$56,Q$8*OBJECTIFS!$H$60,Q$8)))),0)</f>
        <v>0</v>
      </c>
      <c r="R59" s="164"/>
      <c r="S59" s="93" t="str">
        <f>IF(OR($A59="",$D59="",R59=""),"",SUMIFS(OBJECTIFS!G$9:G$39,OBJECTIFS!$A$9:$A$39,$D59,OBJECTIFS!$C$9:$C$39,$F59))</f>
        <v/>
      </c>
      <c r="T59" s="90" t="str">
        <f>IF(OR(AND($D59=OBJECTIFS!$B$6,OBJECTIFS!G$8="dmt"),AND($D59=OBJECTIFS!$B$13,OBJECTIFS!$G$15="dmt"),AND($D59=OBJECTIFS!$B$20,OBJECTIFS!$G$22="dmt"),AND($D59=OBJECTIFS!$B$27,OBJECTIFS!$G$29="dmt"),AND($D59=OBJECTIFS!$B$34,OBJECTIFS!$G$36="dmt"),AND($D59=OBJECTIFS!$B$6,OBJECTIFS!$G$8="taux de chute"),AND($D59=OBJECTIFS!$B$13,OBJECTIFS!$G$15="taux de chute"),AND($D59=OBJECTIFS!$B$20,OBJECTIFS!$G$22="taux de chute"),AND($D59=OBJECTIFS!$B$27,OBJECTIFS!$G$29="taux de chute"),AND($D59=OBJECTIFS!$B$34,OBJECTIFS!$G$36="taux de chute")),IFERROR(S59/R59,""),IFERROR(R59/S59,""))</f>
        <v/>
      </c>
      <c r="U59" s="94">
        <f>IFERROR(IF(OR(R59="",S59="",T59=""),0,IF(T59&lt;OBJECTIFS!$E$56,0,IF(T59&lt;OBJECTIFS!$G$56,U$8*OBJECTIFS!$F$60,IF(T59&lt;OBJECTIFS!$I$56,U$8*OBJECTIFS!$H$60,U$8)))),0)</f>
        <v>0</v>
      </c>
      <c r="V59" s="25"/>
      <c r="W59" s="90" t="str">
        <f>IF(OR($A59="",$D59="",V59=""),"",SUMIFS(OBJECTIFS!H$9:H$39,OBJECTIFS!$A$9:$A$39,$D59,OBJECTIFS!$C$9:$C$39,$F59))</f>
        <v/>
      </c>
      <c r="X59" s="90" t="str">
        <f>IF(OR(AND($D59=OBJECTIFS!$B$6,OBJECTIFS!H$8="dmt"),AND($D59=OBJECTIFS!$B$13,OBJECTIFS!$H$15="dmt"),AND($D59=OBJECTIFS!$B$20,OBJECTIFS!$H$22="dmt"),AND($D59=OBJECTIFS!$B$27,OBJECTIFS!$H$29="dmt"),AND($D59=OBJECTIFS!$B$34,OBJECTIFS!$H$36="dmt"),AND($D59=OBJECTIFS!$B$6,OBJECTIFS!$H$8="taux de chute"),AND($D59=OBJECTIFS!$B$13,OBJECTIFS!$H$15="taux de chute"),AND($D59=OBJECTIFS!$B$20,OBJECTIFS!$H$22="taux de chute"),AND($D59=OBJECTIFS!$B$27,OBJECTIFS!$H$29="taux de chute"),AND($D59=OBJECTIFS!$B$34,OBJECTIFS!$H$36="taux de chute")),IFERROR(W59/V59,""),IFERROR(V59/W59,""))</f>
        <v/>
      </c>
      <c r="Y59" s="91">
        <f>IFERROR(IF(OR(V59="",W59="",X59=""),0,IF(X59&lt;OBJECTIFS!$E$56,0,IF(X59&lt;OBJECTIFS!$G$56,Y$8*OBJECTIFS!$F$60,IF(X59&lt;OBJECTIFS!$I$56,Y$8*OBJECTIFS!$H$60,Y$8)))),0)</f>
        <v>0</v>
      </c>
      <c r="Z59" s="167"/>
      <c r="AA59" s="90" t="str">
        <f>IF(OR($A59="",$D59="",Z59=""),"",SUMIFS(OBJECTIFS!I$9:I$39,OBJECTIFS!$A$9:$A$39,$D59,OBJECTIFS!$C$9:$C$39,$F59))</f>
        <v/>
      </c>
      <c r="AB59" s="90" t="str">
        <f>IF(OR(AND($D59=OBJECTIFS!$B$6,OBJECTIFS!I$8="dmt"),AND($D59=OBJECTIFS!$B$13,OBJECTIFS!$I$15="dmt"),AND($D59=OBJECTIFS!$B$20,OBJECTIFS!$I$22="dmt"),AND($D59=OBJECTIFS!$B$27,OBJECTIFS!$I$29="dmt"),AND($D59=OBJECTIFS!$B$34,OBJECTIFS!$I$36="dmt"),AND($D59=OBJECTIFS!$B$6,OBJECTIFS!$I$8="taux de chute"),AND($D59=OBJECTIFS!$B$13,OBJECTIFS!$I$15="taux de chute"),AND($D59=OBJECTIFS!$B$20,OBJECTIFS!$I$22="taux de chute"),AND($D59=OBJECTIFS!$B$27,OBJECTIFS!$I$29="taux de chute"),AND($D59=OBJECTIFS!$B$34,OBJECTIFS!$I$36="taux de chute")),IFERROR(AA59/Z59,""),IFERROR(Z59/AA59,""))</f>
        <v/>
      </c>
      <c r="AC59" s="95">
        <f>IFERROR(IF(OR(Z59="",AA59="",AB59=""),0,IF(AB59&lt;OBJECTIFS!$E$56,0,IF(AB59&lt;OBJECTIFS!$G$56,AC$8*OBJECTIFS!$F$60,IF(AB59&lt;OBJECTIFS!$I$56,AC$8*OBJECTIFS!$H$60,AC$8)))),0)</f>
        <v>0</v>
      </c>
      <c r="AD59" s="186"/>
      <c r="AE59" s="187"/>
      <c r="AF59" s="96">
        <f t="shared" ca="1" si="11"/>
        <v>0</v>
      </c>
      <c r="AG59" s="63"/>
      <c r="AH59" s="186"/>
      <c r="AI59" s="24"/>
      <c r="AJ59" s="24"/>
      <c r="AK59" s="24"/>
      <c r="AL59" s="24"/>
      <c r="AM59" s="79">
        <f t="shared" si="12"/>
        <v>0</v>
      </c>
      <c r="AN59" s="79">
        <v>22</v>
      </c>
      <c r="AO59" s="80">
        <f t="shared" si="13"/>
        <v>0</v>
      </c>
      <c r="AP59" s="81" t="str">
        <f t="shared" ca="1" si="14"/>
        <v/>
      </c>
      <c r="AQ59" s="82"/>
      <c r="AR59" s="97">
        <f>IFERROR(VLOOKUP(B59,OBJECTIFS!$C$76:$E$137,2,FALSE),0)</f>
        <v>0</v>
      </c>
      <c r="AS59" s="98">
        <f>IFERROR(VLOOKUP(B59,OBJECTIFS!$H$76:$J$137,2,FALSE),0)</f>
        <v>0</v>
      </c>
      <c r="AT59" s="98">
        <f>IFERROR(VLOOKUP(B59,OBJECTIFS!$C$142:$E$203,2,FALSE),0)</f>
        <v>0</v>
      </c>
      <c r="AU59" s="98">
        <f>IFERROR(VLOOKUP(B59,OBJECTIFS!$H$142:$J$203,2,FALSE),0)</f>
        <v>0</v>
      </c>
      <c r="AV59" s="98">
        <f>IFERROR(VLOOKUP(B59,OBJECTIFS!$F$208:$H$269,3,FALSE),0)</f>
        <v>0</v>
      </c>
      <c r="AW59" s="81">
        <f t="shared" si="15"/>
        <v>0</v>
      </c>
      <c r="AX59" s="82"/>
      <c r="AY59" s="99" t="str">
        <f t="shared" ca="1" si="16"/>
        <v/>
      </c>
      <c r="AZ59" s="63"/>
      <c r="BA59" s="100">
        <f t="shared" ca="1" si="17"/>
        <v>0</v>
      </c>
      <c r="BB59" s="64" t="str">
        <f t="shared" ca="1" si="18"/>
        <v/>
      </c>
      <c r="BC59" s="101" t="str">
        <f t="shared" ca="1" si="19"/>
        <v/>
      </c>
    </row>
    <row r="60" spans="1:55" x14ac:dyDescent="0.2">
      <c r="A60" s="21"/>
      <c r="B60" s="22"/>
      <c r="C60" s="22"/>
      <c r="D60" s="23"/>
      <c r="E60" s="24"/>
      <c r="F60" s="34"/>
      <c r="H60" s="89" t="str">
        <f>IF(OR(D60="",F60="",A60=""),"",IF(E60="oui",0,IF(D60=OBJECTIFS!$C$45,VLOOKUP(F60,OBJECTIFS!$C$9:$D$11,2,FALSE),IF(D60=OBJECTIFS!$C$46,VLOOKUP(F60,OBJECTIFS!$C$16:$D$18,2,FALSE),IF(D60=OBJECTIFS!$C$47,VLOOKUP(F60,OBJECTIFS!$C$23:$D$25,2,FALSE),IF(D60=OBJECTIFS!$C$48,VLOOKUP(F60,OBJECTIFS!$C$30:$D$32,2,FALSE),IF(D60=OBJECTIFS!$C$49,VLOOKUP(F60,OBJECTIFS!$C$37:$D$39,2,FALSE))))))))</f>
        <v/>
      </c>
      <c r="J60" s="25"/>
      <c r="K60" s="90" t="str">
        <f>IF(OR($A60="",$D60="",J60=""),"",SUMIFS(OBJECTIFS!E$9:E$39,OBJECTIFS!$A$9:$A$39,$D60,OBJECTIFS!$C$9:$C$39,$F60))</f>
        <v/>
      </c>
      <c r="L60" s="90" t="str">
        <f>IF(OR(AND($D60=OBJECTIFS!$B$6,OBJECTIFS!E$8="dmt"),AND($D60=OBJECTIFS!$B$13,OBJECTIFS!$E$15="dmt"),AND($D60=OBJECTIFS!$B$20,OBJECTIFS!$E$22="dmt"),AND($D60=OBJECTIFS!$B$27,OBJECTIFS!$E$29="dmt"),AND($D60=OBJECTIFS!$B$34,OBJECTIFS!$E$36="dmt"),AND($D60=OBJECTIFS!$B$6,OBJECTIFS!$E$8="taux de chute"),AND($D60=OBJECTIFS!$B$13,OBJECTIFS!$E$15="taux de chute"),AND($D60=OBJECTIFS!$B$20,OBJECTIFS!$E$22="taux de chute"),AND($D60=OBJECTIFS!$B$27,OBJECTIFS!$E$29="taux de chute"),AND($D60=OBJECTIFS!$B$34,OBJECTIFS!$E$36="taux de chute")),IFERROR(K60/J60,""),IFERROR(J60/K60,""))</f>
        <v/>
      </c>
      <c r="M60" s="91">
        <f>IFERROR(IF(OR(J60="",K60="",L60=""),0,IF(L60&lt;OBJECTIFS!$E$56,0,IF(L60&lt;OBJECTIFS!$G$56,M$8*OBJECTIFS!$F$60,IF(L60&lt;OBJECTIFS!$I$56,M$8*OBJECTIFS!$H$60,M$8)))),0)</f>
        <v>0</v>
      </c>
      <c r="N60" s="161"/>
      <c r="O60" s="92" t="str">
        <f>IF(OR($A60="",$D60="",N60=""),"",SUMIFS(OBJECTIFS!F$9:F$39,OBJECTIFS!$A$9:$A$39,$D60,OBJECTIFS!$C$9:$C$39,$F60))</f>
        <v/>
      </c>
      <c r="P60" s="90" t="str">
        <f>IF(OR(AND($D60=OBJECTIFS!$B$6,OBJECTIFS!$F$8="dmt"),AND($D60=OBJECTIFS!$B$13,OBJECTIFS!$F$15="dmt"),AND($D60=OBJECTIFS!$B$20,OBJECTIFS!$F$22="dmt"),AND($D60=OBJECTIFS!$B$27,OBJECTIFS!$F$29="dmt"),AND($D60=OBJECTIFS!$B$34,OBJECTIFS!$F$36="dmt"),AND($D60=OBJECTIFS!$B$6,OBJECTIFS!$F$8="taux de chute"),AND($D60=OBJECTIFS!$B$13,OBJECTIFS!$F$15="taux de chute"),AND($D60=OBJECTIFS!$B$20,OBJECTIFS!$F$22="taux de chute"),AND($D60=OBJECTIFS!$B$27,OBJECTIFS!$F$29="taux de chute"),AND($D60=OBJECTIFS!$B$34,OBJECTIFS!$F$36="taux de chute")),IFERROR(O60/N60,""),IFERROR(N60/O60,""))</f>
        <v/>
      </c>
      <c r="Q60" s="91">
        <f>IFERROR(IF(OR(N60="",O60="",P60=""),0,IF(P60&lt;OBJECTIFS!$E$56,0,IF(P60&lt;OBJECTIFS!$G$56,Q$8*OBJECTIFS!$F$60,IF(P60&lt;OBJECTIFS!$I$56,Q$8*OBJECTIFS!$H$60,Q$8)))),0)</f>
        <v>0</v>
      </c>
      <c r="R60" s="164"/>
      <c r="S60" s="93" t="str">
        <f>IF(OR($A60="",$D60="",R60=""),"",SUMIFS(OBJECTIFS!G$9:G$39,OBJECTIFS!$A$9:$A$39,$D60,OBJECTIFS!$C$9:$C$39,$F60))</f>
        <v/>
      </c>
      <c r="T60" s="90" t="str">
        <f>IF(OR(AND($D60=OBJECTIFS!$B$6,OBJECTIFS!G$8="dmt"),AND($D60=OBJECTIFS!$B$13,OBJECTIFS!$G$15="dmt"),AND($D60=OBJECTIFS!$B$20,OBJECTIFS!$G$22="dmt"),AND($D60=OBJECTIFS!$B$27,OBJECTIFS!$G$29="dmt"),AND($D60=OBJECTIFS!$B$34,OBJECTIFS!$G$36="dmt"),AND($D60=OBJECTIFS!$B$6,OBJECTIFS!$G$8="taux de chute"),AND($D60=OBJECTIFS!$B$13,OBJECTIFS!$G$15="taux de chute"),AND($D60=OBJECTIFS!$B$20,OBJECTIFS!$G$22="taux de chute"),AND($D60=OBJECTIFS!$B$27,OBJECTIFS!$G$29="taux de chute"),AND($D60=OBJECTIFS!$B$34,OBJECTIFS!$G$36="taux de chute")),IFERROR(S60/R60,""),IFERROR(R60/S60,""))</f>
        <v/>
      </c>
      <c r="U60" s="94">
        <f>IFERROR(IF(OR(R60="",S60="",T60=""),0,IF(T60&lt;OBJECTIFS!$E$56,0,IF(T60&lt;OBJECTIFS!$G$56,U$8*OBJECTIFS!$F$60,IF(T60&lt;OBJECTIFS!$I$56,U$8*OBJECTIFS!$H$60,U$8)))),0)</f>
        <v>0</v>
      </c>
      <c r="V60" s="25"/>
      <c r="W60" s="90" t="str">
        <f>IF(OR($A60="",$D60="",V60=""),"",SUMIFS(OBJECTIFS!H$9:H$39,OBJECTIFS!$A$9:$A$39,$D60,OBJECTIFS!$C$9:$C$39,$F60))</f>
        <v/>
      </c>
      <c r="X60" s="90" t="str">
        <f>IF(OR(AND($D60=OBJECTIFS!$B$6,OBJECTIFS!H$8="dmt"),AND($D60=OBJECTIFS!$B$13,OBJECTIFS!$H$15="dmt"),AND($D60=OBJECTIFS!$B$20,OBJECTIFS!$H$22="dmt"),AND($D60=OBJECTIFS!$B$27,OBJECTIFS!$H$29="dmt"),AND($D60=OBJECTIFS!$B$34,OBJECTIFS!$H$36="dmt"),AND($D60=OBJECTIFS!$B$6,OBJECTIFS!$H$8="taux de chute"),AND($D60=OBJECTIFS!$B$13,OBJECTIFS!$H$15="taux de chute"),AND($D60=OBJECTIFS!$B$20,OBJECTIFS!$H$22="taux de chute"),AND($D60=OBJECTIFS!$B$27,OBJECTIFS!$H$29="taux de chute"),AND($D60=OBJECTIFS!$B$34,OBJECTIFS!$H$36="taux de chute")),IFERROR(W60/V60,""),IFERROR(V60/W60,""))</f>
        <v/>
      </c>
      <c r="Y60" s="91">
        <f>IFERROR(IF(OR(V60="",W60="",X60=""),0,IF(X60&lt;OBJECTIFS!$E$56,0,IF(X60&lt;OBJECTIFS!$G$56,Y$8*OBJECTIFS!$F$60,IF(X60&lt;OBJECTIFS!$I$56,Y$8*OBJECTIFS!$H$60,Y$8)))),0)</f>
        <v>0</v>
      </c>
      <c r="Z60" s="167"/>
      <c r="AA60" s="90" t="str">
        <f>IF(OR($A60="",$D60="",Z60=""),"",SUMIFS(OBJECTIFS!I$9:I$39,OBJECTIFS!$A$9:$A$39,$D60,OBJECTIFS!$C$9:$C$39,$F60))</f>
        <v/>
      </c>
      <c r="AB60" s="90" t="str">
        <f>IF(OR(AND($D60=OBJECTIFS!$B$6,OBJECTIFS!I$8="dmt"),AND($D60=OBJECTIFS!$B$13,OBJECTIFS!$I$15="dmt"),AND($D60=OBJECTIFS!$B$20,OBJECTIFS!$I$22="dmt"),AND($D60=OBJECTIFS!$B$27,OBJECTIFS!$I$29="dmt"),AND($D60=OBJECTIFS!$B$34,OBJECTIFS!$I$36="dmt"),AND($D60=OBJECTIFS!$B$6,OBJECTIFS!$I$8="taux de chute"),AND($D60=OBJECTIFS!$B$13,OBJECTIFS!$I$15="taux de chute"),AND($D60=OBJECTIFS!$B$20,OBJECTIFS!$I$22="taux de chute"),AND($D60=OBJECTIFS!$B$27,OBJECTIFS!$I$29="taux de chute"),AND($D60=OBJECTIFS!$B$34,OBJECTIFS!$I$36="taux de chute")),IFERROR(AA60/Z60,""),IFERROR(Z60/AA60,""))</f>
        <v/>
      </c>
      <c r="AC60" s="95">
        <f>IFERROR(IF(OR(Z60="",AA60="",AB60=""),0,IF(AB60&lt;OBJECTIFS!$E$56,0,IF(AB60&lt;OBJECTIFS!$G$56,AC$8*OBJECTIFS!$F$60,IF(AB60&lt;OBJECTIFS!$I$56,AC$8*OBJECTIFS!$H$60,AC$8)))),0)</f>
        <v>0</v>
      </c>
      <c r="AD60" s="186"/>
      <c r="AE60" s="187"/>
      <c r="AF60" s="96">
        <f t="shared" ca="1" si="11"/>
        <v>0</v>
      </c>
      <c r="AG60" s="63"/>
      <c r="AH60" s="186"/>
      <c r="AI60" s="24"/>
      <c r="AJ60" s="24"/>
      <c r="AK60" s="24"/>
      <c r="AL60" s="24"/>
      <c r="AM60" s="79">
        <f t="shared" si="12"/>
        <v>0</v>
      </c>
      <c r="AN60" s="79">
        <v>22</v>
      </c>
      <c r="AO60" s="80">
        <f t="shared" si="13"/>
        <v>0</v>
      </c>
      <c r="AP60" s="81" t="str">
        <f t="shared" ca="1" si="14"/>
        <v/>
      </c>
      <c r="AQ60" s="82"/>
      <c r="AR60" s="97">
        <f>IFERROR(VLOOKUP(B60,OBJECTIFS!$C$76:$E$137,2,FALSE),0)</f>
        <v>0</v>
      </c>
      <c r="AS60" s="98">
        <f>IFERROR(VLOOKUP(B60,OBJECTIFS!$H$76:$J$137,2,FALSE),0)</f>
        <v>0</v>
      </c>
      <c r="AT60" s="98">
        <f>IFERROR(VLOOKUP(B60,OBJECTIFS!$C$142:$E$203,2,FALSE),0)</f>
        <v>0</v>
      </c>
      <c r="AU60" s="98">
        <f>IFERROR(VLOOKUP(B60,OBJECTIFS!$H$142:$J$203,2,FALSE),0)</f>
        <v>0</v>
      </c>
      <c r="AV60" s="98">
        <f>IFERROR(VLOOKUP(B60,OBJECTIFS!$F$208:$H$269,3,FALSE),0)</f>
        <v>0</v>
      </c>
      <c r="AW60" s="81">
        <f t="shared" si="15"/>
        <v>0</v>
      </c>
      <c r="AX60" s="82"/>
      <c r="AY60" s="99" t="str">
        <f t="shared" ca="1" si="16"/>
        <v/>
      </c>
      <c r="AZ60" s="63"/>
      <c r="BA60" s="100">
        <f t="shared" ca="1" si="17"/>
        <v>0</v>
      </c>
      <c r="BB60" s="64" t="str">
        <f t="shared" ca="1" si="18"/>
        <v/>
      </c>
      <c r="BC60" s="101" t="str">
        <f t="shared" ca="1" si="19"/>
        <v/>
      </c>
    </row>
    <row r="61" spans="1:55" x14ac:dyDescent="0.2">
      <c r="A61" s="21"/>
      <c r="B61" s="22"/>
      <c r="C61" s="22"/>
      <c r="D61" s="23"/>
      <c r="E61" s="24"/>
      <c r="F61" s="34"/>
      <c r="H61" s="89" t="str">
        <f>IF(OR(D61="",F61="",A61=""),"",IF(E61="oui",0,IF(D61=OBJECTIFS!$C$45,VLOOKUP(F61,OBJECTIFS!$C$9:$D$11,2,FALSE),IF(D61=OBJECTIFS!$C$46,VLOOKUP(F61,OBJECTIFS!$C$16:$D$18,2,FALSE),IF(D61=OBJECTIFS!$C$47,VLOOKUP(F61,OBJECTIFS!$C$23:$D$25,2,FALSE),IF(D61=OBJECTIFS!$C$48,VLOOKUP(F61,OBJECTIFS!$C$30:$D$32,2,FALSE),IF(D61=OBJECTIFS!$C$49,VLOOKUP(F61,OBJECTIFS!$C$37:$D$39,2,FALSE))))))))</f>
        <v/>
      </c>
      <c r="J61" s="25"/>
      <c r="K61" s="90" t="str">
        <f>IF(OR($A61="",$D61="",J61=""),"",SUMIFS(OBJECTIFS!E$9:E$39,OBJECTIFS!$A$9:$A$39,$D61,OBJECTIFS!$C$9:$C$39,$F61))</f>
        <v/>
      </c>
      <c r="L61" s="90" t="str">
        <f>IF(OR(AND($D61=OBJECTIFS!$B$6,OBJECTIFS!E$8="dmt"),AND($D61=OBJECTIFS!$B$13,OBJECTIFS!$E$15="dmt"),AND($D61=OBJECTIFS!$B$20,OBJECTIFS!$E$22="dmt"),AND($D61=OBJECTIFS!$B$27,OBJECTIFS!$E$29="dmt"),AND($D61=OBJECTIFS!$B$34,OBJECTIFS!$E$36="dmt"),AND($D61=OBJECTIFS!$B$6,OBJECTIFS!$E$8="taux de chute"),AND($D61=OBJECTIFS!$B$13,OBJECTIFS!$E$15="taux de chute"),AND($D61=OBJECTIFS!$B$20,OBJECTIFS!$E$22="taux de chute"),AND($D61=OBJECTIFS!$B$27,OBJECTIFS!$E$29="taux de chute"),AND($D61=OBJECTIFS!$B$34,OBJECTIFS!$E$36="taux de chute")),IFERROR(K61/J61,""),IFERROR(J61/K61,""))</f>
        <v/>
      </c>
      <c r="M61" s="91">
        <f>IFERROR(IF(OR(J61="",K61="",L61=""),0,IF(L61&lt;OBJECTIFS!$E$56,0,IF(L61&lt;OBJECTIFS!$G$56,M$8*OBJECTIFS!$F$60,IF(L61&lt;OBJECTIFS!$I$56,M$8*OBJECTIFS!$H$60,M$8)))),0)</f>
        <v>0</v>
      </c>
      <c r="N61" s="161"/>
      <c r="O61" s="92" t="str">
        <f>IF(OR($A61="",$D61="",N61=""),"",SUMIFS(OBJECTIFS!F$9:F$39,OBJECTIFS!$A$9:$A$39,$D61,OBJECTIFS!$C$9:$C$39,$F61))</f>
        <v/>
      </c>
      <c r="P61" s="90" t="str">
        <f>IF(OR(AND($D61=OBJECTIFS!$B$6,OBJECTIFS!$F$8="dmt"),AND($D61=OBJECTIFS!$B$13,OBJECTIFS!$F$15="dmt"),AND($D61=OBJECTIFS!$B$20,OBJECTIFS!$F$22="dmt"),AND($D61=OBJECTIFS!$B$27,OBJECTIFS!$F$29="dmt"),AND($D61=OBJECTIFS!$B$34,OBJECTIFS!$F$36="dmt"),AND($D61=OBJECTIFS!$B$6,OBJECTIFS!$F$8="taux de chute"),AND($D61=OBJECTIFS!$B$13,OBJECTIFS!$F$15="taux de chute"),AND($D61=OBJECTIFS!$B$20,OBJECTIFS!$F$22="taux de chute"),AND($D61=OBJECTIFS!$B$27,OBJECTIFS!$F$29="taux de chute"),AND($D61=OBJECTIFS!$B$34,OBJECTIFS!$F$36="taux de chute")),IFERROR(O61/N61,""),IFERROR(N61/O61,""))</f>
        <v/>
      </c>
      <c r="Q61" s="91">
        <f>IFERROR(IF(OR(N61="",O61="",P61=""),0,IF(P61&lt;OBJECTIFS!$E$56,0,IF(P61&lt;OBJECTIFS!$G$56,Q$8*OBJECTIFS!$F$60,IF(P61&lt;OBJECTIFS!$I$56,Q$8*OBJECTIFS!$H$60,Q$8)))),0)</f>
        <v>0</v>
      </c>
      <c r="R61" s="164"/>
      <c r="S61" s="93" t="str">
        <f>IF(OR($A61="",$D61="",R61=""),"",SUMIFS(OBJECTIFS!G$9:G$39,OBJECTIFS!$A$9:$A$39,$D61,OBJECTIFS!$C$9:$C$39,$F61))</f>
        <v/>
      </c>
      <c r="T61" s="90" t="str">
        <f>IF(OR(AND($D61=OBJECTIFS!$B$6,OBJECTIFS!G$8="dmt"),AND($D61=OBJECTIFS!$B$13,OBJECTIFS!$G$15="dmt"),AND($D61=OBJECTIFS!$B$20,OBJECTIFS!$G$22="dmt"),AND($D61=OBJECTIFS!$B$27,OBJECTIFS!$G$29="dmt"),AND($D61=OBJECTIFS!$B$34,OBJECTIFS!$G$36="dmt"),AND($D61=OBJECTIFS!$B$6,OBJECTIFS!$G$8="taux de chute"),AND($D61=OBJECTIFS!$B$13,OBJECTIFS!$G$15="taux de chute"),AND($D61=OBJECTIFS!$B$20,OBJECTIFS!$G$22="taux de chute"),AND($D61=OBJECTIFS!$B$27,OBJECTIFS!$G$29="taux de chute"),AND($D61=OBJECTIFS!$B$34,OBJECTIFS!$G$36="taux de chute")),IFERROR(S61/R61,""),IFERROR(R61/S61,""))</f>
        <v/>
      </c>
      <c r="U61" s="94">
        <f>IFERROR(IF(OR(R61="",S61="",T61=""),0,IF(T61&lt;OBJECTIFS!$E$56,0,IF(T61&lt;OBJECTIFS!$G$56,U$8*OBJECTIFS!$F$60,IF(T61&lt;OBJECTIFS!$I$56,U$8*OBJECTIFS!$H$60,U$8)))),0)</f>
        <v>0</v>
      </c>
      <c r="V61" s="25"/>
      <c r="W61" s="90" t="str">
        <f>IF(OR($A61="",$D61="",V61=""),"",SUMIFS(OBJECTIFS!H$9:H$39,OBJECTIFS!$A$9:$A$39,$D61,OBJECTIFS!$C$9:$C$39,$F61))</f>
        <v/>
      </c>
      <c r="X61" s="90" t="str">
        <f>IF(OR(AND($D61=OBJECTIFS!$B$6,OBJECTIFS!H$8="dmt"),AND($D61=OBJECTIFS!$B$13,OBJECTIFS!$H$15="dmt"),AND($D61=OBJECTIFS!$B$20,OBJECTIFS!$H$22="dmt"),AND($D61=OBJECTIFS!$B$27,OBJECTIFS!$H$29="dmt"),AND($D61=OBJECTIFS!$B$34,OBJECTIFS!$H$36="dmt"),AND($D61=OBJECTIFS!$B$6,OBJECTIFS!$H$8="taux de chute"),AND($D61=OBJECTIFS!$B$13,OBJECTIFS!$H$15="taux de chute"),AND($D61=OBJECTIFS!$B$20,OBJECTIFS!$H$22="taux de chute"),AND($D61=OBJECTIFS!$B$27,OBJECTIFS!$H$29="taux de chute"),AND($D61=OBJECTIFS!$B$34,OBJECTIFS!$H$36="taux de chute")),IFERROR(W61/V61,""),IFERROR(V61/W61,""))</f>
        <v/>
      </c>
      <c r="Y61" s="91">
        <f>IFERROR(IF(OR(V61="",W61="",X61=""),0,IF(X61&lt;OBJECTIFS!$E$56,0,IF(X61&lt;OBJECTIFS!$G$56,Y$8*OBJECTIFS!$F$60,IF(X61&lt;OBJECTIFS!$I$56,Y$8*OBJECTIFS!$H$60,Y$8)))),0)</f>
        <v>0</v>
      </c>
      <c r="Z61" s="167"/>
      <c r="AA61" s="90" t="str">
        <f>IF(OR($A61="",$D61="",Z61=""),"",SUMIFS(OBJECTIFS!I$9:I$39,OBJECTIFS!$A$9:$A$39,$D61,OBJECTIFS!$C$9:$C$39,$F61))</f>
        <v/>
      </c>
      <c r="AB61" s="90" t="str">
        <f>IF(OR(AND($D61=OBJECTIFS!$B$6,OBJECTIFS!I$8="dmt"),AND($D61=OBJECTIFS!$B$13,OBJECTIFS!$I$15="dmt"),AND($D61=OBJECTIFS!$B$20,OBJECTIFS!$I$22="dmt"),AND($D61=OBJECTIFS!$B$27,OBJECTIFS!$I$29="dmt"),AND($D61=OBJECTIFS!$B$34,OBJECTIFS!$I$36="dmt"),AND($D61=OBJECTIFS!$B$6,OBJECTIFS!$I$8="taux de chute"),AND($D61=OBJECTIFS!$B$13,OBJECTIFS!$I$15="taux de chute"),AND($D61=OBJECTIFS!$B$20,OBJECTIFS!$I$22="taux de chute"),AND($D61=OBJECTIFS!$B$27,OBJECTIFS!$I$29="taux de chute"),AND($D61=OBJECTIFS!$B$34,OBJECTIFS!$I$36="taux de chute")),IFERROR(AA61/Z61,""),IFERROR(Z61/AA61,""))</f>
        <v/>
      </c>
      <c r="AC61" s="95">
        <f>IFERROR(IF(OR(Z61="",AA61="",AB61=""),0,IF(AB61&lt;OBJECTIFS!$E$56,0,IF(AB61&lt;OBJECTIFS!$G$56,AC$8*OBJECTIFS!$F$60,IF(AB61&lt;OBJECTIFS!$I$56,AC$8*OBJECTIFS!$H$60,AC$8)))),0)</f>
        <v>0</v>
      </c>
      <c r="AD61" s="186"/>
      <c r="AE61" s="187"/>
      <c r="AF61" s="96">
        <f t="shared" ca="1" si="11"/>
        <v>0</v>
      </c>
      <c r="AG61" s="63"/>
      <c r="AH61" s="186"/>
      <c r="AI61" s="24"/>
      <c r="AJ61" s="24"/>
      <c r="AK61" s="24"/>
      <c r="AL61" s="24"/>
      <c r="AM61" s="79">
        <f t="shared" si="12"/>
        <v>0</v>
      </c>
      <c r="AN61" s="79">
        <v>22</v>
      </c>
      <c r="AO61" s="80">
        <f t="shared" si="13"/>
        <v>0</v>
      </c>
      <c r="AP61" s="81" t="str">
        <f t="shared" ca="1" si="14"/>
        <v/>
      </c>
      <c r="AQ61" s="82"/>
      <c r="AR61" s="97">
        <f>IFERROR(VLOOKUP(B61,OBJECTIFS!$C$76:$E$137,2,FALSE),0)</f>
        <v>0</v>
      </c>
      <c r="AS61" s="98">
        <f>IFERROR(VLOOKUP(B61,OBJECTIFS!$H$76:$J$137,2,FALSE),0)</f>
        <v>0</v>
      </c>
      <c r="AT61" s="98">
        <f>IFERROR(VLOOKUP(B61,OBJECTIFS!$C$142:$E$203,2,FALSE),0)</f>
        <v>0</v>
      </c>
      <c r="AU61" s="98">
        <f>IFERROR(VLOOKUP(B61,OBJECTIFS!$H$142:$J$203,2,FALSE),0)</f>
        <v>0</v>
      </c>
      <c r="AV61" s="98">
        <f>IFERROR(VLOOKUP(B61,OBJECTIFS!$F$208:$H$269,3,FALSE),0)</f>
        <v>0</v>
      </c>
      <c r="AW61" s="81">
        <f t="shared" si="15"/>
        <v>0</v>
      </c>
      <c r="AX61" s="82"/>
      <c r="AY61" s="99" t="str">
        <f t="shared" ca="1" si="16"/>
        <v/>
      </c>
      <c r="AZ61" s="63"/>
      <c r="BA61" s="100">
        <f t="shared" ca="1" si="17"/>
        <v>0</v>
      </c>
      <c r="BB61" s="64" t="str">
        <f t="shared" ca="1" si="18"/>
        <v/>
      </c>
      <c r="BC61" s="101" t="str">
        <f t="shared" ca="1" si="19"/>
        <v/>
      </c>
    </row>
    <row r="62" spans="1:55" x14ac:dyDescent="0.2">
      <c r="A62" s="21"/>
      <c r="B62" s="22"/>
      <c r="C62" s="22"/>
      <c r="D62" s="23"/>
      <c r="E62" s="24"/>
      <c r="F62" s="34"/>
      <c r="H62" s="89" t="str">
        <f>IF(OR(D62="",F62="",A62=""),"",IF(E62="oui",0,IF(D62=OBJECTIFS!$C$45,VLOOKUP(F62,OBJECTIFS!$C$9:$D$11,2,FALSE),IF(D62=OBJECTIFS!$C$46,VLOOKUP(F62,OBJECTIFS!$C$16:$D$18,2,FALSE),IF(D62=OBJECTIFS!$C$47,VLOOKUP(F62,OBJECTIFS!$C$23:$D$25,2,FALSE),IF(D62=OBJECTIFS!$C$48,VLOOKUP(F62,OBJECTIFS!$C$30:$D$32,2,FALSE),IF(D62=OBJECTIFS!$C$49,VLOOKUP(F62,OBJECTIFS!$C$37:$D$39,2,FALSE))))))))</f>
        <v/>
      </c>
      <c r="J62" s="25"/>
      <c r="K62" s="90" t="str">
        <f>IF(OR($A62="",$D62="",J62=""),"",SUMIFS(OBJECTIFS!E$9:E$39,OBJECTIFS!$A$9:$A$39,$D62,OBJECTIFS!$C$9:$C$39,$F62))</f>
        <v/>
      </c>
      <c r="L62" s="90" t="str">
        <f>IF(OR(AND($D62=OBJECTIFS!$B$6,OBJECTIFS!E$8="dmt"),AND($D62=OBJECTIFS!$B$13,OBJECTIFS!$E$15="dmt"),AND($D62=OBJECTIFS!$B$20,OBJECTIFS!$E$22="dmt"),AND($D62=OBJECTIFS!$B$27,OBJECTIFS!$E$29="dmt"),AND($D62=OBJECTIFS!$B$34,OBJECTIFS!$E$36="dmt"),AND($D62=OBJECTIFS!$B$6,OBJECTIFS!$E$8="taux de chute"),AND($D62=OBJECTIFS!$B$13,OBJECTIFS!$E$15="taux de chute"),AND($D62=OBJECTIFS!$B$20,OBJECTIFS!$E$22="taux de chute"),AND($D62=OBJECTIFS!$B$27,OBJECTIFS!$E$29="taux de chute"),AND($D62=OBJECTIFS!$B$34,OBJECTIFS!$E$36="taux de chute")),IFERROR(K62/J62,""),IFERROR(J62/K62,""))</f>
        <v/>
      </c>
      <c r="M62" s="91">
        <f>IFERROR(IF(OR(J62="",K62="",L62=""),0,IF(L62&lt;OBJECTIFS!$E$56,0,IF(L62&lt;OBJECTIFS!$G$56,M$8*OBJECTIFS!$F$60,IF(L62&lt;OBJECTIFS!$I$56,M$8*OBJECTIFS!$H$60,M$8)))),0)</f>
        <v>0</v>
      </c>
      <c r="N62" s="161"/>
      <c r="O62" s="92" t="str">
        <f>IF(OR($A62="",$D62="",N62=""),"",SUMIFS(OBJECTIFS!F$9:F$39,OBJECTIFS!$A$9:$A$39,$D62,OBJECTIFS!$C$9:$C$39,$F62))</f>
        <v/>
      </c>
      <c r="P62" s="90" t="str">
        <f>IF(OR(AND($D62=OBJECTIFS!$B$6,OBJECTIFS!$F$8="dmt"),AND($D62=OBJECTIFS!$B$13,OBJECTIFS!$F$15="dmt"),AND($D62=OBJECTIFS!$B$20,OBJECTIFS!$F$22="dmt"),AND($D62=OBJECTIFS!$B$27,OBJECTIFS!$F$29="dmt"),AND($D62=OBJECTIFS!$B$34,OBJECTIFS!$F$36="dmt"),AND($D62=OBJECTIFS!$B$6,OBJECTIFS!$F$8="taux de chute"),AND($D62=OBJECTIFS!$B$13,OBJECTIFS!$F$15="taux de chute"),AND($D62=OBJECTIFS!$B$20,OBJECTIFS!$F$22="taux de chute"),AND($D62=OBJECTIFS!$B$27,OBJECTIFS!$F$29="taux de chute"),AND($D62=OBJECTIFS!$B$34,OBJECTIFS!$F$36="taux de chute")),IFERROR(O62/N62,""),IFERROR(N62/O62,""))</f>
        <v/>
      </c>
      <c r="Q62" s="91">
        <f>IFERROR(IF(OR(N62="",O62="",P62=""),0,IF(P62&lt;OBJECTIFS!$E$56,0,IF(P62&lt;OBJECTIFS!$G$56,Q$8*OBJECTIFS!$F$60,IF(P62&lt;OBJECTIFS!$I$56,Q$8*OBJECTIFS!$H$60,Q$8)))),0)</f>
        <v>0</v>
      </c>
      <c r="R62" s="164"/>
      <c r="S62" s="93" t="str">
        <f>IF(OR($A62="",$D62="",R62=""),"",SUMIFS(OBJECTIFS!G$9:G$39,OBJECTIFS!$A$9:$A$39,$D62,OBJECTIFS!$C$9:$C$39,$F62))</f>
        <v/>
      </c>
      <c r="T62" s="90" t="str">
        <f>IF(OR(AND($D62=OBJECTIFS!$B$6,OBJECTIFS!G$8="dmt"),AND($D62=OBJECTIFS!$B$13,OBJECTIFS!$G$15="dmt"),AND($D62=OBJECTIFS!$B$20,OBJECTIFS!$G$22="dmt"),AND($D62=OBJECTIFS!$B$27,OBJECTIFS!$G$29="dmt"),AND($D62=OBJECTIFS!$B$34,OBJECTIFS!$G$36="dmt"),AND($D62=OBJECTIFS!$B$6,OBJECTIFS!$G$8="taux de chute"),AND($D62=OBJECTIFS!$B$13,OBJECTIFS!$G$15="taux de chute"),AND($D62=OBJECTIFS!$B$20,OBJECTIFS!$G$22="taux de chute"),AND($D62=OBJECTIFS!$B$27,OBJECTIFS!$G$29="taux de chute"),AND($D62=OBJECTIFS!$B$34,OBJECTIFS!$G$36="taux de chute")),IFERROR(S62/R62,""),IFERROR(R62/S62,""))</f>
        <v/>
      </c>
      <c r="U62" s="94">
        <f>IFERROR(IF(OR(R62="",S62="",T62=""),0,IF(T62&lt;OBJECTIFS!$E$56,0,IF(T62&lt;OBJECTIFS!$G$56,U$8*OBJECTIFS!$F$60,IF(T62&lt;OBJECTIFS!$I$56,U$8*OBJECTIFS!$H$60,U$8)))),0)</f>
        <v>0</v>
      </c>
      <c r="V62" s="25"/>
      <c r="W62" s="90" t="str">
        <f>IF(OR($A62="",$D62="",V62=""),"",SUMIFS(OBJECTIFS!H$9:H$39,OBJECTIFS!$A$9:$A$39,$D62,OBJECTIFS!$C$9:$C$39,$F62))</f>
        <v/>
      </c>
      <c r="X62" s="90" t="str">
        <f>IF(OR(AND($D62=OBJECTIFS!$B$6,OBJECTIFS!H$8="dmt"),AND($D62=OBJECTIFS!$B$13,OBJECTIFS!$H$15="dmt"),AND($D62=OBJECTIFS!$B$20,OBJECTIFS!$H$22="dmt"),AND($D62=OBJECTIFS!$B$27,OBJECTIFS!$H$29="dmt"),AND($D62=OBJECTIFS!$B$34,OBJECTIFS!$H$36="dmt"),AND($D62=OBJECTIFS!$B$6,OBJECTIFS!$H$8="taux de chute"),AND($D62=OBJECTIFS!$B$13,OBJECTIFS!$H$15="taux de chute"),AND($D62=OBJECTIFS!$B$20,OBJECTIFS!$H$22="taux de chute"),AND($D62=OBJECTIFS!$B$27,OBJECTIFS!$H$29="taux de chute"),AND($D62=OBJECTIFS!$B$34,OBJECTIFS!$H$36="taux de chute")),IFERROR(W62/V62,""),IFERROR(V62/W62,""))</f>
        <v/>
      </c>
      <c r="Y62" s="91">
        <f>IFERROR(IF(OR(V62="",W62="",X62=""),0,IF(X62&lt;OBJECTIFS!$E$56,0,IF(X62&lt;OBJECTIFS!$G$56,Y$8*OBJECTIFS!$F$60,IF(X62&lt;OBJECTIFS!$I$56,Y$8*OBJECTIFS!$H$60,Y$8)))),0)</f>
        <v>0</v>
      </c>
      <c r="Z62" s="167"/>
      <c r="AA62" s="90" t="str">
        <f>IF(OR($A62="",$D62="",Z62=""),"",SUMIFS(OBJECTIFS!I$9:I$39,OBJECTIFS!$A$9:$A$39,$D62,OBJECTIFS!$C$9:$C$39,$F62))</f>
        <v/>
      </c>
      <c r="AB62" s="90" t="str">
        <f>IF(OR(AND($D62=OBJECTIFS!$B$6,OBJECTIFS!I$8="dmt"),AND($D62=OBJECTIFS!$B$13,OBJECTIFS!$I$15="dmt"),AND($D62=OBJECTIFS!$B$20,OBJECTIFS!$I$22="dmt"),AND($D62=OBJECTIFS!$B$27,OBJECTIFS!$I$29="dmt"),AND($D62=OBJECTIFS!$B$34,OBJECTIFS!$I$36="dmt"),AND($D62=OBJECTIFS!$B$6,OBJECTIFS!$I$8="taux de chute"),AND($D62=OBJECTIFS!$B$13,OBJECTIFS!$I$15="taux de chute"),AND($D62=OBJECTIFS!$B$20,OBJECTIFS!$I$22="taux de chute"),AND($D62=OBJECTIFS!$B$27,OBJECTIFS!$I$29="taux de chute"),AND($D62=OBJECTIFS!$B$34,OBJECTIFS!$I$36="taux de chute")),IFERROR(AA62/Z62,""),IFERROR(Z62/AA62,""))</f>
        <v/>
      </c>
      <c r="AC62" s="95">
        <f>IFERROR(IF(OR(Z62="",AA62="",AB62=""),0,IF(AB62&lt;OBJECTIFS!$E$56,0,IF(AB62&lt;OBJECTIFS!$G$56,AC$8*OBJECTIFS!$F$60,IF(AB62&lt;OBJECTIFS!$I$56,AC$8*OBJECTIFS!$H$60,AC$8)))),0)</f>
        <v>0</v>
      </c>
      <c r="AD62" s="186"/>
      <c r="AE62" s="187"/>
      <c r="AF62" s="96">
        <f t="shared" ca="1" si="11"/>
        <v>0</v>
      </c>
      <c r="AG62" s="63"/>
      <c r="AH62" s="186"/>
      <c r="AI62" s="24"/>
      <c r="AJ62" s="24"/>
      <c r="AK62" s="24"/>
      <c r="AL62" s="24"/>
      <c r="AM62" s="79">
        <f t="shared" si="12"/>
        <v>0</v>
      </c>
      <c r="AN62" s="79">
        <v>22</v>
      </c>
      <c r="AO62" s="80">
        <f t="shared" si="13"/>
        <v>0</v>
      </c>
      <c r="AP62" s="81" t="str">
        <f t="shared" ca="1" si="14"/>
        <v/>
      </c>
      <c r="AQ62" s="82"/>
      <c r="AR62" s="97">
        <f>IFERROR(VLOOKUP(B62,OBJECTIFS!$C$76:$E$137,2,FALSE),0)</f>
        <v>0</v>
      </c>
      <c r="AS62" s="98">
        <f>IFERROR(VLOOKUP(B62,OBJECTIFS!$H$76:$J$137,2,FALSE),0)</f>
        <v>0</v>
      </c>
      <c r="AT62" s="98">
        <f>IFERROR(VLOOKUP(B62,OBJECTIFS!$C$142:$E$203,2,FALSE),0)</f>
        <v>0</v>
      </c>
      <c r="AU62" s="98">
        <f>IFERROR(VLOOKUP(B62,OBJECTIFS!$H$142:$J$203,2,FALSE),0)</f>
        <v>0</v>
      </c>
      <c r="AV62" s="98">
        <f>IFERROR(VLOOKUP(B62,OBJECTIFS!$F$208:$H$269,3,FALSE),0)</f>
        <v>0</v>
      </c>
      <c r="AW62" s="81">
        <f t="shared" si="15"/>
        <v>0</v>
      </c>
      <c r="AX62" s="82"/>
      <c r="AY62" s="99" t="str">
        <f t="shared" ca="1" si="16"/>
        <v/>
      </c>
      <c r="AZ62" s="63"/>
      <c r="BA62" s="100">
        <f t="shared" ca="1" si="17"/>
        <v>0</v>
      </c>
      <c r="BB62" s="64" t="str">
        <f t="shared" ca="1" si="18"/>
        <v/>
      </c>
      <c r="BC62" s="101" t="str">
        <f t="shared" ca="1" si="19"/>
        <v/>
      </c>
    </row>
    <row r="63" spans="1:55" x14ac:dyDescent="0.2">
      <c r="A63" s="21"/>
      <c r="B63" s="22"/>
      <c r="C63" s="22"/>
      <c r="D63" s="23"/>
      <c r="E63" s="24"/>
      <c r="F63" s="34"/>
      <c r="H63" s="89" t="str">
        <f>IF(OR(D63="",F63="",A63=""),"",IF(E63="oui",0,IF(D63=OBJECTIFS!$C$45,VLOOKUP(F63,OBJECTIFS!$C$9:$D$11,2,FALSE),IF(D63=OBJECTIFS!$C$46,VLOOKUP(F63,OBJECTIFS!$C$16:$D$18,2,FALSE),IF(D63=OBJECTIFS!$C$47,VLOOKUP(F63,OBJECTIFS!$C$23:$D$25,2,FALSE),IF(D63=OBJECTIFS!$C$48,VLOOKUP(F63,OBJECTIFS!$C$30:$D$32,2,FALSE),IF(D63=OBJECTIFS!$C$49,VLOOKUP(F63,OBJECTIFS!$C$37:$D$39,2,FALSE))))))))</f>
        <v/>
      </c>
      <c r="J63" s="25"/>
      <c r="K63" s="90" t="str">
        <f>IF(OR($A63="",$D63="",J63=""),"",SUMIFS(OBJECTIFS!E$9:E$39,OBJECTIFS!$A$9:$A$39,$D63,OBJECTIFS!$C$9:$C$39,$F63))</f>
        <v/>
      </c>
      <c r="L63" s="90" t="str">
        <f>IF(OR(AND($D63=OBJECTIFS!$B$6,OBJECTIFS!E$8="dmt"),AND($D63=OBJECTIFS!$B$13,OBJECTIFS!$E$15="dmt"),AND($D63=OBJECTIFS!$B$20,OBJECTIFS!$E$22="dmt"),AND($D63=OBJECTIFS!$B$27,OBJECTIFS!$E$29="dmt"),AND($D63=OBJECTIFS!$B$34,OBJECTIFS!$E$36="dmt"),AND($D63=OBJECTIFS!$B$6,OBJECTIFS!$E$8="taux de chute"),AND($D63=OBJECTIFS!$B$13,OBJECTIFS!$E$15="taux de chute"),AND($D63=OBJECTIFS!$B$20,OBJECTIFS!$E$22="taux de chute"),AND($D63=OBJECTIFS!$B$27,OBJECTIFS!$E$29="taux de chute"),AND($D63=OBJECTIFS!$B$34,OBJECTIFS!$E$36="taux de chute")),IFERROR(K63/J63,""),IFERROR(J63/K63,""))</f>
        <v/>
      </c>
      <c r="M63" s="91">
        <f>IFERROR(IF(OR(J63="",K63="",L63=""),0,IF(L63&lt;OBJECTIFS!$E$56,0,IF(L63&lt;OBJECTIFS!$G$56,M$8*OBJECTIFS!$F$60,IF(L63&lt;OBJECTIFS!$I$56,M$8*OBJECTIFS!$H$60,M$8)))),0)</f>
        <v>0</v>
      </c>
      <c r="N63" s="161"/>
      <c r="O63" s="92" t="str">
        <f>IF(OR($A63="",$D63="",N63=""),"",SUMIFS(OBJECTIFS!F$9:F$39,OBJECTIFS!$A$9:$A$39,$D63,OBJECTIFS!$C$9:$C$39,$F63))</f>
        <v/>
      </c>
      <c r="P63" s="90" t="str">
        <f>IF(OR(AND($D63=OBJECTIFS!$B$6,OBJECTIFS!$F$8="dmt"),AND($D63=OBJECTIFS!$B$13,OBJECTIFS!$F$15="dmt"),AND($D63=OBJECTIFS!$B$20,OBJECTIFS!$F$22="dmt"),AND($D63=OBJECTIFS!$B$27,OBJECTIFS!$F$29="dmt"),AND($D63=OBJECTIFS!$B$34,OBJECTIFS!$F$36="dmt"),AND($D63=OBJECTIFS!$B$6,OBJECTIFS!$F$8="taux de chute"),AND($D63=OBJECTIFS!$B$13,OBJECTIFS!$F$15="taux de chute"),AND($D63=OBJECTIFS!$B$20,OBJECTIFS!$F$22="taux de chute"),AND($D63=OBJECTIFS!$B$27,OBJECTIFS!$F$29="taux de chute"),AND($D63=OBJECTIFS!$B$34,OBJECTIFS!$F$36="taux de chute")),IFERROR(O63/N63,""),IFERROR(N63/O63,""))</f>
        <v/>
      </c>
      <c r="Q63" s="91">
        <f>IFERROR(IF(OR(N63="",O63="",P63=""),0,IF(P63&lt;OBJECTIFS!$E$56,0,IF(P63&lt;OBJECTIFS!$G$56,Q$8*OBJECTIFS!$F$60,IF(P63&lt;OBJECTIFS!$I$56,Q$8*OBJECTIFS!$H$60,Q$8)))),0)</f>
        <v>0</v>
      </c>
      <c r="R63" s="164"/>
      <c r="S63" s="93" t="str">
        <f>IF(OR($A63="",$D63="",R63=""),"",SUMIFS(OBJECTIFS!G$9:G$39,OBJECTIFS!$A$9:$A$39,$D63,OBJECTIFS!$C$9:$C$39,$F63))</f>
        <v/>
      </c>
      <c r="T63" s="90" t="str">
        <f>IF(OR(AND($D63=OBJECTIFS!$B$6,OBJECTIFS!G$8="dmt"),AND($D63=OBJECTIFS!$B$13,OBJECTIFS!$G$15="dmt"),AND($D63=OBJECTIFS!$B$20,OBJECTIFS!$G$22="dmt"),AND($D63=OBJECTIFS!$B$27,OBJECTIFS!$G$29="dmt"),AND($D63=OBJECTIFS!$B$34,OBJECTIFS!$G$36="dmt"),AND($D63=OBJECTIFS!$B$6,OBJECTIFS!$G$8="taux de chute"),AND($D63=OBJECTIFS!$B$13,OBJECTIFS!$G$15="taux de chute"),AND($D63=OBJECTIFS!$B$20,OBJECTIFS!$G$22="taux de chute"),AND($D63=OBJECTIFS!$B$27,OBJECTIFS!$G$29="taux de chute"),AND($D63=OBJECTIFS!$B$34,OBJECTIFS!$G$36="taux de chute")),IFERROR(S63/R63,""),IFERROR(R63/S63,""))</f>
        <v/>
      </c>
      <c r="U63" s="94">
        <f>IFERROR(IF(OR(R63="",S63="",T63=""),0,IF(T63&lt;OBJECTIFS!$E$56,0,IF(T63&lt;OBJECTIFS!$G$56,U$8*OBJECTIFS!$F$60,IF(T63&lt;OBJECTIFS!$I$56,U$8*OBJECTIFS!$H$60,U$8)))),0)</f>
        <v>0</v>
      </c>
      <c r="V63" s="25"/>
      <c r="W63" s="90" t="str">
        <f>IF(OR($A63="",$D63="",V63=""),"",SUMIFS(OBJECTIFS!H$9:H$39,OBJECTIFS!$A$9:$A$39,$D63,OBJECTIFS!$C$9:$C$39,$F63))</f>
        <v/>
      </c>
      <c r="X63" s="90" t="str">
        <f>IF(OR(AND($D63=OBJECTIFS!$B$6,OBJECTIFS!H$8="dmt"),AND($D63=OBJECTIFS!$B$13,OBJECTIFS!$H$15="dmt"),AND($D63=OBJECTIFS!$B$20,OBJECTIFS!$H$22="dmt"),AND($D63=OBJECTIFS!$B$27,OBJECTIFS!$H$29="dmt"),AND($D63=OBJECTIFS!$B$34,OBJECTIFS!$H$36="dmt"),AND($D63=OBJECTIFS!$B$6,OBJECTIFS!$H$8="taux de chute"),AND($D63=OBJECTIFS!$B$13,OBJECTIFS!$H$15="taux de chute"),AND($D63=OBJECTIFS!$B$20,OBJECTIFS!$H$22="taux de chute"),AND($D63=OBJECTIFS!$B$27,OBJECTIFS!$H$29="taux de chute"),AND($D63=OBJECTIFS!$B$34,OBJECTIFS!$H$36="taux de chute")),IFERROR(W63/V63,""),IFERROR(V63/W63,""))</f>
        <v/>
      </c>
      <c r="Y63" s="91">
        <f>IFERROR(IF(OR(V63="",W63="",X63=""),0,IF(X63&lt;OBJECTIFS!$E$56,0,IF(X63&lt;OBJECTIFS!$G$56,Y$8*OBJECTIFS!$F$60,IF(X63&lt;OBJECTIFS!$I$56,Y$8*OBJECTIFS!$H$60,Y$8)))),0)</f>
        <v>0</v>
      </c>
      <c r="Z63" s="167"/>
      <c r="AA63" s="90" t="str">
        <f>IF(OR($A63="",$D63="",Z63=""),"",SUMIFS(OBJECTIFS!I$9:I$39,OBJECTIFS!$A$9:$A$39,$D63,OBJECTIFS!$C$9:$C$39,$F63))</f>
        <v/>
      </c>
      <c r="AB63" s="90" t="str">
        <f>IF(OR(AND($D63=OBJECTIFS!$B$6,OBJECTIFS!I$8="dmt"),AND($D63=OBJECTIFS!$B$13,OBJECTIFS!$I$15="dmt"),AND($D63=OBJECTIFS!$B$20,OBJECTIFS!$I$22="dmt"),AND($D63=OBJECTIFS!$B$27,OBJECTIFS!$I$29="dmt"),AND($D63=OBJECTIFS!$B$34,OBJECTIFS!$I$36="dmt"),AND($D63=OBJECTIFS!$B$6,OBJECTIFS!$I$8="taux de chute"),AND($D63=OBJECTIFS!$B$13,OBJECTIFS!$I$15="taux de chute"),AND($D63=OBJECTIFS!$B$20,OBJECTIFS!$I$22="taux de chute"),AND($D63=OBJECTIFS!$B$27,OBJECTIFS!$I$29="taux de chute"),AND($D63=OBJECTIFS!$B$34,OBJECTIFS!$I$36="taux de chute")),IFERROR(AA63/Z63,""),IFERROR(Z63/AA63,""))</f>
        <v/>
      </c>
      <c r="AC63" s="95">
        <f>IFERROR(IF(OR(Z63="",AA63="",AB63=""),0,IF(AB63&lt;OBJECTIFS!$E$56,0,IF(AB63&lt;OBJECTIFS!$G$56,AC$8*OBJECTIFS!$F$60,IF(AB63&lt;OBJECTIFS!$I$56,AC$8*OBJECTIFS!$H$60,AC$8)))),0)</f>
        <v>0</v>
      </c>
      <c r="AD63" s="186"/>
      <c r="AE63" s="187"/>
      <c r="AF63" s="96">
        <f t="shared" ca="1" si="11"/>
        <v>0</v>
      </c>
      <c r="AG63" s="63"/>
      <c r="AH63" s="186"/>
      <c r="AI63" s="24"/>
      <c r="AJ63" s="24"/>
      <c r="AK63" s="24"/>
      <c r="AL63" s="24"/>
      <c r="AM63" s="79">
        <f t="shared" si="12"/>
        <v>0</v>
      </c>
      <c r="AN63" s="79">
        <v>22</v>
      </c>
      <c r="AO63" s="80">
        <f t="shared" si="13"/>
        <v>0</v>
      </c>
      <c r="AP63" s="81" t="str">
        <f t="shared" ca="1" si="14"/>
        <v/>
      </c>
      <c r="AQ63" s="82"/>
      <c r="AR63" s="97">
        <f>IFERROR(VLOOKUP(B63,OBJECTIFS!$C$76:$E$137,2,FALSE),0)</f>
        <v>0</v>
      </c>
      <c r="AS63" s="98">
        <f>IFERROR(VLOOKUP(B63,OBJECTIFS!$H$76:$J$137,2,FALSE),0)</f>
        <v>0</v>
      </c>
      <c r="AT63" s="98">
        <f>IFERROR(VLOOKUP(B63,OBJECTIFS!$C$142:$E$203,2,FALSE),0)</f>
        <v>0</v>
      </c>
      <c r="AU63" s="98">
        <f>IFERROR(VLOOKUP(B63,OBJECTIFS!$H$142:$J$203,2,FALSE),0)</f>
        <v>0</v>
      </c>
      <c r="AV63" s="98">
        <f>IFERROR(VLOOKUP(B63,OBJECTIFS!$F$208:$H$269,3,FALSE),0)</f>
        <v>0</v>
      </c>
      <c r="AW63" s="81">
        <f t="shared" si="15"/>
        <v>0</v>
      </c>
      <c r="AX63" s="82"/>
      <c r="AY63" s="99" t="str">
        <f t="shared" ca="1" si="16"/>
        <v/>
      </c>
      <c r="AZ63" s="63"/>
      <c r="BA63" s="100">
        <f t="shared" ca="1" si="17"/>
        <v>0</v>
      </c>
      <c r="BB63" s="64" t="str">
        <f t="shared" ca="1" si="18"/>
        <v/>
      </c>
      <c r="BC63" s="101" t="str">
        <f t="shared" ca="1" si="19"/>
        <v/>
      </c>
    </row>
    <row r="64" spans="1:55" x14ac:dyDescent="0.2">
      <c r="A64" s="21"/>
      <c r="B64" s="22"/>
      <c r="C64" s="22"/>
      <c r="D64" s="23"/>
      <c r="E64" s="24"/>
      <c r="F64" s="34"/>
      <c r="H64" s="89" t="str">
        <f>IF(OR(D64="",F64="",A64=""),"",IF(E64="oui",0,IF(D64=OBJECTIFS!$C$45,VLOOKUP(F64,OBJECTIFS!$C$9:$D$11,2,FALSE),IF(D64=OBJECTIFS!$C$46,VLOOKUP(F64,OBJECTIFS!$C$16:$D$18,2,FALSE),IF(D64=OBJECTIFS!$C$47,VLOOKUP(F64,OBJECTIFS!$C$23:$D$25,2,FALSE),IF(D64=OBJECTIFS!$C$48,VLOOKUP(F64,OBJECTIFS!$C$30:$D$32,2,FALSE),IF(D64=OBJECTIFS!$C$49,VLOOKUP(F64,OBJECTIFS!$C$37:$D$39,2,FALSE))))))))</f>
        <v/>
      </c>
      <c r="J64" s="25"/>
      <c r="K64" s="90" t="str">
        <f>IF(OR($A64="",$D64="",J64=""),"",SUMIFS(OBJECTIFS!E$9:E$39,OBJECTIFS!$A$9:$A$39,$D64,OBJECTIFS!$C$9:$C$39,$F64))</f>
        <v/>
      </c>
      <c r="L64" s="90" t="str">
        <f>IF(OR(AND($D64=OBJECTIFS!$B$6,OBJECTIFS!E$8="dmt"),AND($D64=OBJECTIFS!$B$13,OBJECTIFS!$E$15="dmt"),AND($D64=OBJECTIFS!$B$20,OBJECTIFS!$E$22="dmt"),AND($D64=OBJECTIFS!$B$27,OBJECTIFS!$E$29="dmt"),AND($D64=OBJECTIFS!$B$34,OBJECTIFS!$E$36="dmt"),AND($D64=OBJECTIFS!$B$6,OBJECTIFS!$E$8="taux de chute"),AND($D64=OBJECTIFS!$B$13,OBJECTIFS!$E$15="taux de chute"),AND($D64=OBJECTIFS!$B$20,OBJECTIFS!$E$22="taux de chute"),AND($D64=OBJECTIFS!$B$27,OBJECTIFS!$E$29="taux de chute"),AND($D64=OBJECTIFS!$B$34,OBJECTIFS!$E$36="taux de chute")),IFERROR(K64/J64,""),IFERROR(J64/K64,""))</f>
        <v/>
      </c>
      <c r="M64" s="91">
        <f>IFERROR(IF(OR(J64="",K64="",L64=""),0,IF(L64&lt;OBJECTIFS!$E$56,0,IF(L64&lt;OBJECTIFS!$G$56,M$8*OBJECTIFS!$F$60,IF(L64&lt;OBJECTIFS!$I$56,M$8*OBJECTIFS!$H$60,M$8)))),0)</f>
        <v>0</v>
      </c>
      <c r="N64" s="161"/>
      <c r="O64" s="92" t="str">
        <f>IF(OR($A64="",$D64="",N64=""),"",SUMIFS(OBJECTIFS!F$9:F$39,OBJECTIFS!$A$9:$A$39,$D64,OBJECTIFS!$C$9:$C$39,$F64))</f>
        <v/>
      </c>
      <c r="P64" s="90" t="str">
        <f>IF(OR(AND($D64=OBJECTIFS!$B$6,OBJECTIFS!$F$8="dmt"),AND($D64=OBJECTIFS!$B$13,OBJECTIFS!$F$15="dmt"),AND($D64=OBJECTIFS!$B$20,OBJECTIFS!$F$22="dmt"),AND($D64=OBJECTIFS!$B$27,OBJECTIFS!$F$29="dmt"),AND($D64=OBJECTIFS!$B$34,OBJECTIFS!$F$36="dmt"),AND($D64=OBJECTIFS!$B$6,OBJECTIFS!$F$8="taux de chute"),AND($D64=OBJECTIFS!$B$13,OBJECTIFS!$F$15="taux de chute"),AND($D64=OBJECTIFS!$B$20,OBJECTIFS!$F$22="taux de chute"),AND($D64=OBJECTIFS!$B$27,OBJECTIFS!$F$29="taux de chute"),AND($D64=OBJECTIFS!$B$34,OBJECTIFS!$F$36="taux de chute")),IFERROR(O64/N64,""),IFERROR(N64/O64,""))</f>
        <v/>
      </c>
      <c r="Q64" s="91">
        <f>IFERROR(IF(OR(N64="",O64="",P64=""),0,IF(P64&lt;OBJECTIFS!$E$56,0,IF(P64&lt;OBJECTIFS!$G$56,Q$8*OBJECTIFS!$F$60,IF(P64&lt;OBJECTIFS!$I$56,Q$8*OBJECTIFS!$H$60,Q$8)))),0)</f>
        <v>0</v>
      </c>
      <c r="R64" s="164"/>
      <c r="S64" s="93" t="str">
        <f>IF(OR($A64="",$D64="",R64=""),"",SUMIFS(OBJECTIFS!G$9:G$39,OBJECTIFS!$A$9:$A$39,$D64,OBJECTIFS!$C$9:$C$39,$F64))</f>
        <v/>
      </c>
      <c r="T64" s="90" t="str">
        <f>IF(OR(AND($D64=OBJECTIFS!$B$6,OBJECTIFS!G$8="dmt"),AND($D64=OBJECTIFS!$B$13,OBJECTIFS!$G$15="dmt"),AND($D64=OBJECTIFS!$B$20,OBJECTIFS!$G$22="dmt"),AND($D64=OBJECTIFS!$B$27,OBJECTIFS!$G$29="dmt"),AND($D64=OBJECTIFS!$B$34,OBJECTIFS!$G$36="dmt"),AND($D64=OBJECTIFS!$B$6,OBJECTIFS!$G$8="taux de chute"),AND($D64=OBJECTIFS!$B$13,OBJECTIFS!$G$15="taux de chute"),AND($D64=OBJECTIFS!$B$20,OBJECTIFS!$G$22="taux de chute"),AND($D64=OBJECTIFS!$B$27,OBJECTIFS!$G$29="taux de chute"),AND($D64=OBJECTIFS!$B$34,OBJECTIFS!$G$36="taux de chute")),IFERROR(S64/R64,""),IFERROR(R64/S64,""))</f>
        <v/>
      </c>
      <c r="U64" s="94">
        <f>IFERROR(IF(OR(R64="",S64="",T64=""),0,IF(T64&lt;OBJECTIFS!$E$56,0,IF(T64&lt;OBJECTIFS!$G$56,U$8*OBJECTIFS!$F$60,IF(T64&lt;OBJECTIFS!$I$56,U$8*OBJECTIFS!$H$60,U$8)))),0)</f>
        <v>0</v>
      </c>
      <c r="V64" s="25"/>
      <c r="W64" s="90" t="str">
        <f>IF(OR($A64="",$D64="",V64=""),"",SUMIFS(OBJECTIFS!H$9:H$39,OBJECTIFS!$A$9:$A$39,$D64,OBJECTIFS!$C$9:$C$39,$F64))</f>
        <v/>
      </c>
      <c r="X64" s="90" t="str">
        <f>IF(OR(AND($D64=OBJECTIFS!$B$6,OBJECTIFS!H$8="dmt"),AND($D64=OBJECTIFS!$B$13,OBJECTIFS!$H$15="dmt"),AND($D64=OBJECTIFS!$B$20,OBJECTIFS!$H$22="dmt"),AND($D64=OBJECTIFS!$B$27,OBJECTIFS!$H$29="dmt"),AND($D64=OBJECTIFS!$B$34,OBJECTIFS!$H$36="dmt"),AND($D64=OBJECTIFS!$B$6,OBJECTIFS!$H$8="taux de chute"),AND($D64=OBJECTIFS!$B$13,OBJECTIFS!$H$15="taux de chute"),AND($D64=OBJECTIFS!$B$20,OBJECTIFS!$H$22="taux de chute"),AND($D64=OBJECTIFS!$B$27,OBJECTIFS!$H$29="taux de chute"),AND($D64=OBJECTIFS!$B$34,OBJECTIFS!$H$36="taux de chute")),IFERROR(W64/V64,""),IFERROR(V64/W64,""))</f>
        <v/>
      </c>
      <c r="Y64" s="91">
        <f>IFERROR(IF(OR(V64="",W64="",X64=""),0,IF(X64&lt;OBJECTIFS!$E$56,0,IF(X64&lt;OBJECTIFS!$G$56,Y$8*OBJECTIFS!$F$60,IF(X64&lt;OBJECTIFS!$I$56,Y$8*OBJECTIFS!$H$60,Y$8)))),0)</f>
        <v>0</v>
      </c>
      <c r="Z64" s="167"/>
      <c r="AA64" s="90" t="str">
        <f>IF(OR($A64="",$D64="",Z64=""),"",SUMIFS(OBJECTIFS!I$9:I$39,OBJECTIFS!$A$9:$A$39,$D64,OBJECTIFS!$C$9:$C$39,$F64))</f>
        <v/>
      </c>
      <c r="AB64" s="90" t="str">
        <f>IF(OR(AND($D64=OBJECTIFS!$B$6,OBJECTIFS!I$8="dmt"),AND($D64=OBJECTIFS!$B$13,OBJECTIFS!$I$15="dmt"),AND($D64=OBJECTIFS!$B$20,OBJECTIFS!$I$22="dmt"),AND($D64=OBJECTIFS!$B$27,OBJECTIFS!$I$29="dmt"),AND($D64=OBJECTIFS!$B$34,OBJECTIFS!$I$36="dmt"),AND($D64=OBJECTIFS!$B$6,OBJECTIFS!$I$8="taux de chute"),AND($D64=OBJECTIFS!$B$13,OBJECTIFS!$I$15="taux de chute"),AND($D64=OBJECTIFS!$B$20,OBJECTIFS!$I$22="taux de chute"),AND($D64=OBJECTIFS!$B$27,OBJECTIFS!$I$29="taux de chute"),AND($D64=OBJECTIFS!$B$34,OBJECTIFS!$I$36="taux de chute")),IFERROR(AA64/Z64,""),IFERROR(Z64/AA64,""))</f>
        <v/>
      </c>
      <c r="AC64" s="95">
        <f>IFERROR(IF(OR(Z64="",AA64="",AB64=""),0,IF(AB64&lt;OBJECTIFS!$E$56,0,IF(AB64&lt;OBJECTIFS!$G$56,AC$8*OBJECTIFS!$F$60,IF(AB64&lt;OBJECTIFS!$I$56,AC$8*OBJECTIFS!$H$60,AC$8)))),0)</f>
        <v>0</v>
      </c>
      <c r="AD64" s="186"/>
      <c r="AE64" s="187"/>
      <c r="AF64" s="96">
        <f t="shared" ca="1" si="11"/>
        <v>0</v>
      </c>
      <c r="AG64" s="63"/>
      <c r="AH64" s="186"/>
      <c r="AI64" s="24"/>
      <c r="AJ64" s="24"/>
      <c r="AK64" s="24"/>
      <c r="AL64" s="24"/>
      <c r="AM64" s="79">
        <f t="shared" si="12"/>
        <v>0</v>
      </c>
      <c r="AN64" s="79">
        <v>22</v>
      </c>
      <c r="AO64" s="80">
        <f t="shared" si="13"/>
        <v>0</v>
      </c>
      <c r="AP64" s="81" t="str">
        <f t="shared" ca="1" si="14"/>
        <v/>
      </c>
      <c r="AQ64" s="82"/>
      <c r="AR64" s="97">
        <f>IFERROR(VLOOKUP(B64,OBJECTIFS!$C$76:$E$137,2,FALSE),0)</f>
        <v>0</v>
      </c>
      <c r="AS64" s="98">
        <f>IFERROR(VLOOKUP(B64,OBJECTIFS!$H$76:$J$137,2,FALSE),0)</f>
        <v>0</v>
      </c>
      <c r="AT64" s="98">
        <f>IFERROR(VLOOKUP(B64,OBJECTIFS!$C$142:$E$203,2,FALSE),0)</f>
        <v>0</v>
      </c>
      <c r="AU64" s="98">
        <f>IFERROR(VLOOKUP(B64,OBJECTIFS!$H$142:$J$203,2,FALSE),0)</f>
        <v>0</v>
      </c>
      <c r="AV64" s="98">
        <f>IFERROR(VLOOKUP(B64,OBJECTIFS!$F$208:$H$269,3,FALSE),0)</f>
        <v>0</v>
      </c>
      <c r="AW64" s="81">
        <f t="shared" si="15"/>
        <v>0</v>
      </c>
      <c r="AX64" s="82"/>
      <c r="AY64" s="99" t="str">
        <f t="shared" ca="1" si="16"/>
        <v/>
      </c>
      <c r="AZ64" s="63"/>
      <c r="BA64" s="100">
        <f t="shared" ca="1" si="17"/>
        <v>0</v>
      </c>
      <c r="BB64" s="64" t="str">
        <f t="shared" ca="1" si="18"/>
        <v/>
      </c>
      <c r="BC64" s="101" t="str">
        <f t="shared" ca="1" si="19"/>
        <v/>
      </c>
    </row>
    <row r="65" spans="1:55" x14ac:dyDescent="0.2">
      <c r="A65" s="21"/>
      <c r="B65" s="22"/>
      <c r="C65" s="22"/>
      <c r="D65" s="23"/>
      <c r="E65" s="24"/>
      <c r="F65" s="34"/>
      <c r="H65" s="89" t="str">
        <f>IF(OR(D65="",F65="",A65=""),"",IF(E65="oui",0,IF(D65=OBJECTIFS!$C$45,VLOOKUP(F65,OBJECTIFS!$C$9:$D$11,2,FALSE),IF(D65=OBJECTIFS!$C$46,VLOOKUP(F65,OBJECTIFS!$C$16:$D$18,2,FALSE),IF(D65=OBJECTIFS!$C$47,VLOOKUP(F65,OBJECTIFS!$C$23:$D$25,2,FALSE),IF(D65=OBJECTIFS!$C$48,VLOOKUP(F65,OBJECTIFS!$C$30:$D$32,2,FALSE),IF(D65=OBJECTIFS!$C$49,VLOOKUP(F65,OBJECTIFS!$C$37:$D$39,2,FALSE))))))))</f>
        <v/>
      </c>
      <c r="J65" s="25"/>
      <c r="K65" s="90" t="str">
        <f>IF(OR($A65="",$D65="",J65=""),"",SUMIFS(OBJECTIFS!E$9:E$39,OBJECTIFS!$A$9:$A$39,$D65,OBJECTIFS!$C$9:$C$39,$F65))</f>
        <v/>
      </c>
      <c r="L65" s="90" t="str">
        <f>IF(OR(AND($D65=OBJECTIFS!$B$6,OBJECTIFS!E$8="dmt"),AND($D65=OBJECTIFS!$B$13,OBJECTIFS!$E$15="dmt"),AND($D65=OBJECTIFS!$B$20,OBJECTIFS!$E$22="dmt"),AND($D65=OBJECTIFS!$B$27,OBJECTIFS!$E$29="dmt"),AND($D65=OBJECTIFS!$B$34,OBJECTIFS!$E$36="dmt"),AND($D65=OBJECTIFS!$B$6,OBJECTIFS!$E$8="taux de chute"),AND($D65=OBJECTIFS!$B$13,OBJECTIFS!$E$15="taux de chute"),AND($D65=OBJECTIFS!$B$20,OBJECTIFS!$E$22="taux de chute"),AND($D65=OBJECTIFS!$B$27,OBJECTIFS!$E$29="taux de chute"),AND($D65=OBJECTIFS!$B$34,OBJECTIFS!$E$36="taux de chute")),IFERROR(K65/J65,""),IFERROR(J65/K65,""))</f>
        <v/>
      </c>
      <c r="M65" s="91">
        <f>IFERROR(IF(OR(J65="",K65="",L65=""),0,IF(L65&lt;OBJECTIFS!$E$56,0,IF(L65&lt;OBJECTIFS!$G$56,M$8*OBJECTIFS!$F$60,IF(L65&lt;OBJECTIFS!$I$56,M$8*OBJECTIFS!$H$60,M$8)))),0)</f>
        <v>0</v>
      </c>
      <c r="N65" s="161"/>
      <c r="O65" s="92" t="str">
        <f>IF(OR($A65="",$D65="",N65=""),"",SUMIFS(OBJECTIFS!F$9:F$39,OBJECTIFS!$A$9:$A$39,$D65,OBJECTIFS!$C$9:$C$39,$F65))</f>
        <v/>
      </c>
      <c r="P65" s="90" t="str">
        <f>IF(OR(AND($D65=OBJECTIFS!$B$6,OBJECTIFS!$F$8="dmt"),AND($D65=OBJECTIFS!$B$13,OBJECTIFS!$F$15="dmt"),AND($D65=OBJECTIFS!$B$20,OBJECTIFS!$F$22="dmt"),AND($D65=OBJECTIFS!$B$27,OBJECTIFS!$F$29="dmt"),AND($D65=OBJECTIFS!$B$34,OBJECTIFS!$F$36="dmt"),AND($D65=OBJECTIFS!$B$6,OBJECTIFS!$F$8="taux de chute"),AND($D65=OBJECTIFS!$B$13,OBJECTIFS!$F$15="taux de chute"),AND($D65=OBJECTIFS!$B$20,OBJECTIFS!$F$22="taux de chute"),AND($D65=OBJECTIFS!$B$27,OBJECTIFS!$F$29="taux de chute"),AND($D65=OBJECTIFS!$B$34,OBJECTIFS!$F$36="taux de chute")),IFERROR(O65/N65,""),IFERROR(N65/O65,""))</f>
        <v/>
      </c>
      <c r="Q65" s="91">
        <f>IFERROR(IF(OR(N65="",O65="",P65=""),0,IF(P65&lt;OBJECTIFS!$E$56,0,IF(P65&lt;OBJECTIFS!$G$56,Q$8*OBJECTIFS!$F$60,IF(P65&lt;OBJECTIFS!$I$56,Q$8*OBJECTIFS!$H$60,Q$8)))),0)</f>
        <v>0</v>
      </c>
      <c r="R65" s="164"/>
      <c r="S65" s="93" t="str">
        <f>IF(OR($A65="",$D65="",R65=""),"",SUMIFS(OBJECTIFS!G$9:G$39,OBJECTIFS!$A$9:$A$39,$D65,OBJECTIFS!$C$9:$C$39,$F65))</f>
        <v/>
      </c>
      <c r="T65" s="90" t="str">
        <f>IF(OR(AND($D65=OBJECTIFS!$B$6,OBJECTIFS!G$8="dmt"),AND($D65=OBJECTIFS!$B$13,OBJECTIFS!$G$15="dmt"),AND($D65=OBJECTIFS!$B$20,OBJECTIFS!$G$22="dmt"),AND($D65=OBJECTIFS!$B$27,OBJECTIFS!$G$29="dmt"),AND($D65=OBJECTIFS!$B$34,OBJECTIFS!$G$36="dmt"),AND($D65=OBJECTIFS!$B$6,OBJECTIFS!$G$8="taux de chute"),AND($D65=OBJECTIFS!$B$13,OBJECTIFS!$G$15="taux de chute"),AND($D65=OBJECTIFS!$B$20,OBJECTIFS!$G$22="taux de chute"),AND($D65=OBJECTIFS!$B$27,OBJECTIFS!$G$29="taux de chute"),AND($D65=OBJECTIFS!$B$34,OBJECTIFS!$G$36="taux de chute")),IFERROR(S65/R65,""),IFERROR(R65/S65,""))</f>
        <v/>
      </c>
      <c r="U65" s="94">
        <f>IFERROR(IF(OR(R65="",S65="",T65=""),0,IF(T65&lt;OBJECTIFS!$E$56,0,IF(T65&lt;OBJECTIFS!$G$56,U$8*OBJECTIFS!$F$60,IF(T65&lt;OBJECTIFS!$I$56,U$8*OBJECTIFS!$H$60,U$8)))),0)</f>
        <v>0</v>
      </c>
      <c r="V65" s="25"/>
      <c r="W65" s="90" t="str">
        <f>IF(OR($A65="",$D65="",V65=""),"",SUMIFS(OBJECTIFS!H$9:H$39,OBJECTIFS!$A$9:$A$39,$D65,OBJECTIFS!$C$9:$C$39,$F65))</f>
        <v/>
      </c>
      <c r="X65" s="90" t="str">
        <f>IF(OR(AND($D65=OBJECTIFS!$B$6,OBJECTIFS!H$8="dmt"),AND($D65=OBJECTIFS!$B$13,OBJECTIFS!$H$15="dmt"),AND($D65=OBJECTIFS!$B$20,OBJECTIFS!$H$22="dmt"),AND($D65=OBJECTIFS!$B$27,OBJECTIFS!$H$29="dmt"),AND($D65=OBJECTIFS!$B$34,OBJECTIFS!$H$36="dmt"),AND($D65=OBJECTIFS!$B$6,OBJECTIFS!$H$8="taux de chute"),AND($D65=OBJECTIFS!$B$13,OBJECTIFS!$H$15="taux de chute"),AND($D65=OBJECTIFS!$B$20,OBJECTIFS!$H$22="taux de chute"),AND($D65=OBJECTIFS!$B$27,OBJECTIFS!$H$29="taux de chute"),AND($D65=OBJECTIFS!$B$34,OBJECTIFS!$H$36="taux de chute")),IFERROR(W65/V65,""),IFERROR(V65/W65,""))</f>
        <v/>
      </c>
      <c r="Y65" s="91">
        <f>IFERROR(IF(OR(V65="",W65="",X65=""),0,IF(X65&lt;OBJECTIFS!$E$56,0,IF(X65&lt;OBJECTIFS!$G$56,Y$8*OBJECTIFS!$F$60,IF(X65&lt;OBJECTIFS!$I$56,Y$8*OBJECTIFS!$H$60,Y$8)))),0)</f>
        <v>0</v>
      </c>
      <c r="Z65" s="167"/>
      <c r="AA65" s="90" t="str">
        <f>IF(OR($A65="",$D65="",Z65=""),"",SUMIFS(OBJECTIFS!I$9:I$39,OBJECTIFS!$A$9:$A$39,$D65,OBJECTIFS!$C$9:$C$39,$F65))</f>
        <v/>
      </c>
      <c r="AB65" s="90" t="str">
        <f>IF(OR(AND($D65=OBJECTIFS!$B$6,OBJECTIFS!I$8="dmt"),AND($D65=OBJECTIFS!$B$13,OBJECTIFS!$I$15="dmt"),AND($D65=OBJECTIFS!$B$20,OBJECTIFS!$I$22="dmt"),AND($D65=OBJECTIFS!$B$27,OBJECTIFS!$I$29="dmt"),AND($D65=OBJECTIFS!$B$34,OBJECTIFS!$I$36="dmt"),AND($D65=OBJECTIFS!$B$6,OBJECTIFS!$I$8="taux de chute"),AND($D65=OBJECTIFS!$B$13,OBJECTIFS!$I$15="taux de chute"),AND($D65=OBJECTIFS!$B$20,OBJECTIFS!$I$22="taux de chute"),AND($D65=OBJECTIFS!$B$27,OBJECTIFS!$I$29="taux de chute"),AND($D65=OBJECTIFS!$B$34,OBJECTIFS!$I$36="taux de chute")),IFERROR(AA65/Z65,""),IFERROR(Z65/AA65,""))</f>
        <v/>
      </c>
      <c r="AC65" s="95">
        <f>IFERROR(IF(OR(Z65="",AA65="",AB65=""),0,IF(AB65&lt;OBJECTIFS!$E$56,0,IF(AB65&lt;OBJECTIFS!$G$56,AC$8*OBJECTIFS!$F$60,IF(AB65&lt;OBJECTIFS!$I$56,AC$8*OBJECTIFS!$H$60,AC$8)))),0)</f>
        <v>0</v>
      </c>
      <c r="AD65" s="186"/>
      <c r="AE65" s="187"/>
      <c r="AF65" s="96">
        <f t="shared" ca="1" si="11"/>
        <v>0</v>
      </c>
      <c r="AG65" s="63"/>
      <c r="AH65" s="186"/>
      <c r="AI65" s="24"/>
      <c r="AJ65" s="24"/>
      <c r="AK65" s="24"/>
      <c r="AL65" s="24"/>
      <c r="AM65" s="79">
        <f t="shared" si="12"/>
        <v>0</v>
      </c>
      <c r="AN65" s="79">
        <v>22</v>
      </c>
      <c r="AO65" s="80">
        <f t="shared" si="13"/>
        <v>0</v>
      </c>
      <c r="AP65" s="81" t="str">
        <f t="shared" ca="1" si="14"/>
        <v/>
      </c>
      <c r="AQ65" s="82"/>
      <c r="AR65" s="97">
        <f>IFERROR(VLOOKUP(B65,OBJECTIFS!$C$76:$E$137,2,FALSE),0)</f>
        <v>0</v>
      </c>
      <c r="AS65" s="98">
        <f>IFERROR(VLOOKUP(B65,OBJECTIFS!$H$76:$J$137,2,FALSE),0)</f>
        <v>0</v>
      </c>
      <c r="AT65" s="98">
        <f>IFERROR(VLOOKUP(B65,OBJECTIFS!$C$142:$E$203,2,FALSE),0)</f>
        <v>0</v>
      </c>
      <c r="AU65" s="98">
        <f>IFERROR(VLOOKUP(B65,OBJECTIFS!$H$142:$J$203,2,FALSE),0)</f>
        <v>0</v>
      </c>
      <c r="AV65" s="98">
        <f>IFERROR(VLOOKUP(B65,OBJECTIFS!$F$208:$H$269,3,FALSE),0)</f>
        <v>0</v>
      </c>
      <c r="AW65" s="81">
        <f t="shared" si="15"/>
        <v>0</v>
      </c>
      <c r="AX65" s="82"/>
      <c r="AY65" s="99" t="str">
        <f t="shared" ca="1" si="16"/>
        <v/>
      </c>
      <c r="AZ65" s="63"/>
      <c r="BA65" s="100">
        <f t="shared" ca="1" si="17"/>
        <v>0</v>
      </c>
      <c r="BB65" s="64" t="str">
        <f t="shared" ca="1" si="18"/>
        <v/>
      </c>
      <c r="BC65" s="101" t="str">
        <f t="shared" ca="1" si="19"/>
        <v/>
      </c>
    </row>
    <row r="66" spans="1:55" x14ac:dyDescent="0.2">
      <c r="A66" s="21"/>
      <c r="B66" s="22"/>
      <c r="C66" s="22"/>
      <c r="D66" s="23"/>
      <c r="E66" s="24"/>
      <c r="F66" s="34"/>
      <c r="H66" s="89" t="str">
        <f>IF(OR(D66="",F66="",A66=""),"",IF(E66="oui",0,IF(D66=OBJECTIFS!$C$45,VLOOKUP(F66,OBJECTIFS!$C$9:$D$11,2,FALSE),IF(D66=OBJECTIFS!$C$46,VLOOKUP(F66,OBJECTIFS!$C$16:$D$18,2,FALSE),IF(D66=OBJECTIFS!$C$47,VLOOKUP(F66,OBJECTIFS!$C$23:$D$25,2,FALSE),IF(D66=OBJECTIFS!$C$48,VLOOKUP(F66,OBJECTIFS!$C$30:$D$32,2,FALSE),IF(D66=OBJECTIFS!$C$49,VLOOKUP(F66,OBJECTIFS!$C$37:$D$39,2,FALSE))))))))</f>
        <v/>
      </c>
      <c r="J66" s="25"/>
      <c r="K66" s="90" t="str">
        <f>IF(OR($A66="",$D66="",J66=""),"",SUMIFS(OBJECTIFS!E$9:E$39,OBJECTIFS!$A$9:$A$39,$D66,OBJECTIFS!$C$9:$C$39,$F66))</f>
        <v/>
      </c>
      <c r="L66" s="90" t="str">
        <f>IF(OR(AND($D66=OBJECTIFS!$B$6,OBJECTIFS!E$8="dmt"),AND($D66=OBJECTIFS!$B$13,OBJECTIFS!$E$15="dmt"),AND($D66=OBJECTIFS!$B$20,OBJECTIFS!$E$22="dmt"),AND($D66=OBJECTIFS!$B$27,OBJECTIFS!$E$29="dmt"),AND($D66=OBJECTIFS!$B$34,OBJECTIFS!$E$36="dmt"),AND($D66=OBJECTIFS!$B$6,OBJECTIFS!$E$8="taux de chute"),AND($D66=OBJECTIFS!$B$13,OBJECTIFS!$E$15="taux de chute"),AND($D66=OBJECTIFS!$B$20,OBJECTIFS!$E$22="taux de chute"),AND($D66=OBJECTIFS!$B$27,OBJECTIFS!$E$29="taux de chute"),AND($D66=OBJECTIFS!$B$34,OBJECTIFS!$E$36="taux de chute")),IFERROR(K66/J66,""),IFERROR(J66/K66,""))</f>
        <v/>
      </c>
      <c r="M66" s="91">
        <f>IFERROR(IF(OR(J66="",K66="",L66=""),0,IF(L66&lt;OBJECTIFS!$E$56,0,IF(L66&lt;OBJECTIFS!$G$56,M$8*OBJECTIFS!$F$60,IF(L66&lt;OBJECTIFS!$I$56,M$8*OBJECTIFS!$H$60,M$8)))),0)</f>
        <v>0</v>
      </c>
      <c r="N66" s="161"/>
      <c r="O66" s="92" t="str">
        <f>IF(OR($A66="",$D66="",N66=""),"",SUMIFS(OBJECTIFS!F$9:F$39,OBJECTIFS!$A$9:$A$39,$D66,OBJECTIFS!$C$9:$C$39,$F66))</f>
        <v/>
      </c>
      <c r="P66" s="90" t="str">
        <f>IF(OR(AND($D66=OBJECTIFS!$B$6,OBJECTIFS!$F$8="dmt"),AND($D66=OBJECTIFS!$B$13,OBJECTIFS!$F$15="dmt"),AND($D66=OBJECTIFS!$B$20,OBJECTIFS!$F$22="dmt"),AND($D66=OBJECTIFS!$B$27,OBJECTIFS!$F$29="dmt"),AND($D66=OBJECTIFS!$B$34,OBJECTIFS!$F$36="dmt"),AND($D66=OBJECTIFS!$B$6,OBJECTIFS!$F$8="taux de chute"),AND($D66=OBJECTIFS!$B$13,OBJECTIFS!$F$15="taux de chute"),AND($D66=OBJECTIFS!$B$20,OBJECTIFS!$F$22="taux de chute"),AND($D66=OBJECTIFS!$B$27,OBJECTIFS!$F$29="taux de chute"),AND($D66=OBJECTIFS!$B$34,OBJECTIFS!$F$36="taux de chute")),IFERROR(O66/N66,""),IFERROR(N66/O66,""))</f>
        <v/>
      </c>
      <c r="Q66" s="91">
        <f>IFERROR(IF(OR(N66="",O66="",P66=""),0,IF(P66&lt;OBJECTIFS!$E$56,0,IF(P66&lt;OBJECTIFS!$G$56,Q$8*OBJECTIFS!$F$60,IF(P66&lt;OBJECTIFS!$I$56,Q$8*OBJECTIFS!$H$60,Q$8)))),0)</f>
        <v>0</v>
      </c>
      <c r="R66" s="164"/>
      <c r="S66" s="93" t="str">
        <f>IF(OR($A66="",$D66="",R66=""),"",SUMIFS(OBJECTIFS!G$9:G$39,OBJECTIFS!$A$9:$A$39,$D66,OBJECTIFS!$C$9:$C$39,$F66))</f>
        <v/>
      </c>
      <c r="T66" s="90" t="str">
        <f>IF(OR(AND($D66=OBJECTIFS!$B$6,OBJECTIFS!G$8="dmt"),AND($D66=OBJECTIFS!$B$13,OBJECTIFS!$G$15="dmt"),AND($D66=OBJECTIFS!$B$20,OBJECTIFS!$G$22="dmt"),AND($D66=OBJECTIFS!$B$27,OBJECTIFS!$G$29="dmt"),AND($D66=OBJECTIFS!$B$34,OBJECTIFS!$G$36="dmt"),AND($D66=OBJECTIFS!$B$6,OBJECTIFS!$G$8="taux de chute"),AND($D66=OBJECTIFS!$B$13,OBJECTIFS!$G$15="taux de chute"),AND($D66=OBJECTIFS!$B$20,OBJECTIFS!$G$22="taux de chute"),AND($D66=OBJECTIFS!$B$27,OBJECTIFS!$G$29="taux de chute"),AND($D66=OBJECTIFS!$B$34,OBJECTIFS!$G$36="taux de chute")),IFERROR(S66/R66,""),IFERROR(R66/S66,""))</f>
        <v/>
      </c>
      <c r="U66" s="94">
        <f>IFERROR(IF(OR(R66="",S66="",T66=""),0,IF(T66&lt;OBJECTIFS!$E$56,0,IF(T66&lt;OBJECTIFS!$G$56,U$8*OBJECTIFS!$F$60,IF(T66&lt;OBJECTIFS!$I$56,U$8*OBJECTIFS!$H$60,U$8)))),0)</f>
        <v>0</v>
      </c>
      <c r="V66" s="25"/>
      <c r="W66" s="90" t="str">
        <f>IF(OR($A66="",$D66="",V66=""),"",SUMIFS(OBJECTIFS!H$9:H$39,OBJECTIFS!$A$9:$A$39,$D66,OBJECTIFS!$C$9:$C$39,$F66))</f>
        <v/>
      </c>
      <c r="X66" s="90" t="str">
        <f>IF(OR(AND($D66=OBJECTIFS!$B$6,OBJECTIFS!H$8="dmt"),AND($D66=OBJECTIFS!$B$13,OBJECTIFS!$H$15="dmt"),AND($D66=OBJECTIFS!$B$20,OBJECTIFS!$H$22="dmt"),AND($D66=OBJECTIFS!$B$27,OBJECTIFS!$H$29="dmt"),AND($D66=OBJECTIFS!$B$34,OBJECTIFS!$H$36="dmt"),AND($D66=OBJECTIFS!$B$6,OBJECTIFS!$H$8="taux de chute"),AND($D66=OBJECTIFS!$B$13,OBJECTIFS!$H$15="taux de chute"),AND($D66=OBJECTIFS!$B$20,OBJECTIFS!$H$22="taux de chute"),AND($D66=OBJECTIFS!$B$27,OBJECTIFS!$H$29="taux de chute"),AND($D66=OBJECTIFS!$B$34,OBJECTIFS!$H$36="taux de chute")),IFERROR(W66/V66,""),IFERROR(V66/W66,""))</f>
        <v/>
      </c>
      <c r="Y66" s="91">
        <f>IFERROR(IF(OR(V66="",W66="",X66=""),0,IF(X66&lt;OBJECTIFS!$E$56,0,IF(X66&lt;OBJECTIFS!$G$56,Y$8*OBJECTIFS!$F$60,IF(X66&lt;OBJECTIFS!$I$56,Y$8*OBJECTIFS!$H$60,Y$8)))),0)</f>
        <v>0</v>
      </c>
      <c r="Z66" s="167"/>
      <c r="AA66" s="90" t="str">
        <f>IF(OR($A66="",$D66="",Z66=""),"",SUMIFS(OBJECTIFS!I$9:I$39,OBJECTIFS!$A$9:$A$39,$D66,OBJECTIFS!$C$9:$C$39,$F66))</f>
        <v/>
      </c>
      <c r="AB66" s="90" t="str">
        <f>IF(OR(AND($D66=OBJECTIFS!$B$6,OBJECTIFS!I$8="dmt"),AND($D66=OBJECTIFS!$B$13,OBJECTIFS!$I$15="dmt"),AND($D66=OBJECTIFS!$B$20,OBJECTIFS!$I$22="dmt"),AND($D66=OBJECTIFS!$B$27,OBJECTIFS!$I$29="dmt"),AND($D66=OBJECTIFS!$B$34,OBJECTIFS!$I$36="dmt"),AND($D66=OBJECTIFS!$B$6,OBJECTIFS!$I$8="taux de chute"),AND($D66=OBJECTIFS!$B$13,OBJECTIFS!$I$15="taux de chute"),AND($D66=OBJECTIFS!$B$20,OBJECTIFS!$I$22="taux de chute"),AND($D66=OBJECTIFS!$B$27,OBJECTIFS!$I$29="taux de chute"),AND($D66=OBJECTIFS!$B$34,OBJECTIFS!$I$36="taux de chute")),IFERROR(AA66/Z66,""),IFERROR(Z66/AA66,""))</f>
        <v/>
      </c>
      <c r="AC66" s="95">
        <f>IFERROR(IF(OR(Z66="",AA66="",AB66=""),0,IF(AB66&lt;OBJECTIFS!$E$56,0,IF(AB66&lt;OBJECTIFS!$G$56,AC$8*OBJECTIFS!$F$60,IF(AB66&lt;OBJECTIFS!$I$56,AC$8*OBJECTIFS!$H$60,AC$8)))),0)</f>
        <v>0</v>
      </c>
      <c r="AD66" s="186"/>
      <c r="AE66" s="187"/>
      <c r="AF66" s="96">
        <f t="shared" ca="1" si="11"/>
        <v>0</v>
      </c>
      <c r="AG66" s="63"/>
      <c r="AH66" s="186"/>
      <c r="AI66" s="24"/>
      <c r="AJ66" s="24"/>
      <c r="AK66" s="24"/>
      <c r="AL66" s="24"/>
      <c r="AM66" s="79">
        <f t="shared" si="12"/>
        <v>0</v>
      </c>
      <c r="AN66" s="79">
        <v>22</v>
      </c>
      <c r="AO66" s="80">
        <f t="shared" si="13"/>
        <v>0</v>
      </c>
      <c r="AP66" s="81" t="str">
        <f t="shared" ca="1" si="14"/>
        <v/>
      </c>
      <c r="AQ66" s="82"/>
      <c r="AR66" s="97">
        <f>IFERROR(VLOOKUP(B66,OBJECTIFS!$C$76:$E$137,2,FALSE),0)</f>
        <v>0</v>
      </c>
      <c r="AS66" s="98">
        <f>IFERROR(VLOOKUP(B66,OBJECTIFS!$H$76:$J$137,2,FALSE),0)</f>
        <v>0</v>
      </c>
      <c r="AT66" s="98">
        <f>IFERROR(VLOOKUP(B66,OBJECTIFS!$C$142:$E$203,2,FALSE),0)</f>
        <v>0</v>
      </c>
      <c r="AU66" s="98">
        <f>IFERROR(VLOOKUP(B66,OBJECTIFS!$H$142:$J$203,2,FALSE),0)</f>
        <v>0</v>
      </c>
      <c r="AV66" s="98">
        <f>IFERROR(VLOOKUP(B66,OBJECTIFS!$F$208:$H$269,3,FALSE),0)</f>
        <v>0</v>
      </c>
      <c r="AW66" s="81">
        <f t="shared" si="15"/>
        <v>0</v>
      </c>
      <c r="AX66" s="82"/>
      <c r="AY66" s="99" t="str">
        <f t="shared" ca="1" si="16"/>
        <v/>
      </c>
      <c r="AZ66" s="63"/>
      <c r="BA66" s="100">
        <f t="shared" ca="1" si="17"/>
        <v>0</v>
      </c>
      <c r="BB66" s="64" t="str">
        <f t="shared" ca="1" si="18"/>
        <v/>
      </c>
      <c r="BC66" s="101" t="str">
        <f t="shared" ca="1" si="19"/>
        <v/>
      </c>
    </row>
    <row r="67" spans="1:55" x14ac:dyDescent="0.2">
      <c r="A67" s="21"/>
      <c r="B67" s="22"/>
      <c r="C67" s="22"/>
      <c r="D67" s="23"/>
      <c r="E67" s="24"/>
      <c r="F67" s="34"/>
      <c r="H67" s="89" t="str">
        <f>IF(OR(D67="",F67="",A67=""),"",IF(E67="oui",0,IF(D67=OBJECTIFS!$C$45,VLOOKUP(F67,OBJECTIFS!$C$9:$D$11,2,FALSE),IF(D67=OBJECTIFS!$C$46,VLOOKUP(F67,OBJECTIFS!$C$16:$D$18,2,FALSE),IF(D67=OBJECTIFS!$C$47,VLOOKUP(F67,OBJECTIFS!$C$23:$D$25,2,FALSE),IF(D67=OBJECTIFS!$C$48,VLOOKUP(F67,OBJECTIFS!$C$30:$D$32,2,FALSE),IF(D67=OBJECTIFS!$C$49,VLOOKUP(F67,OBJECTIFS!$C$37:$D$39,2,FALSE))))))))</f>
        <v/>
      </c>
      <c r="J67" s="25"/>
      <c r="K67" s="90" t="str">
        <f>IF(OR($A67="",$D67="",J67=""),"",SUMIFS(OBJECTIFS!E$9:E$39,OBJECTIFS!$A$9:$A$39,$D67,OBJECTIFS!$C$9:$C$39,$F67))</f>
        <v/>
      </c>
      <c r="L67" s="90" t="str">
        <f>IF(OR(AND($D67=OBJECTIFS!$B$6,OBJECTIFS!E$8="dmt"),AND($D67=OBJECTIFS!$B$13,OBJECTIFS!$E$15="dmt"),AND($D67=OBJECTIFS!$B$20,OBJECTIFS!$E$22="dmt"),AND($D67=OBJECTIFS!$B$27,OBJECTIFS!$E$29="dmt"),AND($D67=OBJECTIFS!$B$34,OBJECTIFS!$E$36="dmt"),AND($D67=OBJECTIFS!$B$6,OBJECTIFS!$E$8="taux de chute"),AND($D67=OBJECTIFS!$B$13,OBJECTIFS!$E$15="taux de chute"),AND($D67=OBJECTIFS!$B$20,OBJECTIFS!$E$22="taux de chute"),AND($D67=OBJECTIFS!$B$27,OBJECTIFS!$E$29="taux de chute"),AND($D67=OBJECTIFS!$B$34,OBJECTIFS!$E$36="taux de chute")),IFERROR(K67/J67,""),IFERROR(J67/K67,""))</f>
        <v/>
      </c>
      <c r="M67" s="91">
        <f>IFERROR(IF(OR(J67="",K67="",L67=""),0,IF(L67&lt;OBJECTIFS!$E$56,0,IF(L67&lt;OBJECTIFS!$G$56,M$8*OBJECTIFS!$F$60,IF(L67&lt;OBJECTIFS!$I$56,M$8*OBJECTIFS!$H$60,M$8)))),0)</f>
        <v>0</v>
      </c>
      <c r="N67" s="161"/>
      <c r="O67" s="92" t="str">
        <f>IF(OR($A67="",$D67="",N67=""),"",SUMIFS(OBJECTIFS!F$9:F$39,OBJECTIFS!$A$9:$A$39,$D67,OBJECTIFS!$C$9:$C$39,$F67))</f>
        <v/>
      </c>
      <c r="P67" s="90" t="str">
        <f>IF(OR(AND($D67=OBJECTIFS!$B$6,OBJECTIFS!$F$8="dmt"),AND($D67=OBJECTIFS!$B$13,OBJECTIFS!$F$15="dmt"),AND($D67=OBJECTIFS!$B$20,OBJECTIFS!$F$22="dmt"),AND($D67=OBJECTIFS!$B$27,OBJECTIFS!$F$29="dmt"),AND($D67=OBJECTIFS!$B$34,OBJECTIFS!$F$36="dmt"),AND($D67=OBJECTIFS!$B$6,OBJECTIFS!$F$8="taux de chute"),AND($D67=OBJECTIFS!$B$13,OBJECTIFS!$F$15="taux de chute"),AND($D67=OBJECTIFS!$B$20,OBJECTIFS!$F$22="taux de chute"),AND($D67=OBJECTIFS!$B$27,OBJECTIFS!$F$29="taux de chute"),AND($D67=OBJECTIFS!$B$34,OBJECTIFS!$F$36="taux de chute")),IFERROR(O67/N67,""),IFERROR(N67/O67,""))</f>
        <v/>
      </c>
      <c r="Q67" s="91">
        <f>IFERROR(IF(OR(N67="",O67="",P67=""),0,IF(P67&lt;OBJECTIFS!$E$56,0,IF(P67&lt;OBJECTIFS!$G$56,Q$8*OBJECTIFS!$F$60,IF(P67&lt;OBJECTIFS!$I$56,Q$8*OBJECTIFS!$H$60,Q$8)))),0)</f>
        <v>0</v>
      </c>
      <c r="R67" s="164"/>
      <c r="S67" s="93" t="str">
        <f>IF(OR($A67="",$D67="",R67=""),"",SUMIFS(OBJECTIFS!G$9:G$39,OBJECTIFS!$A$9:$A$39,$D67,OBJECTIFS!$C$9:$C$39,$F67))</f>
        <v/>
      </c>
      <c r="T67" s="90" t="str">
        <f>IF(OR(AND($D67=OBJECTIFS!$B$6,OBJECTIFS!G$8="dmt"),AND($D67=OBJECTIFS!$B$13,OBJECTIFS!$G$15="dmt"),AND($D67=OBJECTIFS!$B$20,OBJECTIFS!$G$22="dmt"),AND($D67=OBJECTIFS!$B$27,OBJECTIFS!$G$29="dmt"),AND($D67=OBJECTIFS!$B$34,OBJECTIFS!$G$36="dmt"),AND($D67=OBJECTIFS!$B$6,OBJECTIFS!$G$8="taux de chute"),AND($D67=OBJECTIFS!$B$13,OBJECTIFS!$G$15="taux de chute"),AND($D67=OBJECTIFS!$B$20,OBJECTIFS!$G$22="taux de chute"),AND($D67=OBJECTIFS!$B$27,OBJECTIFS!$G$29="taux de chute"),AND($D67=OBJECTIFS!$B$34,OBJECTIFS!$G$36="taux de chute")),IFERROR(S67/R67,""),IFERROR(R67/S67,""))</f>
        <v/>
      </c>
      <c r="U67" s="94">
        <f>IFERROR(IF(OR(R67="",S67="",T67=""),0,IF(T67&lt;OBJECTIFS!$E$56,0,IF(T67&lt;OBJECTIFS!$G$56,U$8*OBJECTIFS!$F$60,IF(T67&lt;OBJECTIFS!$I$56,U$8*OBJECTIFS!$H$60,U$8)))),0)</f>
        <v>0</v>
      </c>
      <c r="V67" s="25"/>
      <c r="W67" s="90" t="str">
        <f>IF(OR($A67="",$D67="",V67=""),"",SUMIFS(OBJECTIFS!H$9:H$39,OBJECTIFS!$A$9:$A$39,$D67,OBJECTIFS!$C$9:$C$39,$F67))</f>
        <v/>
      </c>
      <c r="X67" s="90" t="str">
        <f>IF(OR(AND($D67=OBJECTIFS!$B$6,OBJECTIFS!H$8="dmt"),AND($D67=OBJECTIFS!$B$13,OBJECTIFS!$H$15="dmt"),AND($D67=OBJECTIFS!$B$20,OBJECTIFS!$H$22="dmt"),AND($D67=OBJECTIFS!$B$27,OBJECTIFS!$H$29="dmt"),AND($D67=OBJECTIFS!$B$34,OBJECTIFS!$H$36="dmt"),AND($D67=OBJECTIFS!$B$6,OBJECTIFS!$H$8="taux de chute"),AND($D67=OBJECTIFS!$B$13,OBJECTIFS!$H$15="taux de chute"),AND($D67=OBJECTIFS!$B$20,OBJECTIFS!$H$22="taux de chute"),AND($D67=OBJECTIFS!$B$27,OBJECTIFS!$H$29="taux de chute"),AND($D67=OBJECTIFS!$B$34,OBJECTIFS!$H$36="taux de chute")),IFERROR(W67/V67,""),IFERROR(V67/W67,""))</f>
        <v/>
      </c>
      <c r="Y67" s="91">
        <f>IFERROR(IF(OR(V67="",W67="",X67=""),0,IF(X67&lt;OBJECTIFS!$E$56,0,IF(X67&lt;OBJECTIFS!$G$56,Y$8*OBJECTIFS!$F$60,IF(X67&lt;OBJECTIFS!$I$56,Y$8*OBJECTIFS!$H$60,Y$8)))),0)</f>
        <v>0</v>
      </c>
      <c r="Z67" s="167"/>
      <c r="AA67" s="90" t="str">
        <f>IF(OR($A67="",$D67="",Z67=""),"",SUMIFS(OBJECTIFS!I$9:I$39,OBJECTIFS!$A$9:$A$39,$D67,OBJECTIFS!$C$9:$C$39,$F67))</f>
        <v/>
      </c>
      <c r="AB67" s="90" t="str">
        <f>IF(OR(AND($D67=OBJECTIFS!$B$6,OBJECTIFS!I$8="dmt"),AND($D67=OBJECTIFS!$B$13,OBJECTIFS!$I$15="dmt"),AND($D67=OBJECTIFS!$B$20,OBJECTIFS!$I$22="dmt"),AND($D67=OBJECTIFS!$B$27,OBJECTIFS!$I$29="dmt"),AND($D67=OBJECTIFS!$B$34,OBJECTIFS!$I$36="dmt"),AND($D67=OBJECTIFS!$B$6,OBJECTIFS!$I$8="taux de chute"),AND($D67=OBJECTIFS!$B$13,OBJECTIFS!$I$15="taux de chute"),AND($D67=OBJECTIFS!$B$20,OBJECTIFS!$I$22="taux de chute"),AND($D67=OBJECTIFS!$B$27,OBJECTIFS!$I$29="taux de chute"),AND($D67=OBJECTIFS!$B$34,OBJECTIFS!$I$36="taux de chute")),IFERROR(AA67/Z67,""),IFERROR(Z67/AA67,""))</f>
        <v/>
      </c>
      <c r="AC67" s="95">
        <f>IFERROR(IF(OR(Z67="",AA67="",AB67=""),0,IF(AB67&lt;OBJECTIFS!$E$56,0,IF(AB67&lt;OBJECTIFS!$G$56,AC$8*OBJECTIFS!$F$60,IF(AB67&lt;OBJECTIFS!$I$56,AC$8*OBJECTIFS!$H$60,AC$8)))),0)</f>
        <v>0</v>
      </c>
      <c r="AD67" s="186"/>
      <c r="AE67" s="187"/>
      <c r="AF67" s="96">
        <f t="shared" ca="1" si="11"/>
        <v>0</v>
      </c>
      <c r="AG67" s="63"/>
      <c r="AH67" s="186"/>
      <c r="AI67" s="24"/>
      <c r="AJ67" s="24"/>
      <c r="AK67" s="24"/>
      <c r="AL67" s="24"/>
      <c r="AM67" s="79">
        <f t="shared" si="12"/>
        <v>0</v>
      </c>
      <c r="AN67" s="79">
        <v>22</v>
      </c>
      <c r="AO67" s="80">
        <f t="shared" si="13"/>
        <v>0</v>
      </c>
      <c r="AP67" s="81" t="str">
        <f t="shared" ca="1" si="14"/>
        <v/>
      </c>
      <c r="AQ67" s="82"/>
      <c r="AR67" s="97">
        <f>IFERROR(VLOOKUP(B67,OBJECTIFS!$C$76:$E$137,2,FALSE),0)</f>
        <v>0</v>
      </c>
      <c r="AS67" s="98">
        <f>IFERROR(VLOOKUP(B67,OBJECTIFS!$H$76:$J$137,2,FALSE),0)</f>
        <v>0</v>
      </c>
      <c r="AT67" s="98">
        <f>IFERROR(VLOOKUP(B67,OBJECTIFS!$C$142:$E$203,2,FALSE),0)</f>
        <v>0</v>
      </c>
      <c r="AU67" s="98">
        <f>IFERROR(VLOOKUP(B67,OBJECTIFS!$H$142:$J$203,2,FALSE),0)</f>
        <v>0</v>
      </c>
      <c r="AV67" s="98">
        <f>IFERROR(VLOOKUP(B67,OBJECTIFS!$F$208:$H$269,3,FALSE),0)</f>
        <v>0</v>
      </c>
      <c r="AW67" s="81">
        <f t="shared" si="15"/>
        <v>0</v>
      </c>
      <c r="AX67" s="82"/>
      <c r="AY67" s="99" t="str">
        <f t="shared" ca="1" si="16"/>
        <v/>
      </c>
      <c r="AZ67" s="63"/>
      <c r="BA67" s="100">
        <f t="shared" ca="1" si="17"/>
        <v>0</v>
      </c>
      <c r="BB67" s="64" t="str">
        <f t="shared" ca="1" si="18"/>
        <v/>
      </c>
      <c r="BC67" s="101" t="str">
        <f t="shared" ca="1" si="19"/>
        <v/>
      </c>
    </row>
    <row r="68" spans="1:55" x14ac:dyDescent="0.2">
      <c r="A68" s="21"/>
      <c r="B68" s="22"/>
      <c r="C68" s="22"/>
      <c r="D68" s="23"/>
      <c r="E68" s="24"/>
      <c r="F68" s="34"/>
      <c r="H68" s="89" t="str">
        <f>IF(OR(D68="",F68="",A68=""),"",IF(E68="oui",0,IF(D68=OBJECTIFS!$C$45,VLOOKUP(F68,OBJECTIFS!$C$9:$D$11,2,FALSE),IF(D68=OBJECTIFS!$C$46,VLOOKUP(F68,OBJECTIFS!$C$16:$D$18,2,FALSE),IF(D68=OBJECTIFS!$C$47,VLOOKUP(F68,OBJECTIFS!$C$23:$D$25,2,FALSE),IF(D68=OBJECTIFS!$C$48,VLOOKUP(F68,OBJECTIFS!$C$30:$D$32,2,FALSE),IF(D68=OBJECTIFS!$C$49,VLOOKUP(F68,OBJECTIFS!$C$37:$D$39,2,FALSE))))))))</f>
        <v/>
      </c>
      <c r="J68" s="25"/>
      <c r="K68" s="90" t="str">
        <f>IF(OR($A68="",$D68="",J68=""),"",SUMIFS(OBJECTIFS!E$9:E$39,OBJECTIFS!$A$9:$A$39,$D68,OBJECTIFS!$C$9:$C$39,$F68))</f>
        <v/>
      </c>
      <c r="L68" s="90" t="str">
        <f>IF(OR(AND($D68=OBJECTIFS!$B$6,OBJECTIFS!E$8="dmt"),AND($D68=OBJECTIFS!$B$13,OBJECTIFS!$E$15="dmt"),AND($D68=OBJECTIFS!$B$20,OBJECTIFS!$E$22="dmt"),AND($D68=OBJECTIFS!$B$27,OBJECTIFS!$E$29="dmt"),AND($D68=OBJECTIFS!$B$34,OBJECTIFS!$E$36="dmt"),AND($D68=OBJECTIFS!$B$6,OBJECTIFS!$E$8="taux de chute"),AND($D68=OBJECTIFS!$B$13,OBJECTIFS!$E$15="taux de chute"),AND($D68=OBJECTIFS!$B$20,OBJECTIFS!$E$22="taux de chute"),AND($D68=OBJECTIFS!$B$27,OBJECTIFS!$E$29="taux de chute"),AND($D68=OBJECTIFS!$B$34,OBJECTIFS!$E$36="taux de chute")),IFERROR(K68/J68,""),IFERROR(J68/K68,""))</f>
        <v/>
      </c>
      <c r="M68" s="91">
        <f>IFERROR(IF(OR(J68="",K68="",L68=""),0,IF(L68&lt;OBJECTIFS!$E$56,0,IF(L68&lt;OBJECTIFS!$G$56,M$8*OBJECTIFS!$F$60,IF(L68&lt;OBJECTIFS!$I$56,M$8*OBJECTIFS!$H$60,M$8)))),0)</f>
        <v>0</v>
      </c>
      <c r="N68" s="161"/>
      <c r="O68" s="92" t="str">
        <f>IF(OR($A68="",$D68="",N68=""),"",SUMIFS(OBJECTIFS!F$9:F$39,OBJECTIFS!$A$9:$A$39,$D68,OBJECTIFS!$C$9:$C$39,$F68))</f>
        <v/>
      </c>
      <c r="P68" s="90" t="str">
        <f>IF(OR(AND($D68=OBJECTIFS!$B$6,OBJECTIFS!$F$8="dmt"),AND($D68=OBJECTIFS!$B$13,OBJECTIFS!$F$15="dmt"),AND($D68=OBJECTIFS!$B$20,OBJECTIFS!$F$22="dmt"),AND($D68=OBJECTIFS!$B$27,OBJECTIFS!$F$29="dmt"),AND($D68=OBJECTIFS!$B$34,OBJECTIFS!$F$36="dmt"),AND($D68=OBJECTIFS!$B$6,OBJECTIFS!$F$8="taux de chute"),AND($D68=OBJECTIFS!$B$13,OBJECTIFS!$F$15="taux de chute"),AND($D68=OBJECTIFS!$B$20,OBJECTIFS!$F$22="taux de chute"),AND($D68=OBJECTIFS!$B$27,OBJECTIFS!$F$29="taux de chute"),AND($D68=OBJECTIFS!$B$34,OBJECTIFS!$F$36="taux de chute")),IFERROR(O68/N68,""),IFERROR(N68/O68,""))</f>
        <v/>
      </c>
      <c r="Q68" s="91">
        <f>IFERROR(IF(OR(N68="",O68="",P68=""),0,IF(P68&lt;OBJECTIFS!$E$56,0,IF(P68&lt;OBJECTIFS!$G$56,Q$8*OBJECTIFS!$F$60,IF(P68&lt;OBJECTIFS!$I$56,Q$8*OBJECTIFS!$H$60,Q$8)))),0)</f>
        <v>0</v>
      </c>
      <c r="R68" s="164"/>
      <c r="S68" s="93" t="str">
        <f>IF(OR($A68="",$D68="",R68=""),"",SUMIFS(OBJECTIFS!G$9:G$39,OBJECTIFS!$A$9:$A$39,$D68,OBJECTIFS!$C$9:$C$39,$F68))</f>
        <v/>
      </c>
      <c r="T68" s="90" t="str">
        <f>IF(OR(AND($D68=OBJECTIFS!$B$6,OBJECTIFS!G$8="dmt"),AND($D68=OBJECTIFS!$B$13,OBJECTIFS!$G$15="dmt"),AND($D68=OBJECTIFS!$B$20,OBJECTIFS!$G$22="dmt"),AND($D68=OBJECTIFS!$B$27,OBJECTIFS!$G$29="dmt"),AND($D68=OBJECTIFS!$B$34,OBJECTIFS!$G$36="dmt"),AND($D68=OBJECTIFS!$B$6,OBJECTIFS!$G$8="taux de chute"),AND($D68=OBJECTIFS!$B$13,OBJECTIFS!$G$15="taux de chute"),AND($D68=OBJECTIFS!$B$20,OBJECTIFS!$G$22="taux de chute"),AND($D68=OBJECTIFS!$B$27,OBJECTIFS!$G$29="taux de chute"),AND($D68=OBJECTIFS!$B$34,OBJECTIFS!$G$36="taux de chute")),IFERROR(S68/R68,""),IFERROR(R68/S68,""))</f>
        <v/>
      </c>
      <c r="U68" s="94">
        <f>IFERROR(IF(OR(R68="",S68="",T68=""),0,IF(T68&lt;OBJECTIFS!$E$56,0,IF(T68&lt;OBJECTIFS!$G$56,U$8*OBJECTIFS!$F$60,IF(T68&lt;OBJECTIFS!$I$56,U$8*OBJECTIFS!$H$60,U$8)))),0)</f>
        <v>0</v>
      </c>
      <c r="V68" s="25"/>
      <c r="W68" s="90" t="str">
        <f>IF(OR($A68="",$D68="",V68=""),"",SUMIFS(OBJECTIFS!H$9:H$39,OBJECTIFS!$A$9:$A$39,$D68,OBJECTIFS!$C$9:$C$39,$F68))</f>
        <v/>
      </c>
      <c r="X68" s="90" t="str">
        <f>IF(OR(AND($D68=OBJECTIFS!$B$6,OBJECTIFS!H$8="dmt"),AND($D68=OBJECTIFS!$B$13,OBJECTIFS!$H$15="dmt"),AND($D68=OBJECTIFS!$B$20,OBJECTIFS!$H$22="dmt"),AND($D68=OBJECTIFS!$B$27,OBJECTIFS!$H$29="dmt"),AND($D68=OBJECTIFS!$B$34,OBJECTIFS!$H$36="dmt"),AND($D68=OBJECTIFS!$B$6,OBJECTIFS!$H$8="taux de chute"),AND($D68=OBJECTIFS!$B$13,OBJECTIFS!$H$15="taux de chute"),AND($D68=OBJECTIFS!$B$20,OBJECTIFS!$H$22="taux de chute"),AND($D68=OBJECTIFS!$B$27,OBJECTIFS!$H$29="taux de chute"),AND($D68=OBJECTIFS!$B$34,OBJECTIFS!$H$36="taux de chute")),IFERROR(W68/V68,""),IFERROR(V68/W68,""))</f>
        <v/>
      </c>
      <c r="Y68" s="91">
        <f>IFERROR(IF(OR(V68="",W68="",X68=""),0,IF(X68&lt;OBJECTIFS!$E$56,0,IF(X68&lt;OBJECTIFS!$G$56,Y$8*OBJECTIFS!$F$60,IF(X68&lt;OBJECTIFS!$I$56,Y$8*OBJECTIFS!$H$60,Y$8)))),0)</f>
        <v>0</v>
      </c>
      <c r="Z68" s="167"/>
      <c r="AA68" s="90" t="str">
        <f>IF(OR($A68="",$D68="",Z68=""),"",SUMIFS(OBJECTIFS!I$9:I$39,OBJECTIFS!$A$9:$A$39,$D68,OBJECTIFS!$C$9:$C$39,$F68))</f>
        <v/>
      </c>
      <c r="AB68" s="90" t="str">
        <f>IF(OR(AND($D68=OBJECTIFS!$B$6,OBJECTIFS!I$8="dmt"),AND($D68=OBJECTIFS!$B$13,OBJECTIFS!$I$15="dmt"),AND($D68=OBJECTIFS!$B$20,OBJECTIFS!$I$22="dmt"),AND($D68=OBJECTIFS!$B$27,OBJECTIFS!$I$29="dmt"),AND($D68=OBJECTIFS!$B$34,OBJECTIFS!$I$36="dmt"),AND($D68=OBJECTIFS!$B$6,OBJECTIFS!$I$8="taux de chute"),AND($D68=OBJECTIFS!$B$13,OBJECTIFS!$I$15="taux de chute"),AND($D68=OBJECTIFS!$B$20,OBJECTIFS!$I$22="taux de chute"),AND($D68=OBJECTIFS!$B$27,OBJECTIFS!$I$29="taux de chute"),AND($D68=OBJECTIFS!$B$34,OBJECTIFS!$I$36="taux de chute")),IFERROR(AA68/Z68,""),IFERROR(Z68/AA68,""))</f>
        <v/>
      </c>
      <c r="AC68" s="95">
        <f>IFERROR(IF(OR(Z68="",AA68="",AB68=""),0,IF(AB68&lt;OBJECTIFS!$E$56,0,IF(AB68&lt;OBJECTIFS!$G$56,AC$8*OBJECTIFS!$F$60,IF(AB68&lt;OBJECTIFS!$I$56,AC$8*OBJECTIFS!$H$60,AC$8)))),0)</f>
        <v>0</v>
      </c>
      <c r="AD68" s="186"/>
      <c r="AE68" s="187"/>
      <c r="AF68" s="96">
        <f t="shared" ca="1" si="11"/>
        <v>0</v>
      </c>
      <c r="AG68" s="63"/>
      <c r="AH68" s="186"/>
      <c r="AI68" s="24"/>
      <c r="AJ68" s="24"/>
      <c r="AK68" s="24"/>
      <c r="AL68" s="24"/>
      <c r="AM68" s="79">
        <f t="shared" si="12"/>
        <v>0</v>
      </c>
      <c r="AN68" s="79">
        <v>22</v>
      </c>
      <c r="AO68" s="80">
        <f t="shared" si="13"/>
        <v>0</v>
      </c>
      <c r="AP68" s="81" t="str">
        <f t="shared" ca="1" si="14"/>
        <v/>
      </c>
      <c r="AQ68" s="82"/>
      <c r="AR68" s="97">
        <f>IFERROR(VLOOKUP(B68,OBJECTIFS!$C$76:$E$137,2,FALSE),0)</f>
        <v>0</v>
      </c>
      <c r="AS68" s="98">
        <f>IFERROR(VLOOKUP(B68,OBJECTIFS!$H$76:$J$137,2,FALSE),0)</f>
        <v>0</v>
      </c>
      <c r="AT68" s="98">
        <f>IFERROR(VLOOKUP(B68,OBJECTIFS!$C$142:$E$203,2,FALSE),0)</f>
        <v>0</v>
      </c>
      <c r="AU68" s="98">
        <f>IFERROR(VLOOKUP(B68,OBJECTIFS!$H$142:$J$203,2,FALSE),0)</f>
        <v>0</v>
      </c>
      <c r="AV68" s="98">
        <f>IFERROR(VLOOKUP(B68,OBJECTIFS!$F$208:$H$269,3,FALSE),0)</f>
        <v>0</v>
      </c>
      <c r="AW68" s="81">
        <f t="shared" si="15"/>
        <v>0</v>
      </c>
      <c r="AX68" s="82"/>
      <c r="AY68" s="99" t="str">
        <f t="shared" ca="1" si="16"/>
        <v/>
      </c>
      <c r="AZ68" s="63"/>
      <c r="BA68" s="100">
        <f t="shared" ca="1" si="17"/>
        <v>0</v>
      </c>
      <c r="BB68" s="64" t="str">
        <f t="shared" ca="1" si="18"/>
        <v/>
      </c>
      <c r="BC68" s="101" t="str">
        <f t="shared" ca="1" si="19"/>
        <v/>
      </c>
    </row>
    <row r="69" spans="1:55" x14ac:dyDescent="0.2">
      <c r="A69" s="21"/>
      <c r="B69" s="22"/>
      <c r="C69" s="22"/>
      <c r="D69" s="23"/>
      <c r="E69" s="24"/>
      <c r="F69" s="34"/>
      <c r="H69" s="89" t="str">
        <f>IF(OR(D69="",F69="",A69=""),"",IF(E69="oui",0,IF(D69=OBJECTIFS!$C$45,VLOOKUP(F69,OBJECTIFS!$C$9:$D$11,2,FALSE),IF(D69=OBJECTIFS!$C$46,VLOOKUP(F69,OBJECTIFS!$C$16:$D$18,2,FALSE),IF(D69=OBJECTIFS!$C$47,VLOOKUP(F69,OBJECTIFS!$C$23:$D$25,2,FALSE),IF(D69=OBJECTIFS!$C$48,VLOOKUP(F69,OBJECTIFS!$C$30:$D$32,2,FALSE),IF(D69=OBJECTIFS!$C$49,VLOOKUP(F69,OBJECTIFS!$C$37:$D$39,2,FALSE))))))))</f>
        <v/>
      </c>
      <c r="J69" s="25"/>
      <c r="K69" s="90" t="str">
        <f>IF(OR($A69="",$D69="",J69=""),"",SUMIFS(OBJECTIFS!E$9:E$39,OBJECTIFS!$A$9:$A$39,$D69,OBJECTIFS!$C$9:$C$39,$F69))</f>
        <v/>
      </c>
      <c r="L69" s="90" t="str">
        <f>IF(OR(AND($D69=OBJECTIFS!$B$6,OBJECTIFS!E$8="dmt"),AND($D69=OBJECTIFS!$B$13,OBJECTIFS!$E$15="dmt"),AND($D69=OBJECTIFS!$B$20,OBJECTIFS!$E$22="dmt"),AND($D69=OBJECTIFS!$B$27,OBJECTIFS!$E$29="dmt"),AND($D69=OBJECTIFS!$B$34,OBJECTIFS!$E$36="dmt"),AND($D69=OBJECTIFS!$B$6,OBJECTIFS!$E$8="taux de chute"),AND($D69=OBJECTIFS!$B$13,OBJECTIFS!$E$15="taux de chute"),AND($D69=OBJECTIFS!$B$20,OBJECTIFS!$E$22="taux de chute"),AND($D69=OBJECTIFS!$B$27,OBJECTIFS!$E$29="taux de chute"),AND($D69=OBJECTIFS!$B$34,OBJECTIFS!$E$36="taux de chute")),IFERROR(K69/J69,""),IFERROR(J69/K69,""))</f>
        <v/>
      </c>
      <c r="M69" s="91">
        <f>IFERROR(IF(OR(J69="",K69="",L69=""),0,IF(L69&lt;OBJECTIFS!$E$56,0,IF(L69&lt;OBJECTIFS!$G$56,M$8*OBJECTIFS!$F$60,IF(L69&lt;OBJECTIFS!$I$56,M$8*OBJECTIFS!$H$60,M$8)))),0)</f>
        <v>0</v>
      </c>
      <c r="N69" s="161"/>
      <c r="O69" s="92" t="str">
        <f>IF(OR($A69="",$D69="",N69=""),"",SUMIFS(OBJECTIFS!F$9:F$39,OBJECTIFS!$A$9:$A$39,$D69,OBJECTIFS!$C$9:$C$39,$F69))</f>
        <v/>
      </c>
      <c r="P69" s="90" t="str">
        <f>IF(OR(AND($D69=OBJECTIFS!$B$6,OBJECTIFS!$F$8="dmt"),AND($D69=OBJECTIFS!$B$13,OBJECTIFS!$F$15="dmt"),AND($D69=OBJECTIFS!$B$20,OBJECTIFS!$F$22="dmt"),AND($D69=OBJECTIFS!$B$27,OBJECTIFS!$F$29="dmt"),AND($D69=OBJECTIFS!$B$34,OBJECTIFS!$F$36="dmt"),AND($D69=OBJECTIFS!$B$6,OBJECTIFS!$F$8="taux de chute"),AND($D69=OBJECTIFS!$B$13,OBJECTIFS!$F$15="taux de chute"),AND($D69=OBJECTIFS!$B$20,OBJECTIFS!$F$22="taux de chute"),AND($D69=OBJECTIFS!$B$27,OBJECTIFS!$F$29="taux de chute"),AND($D69=OBJECTIFS!$B$34,OBJECTIFS!$F$36="taux de chute")),IFERROR(O69/N69,""),IFERROR(N69/O69,""))</f>
        <v/>
      </c>
      <c r="Q69" s="91">
        <f>IFERROR(IF(OR(N69="",O69="",P69=""),0,IF(P69&lt;OBJECTIFS!$E$56,0,IF(P69&lt;OBJECTIFS!$G$56,Q$8*OBJECTIFS!$F$60,IF(P69&lt;OBJECTIFS!$I$56,Q$8*OBJECTIFS!$H$60,Q$8)))),0)</f>
        <v>0</v>
      </c>
      <c r="R69" s="164"/>
      <c r="S69" s="93" t="str">
        <f>IF(OR($A69="",$D69="",R69=""),"",SUMIFS(OBJECTIFS!G$9:G$39,OBJECTIFS!$A$9:$A$39,$D69,OBJECTIFS!$C$9:$C$39,$F69))</f>
        <v/>
      </c>
      <c r="T69" s="90" t="str">
        <f>IF(OR(AND($D69=OBJECTIFS!$B$6,OBJECTIFS!G$8="dmt"),AND($D69=OBJECTIFS!$B$13,OBJECTIFS!$G$15="dmt"),AND($D69=OBJECTIFS!$B$20,OBJECTIFS!$G$22="dmt"),AND($D69=OBJECTIFS!$B$27,OBJECTIFS!$G$29="dmt"),AND($D69=OBJECTIFS!$B$34,OBJECTIFS!$G$36="dmt"),AND($D69=OBJECTIFS!$B$6,OBJECTIFS!$G$8="taux de chute"),AND($D69=OBJECTIFS!$B$13,OBJECTIFS!$G$15="taux de chute"),AND($D69=OBJECTIFS!$B$20,OBJECTIFS!$G$22="taux de chute"),AND($D69=OBJECTIFS!$B$27,OBJECTIFS!$G$29="taux de chute"),AND($D69=OBJECTIFS!$B$34,OBJECTIFS!$G$36="taux de chute")),IFERROR(S69/R69,""),IFERROR(R69/S69,""))</f>
        <v/>
      </c>
      <c r="U69" s="94">
        <f>IFERROR(IF(OR(R69="",S69="",T69=""),0,IF(T69&lt;OBJECTIFS!$E$56,0,IF(T69&lt;OBJECTIFS!$G$56,U$8*OBJECTIFS!$F$60,IF(T69&lt;OBJECTIFS!$I$56,U$8*OBJECTIFS!$H$60,U$8)))),0)</f>
        <v>0</v>
      </c>
      <c r="V69" s="25"/>
      <c r="W69" s="90" t="str">
        <f>IF(OR($A69="",$D69="",V69=""),"",SUMIFS(OBJECTIFS!H$9:H$39,OBJECTIFS!$A$9:$A$39,$D69,OBJECTIFS!$C$9:$C$39,$F69))</f>
        <v/>
      </c>
      <c r="X69" s="90" t="str">
        <f>IF(OR(AND($D69=OBJECTIFS!$B$6,OBJECTIFS!H$8="dmt"),AND($D69=OBJECTIFS!$B$13,OBJECTIFS!$H$15="dmt"),AND($D69=OBJECTIFS!$B$20,OBJECTIFS!$H$22="dmt"),AND($D69=OBJECTIFS!$B$27,OBJECTIFS!$H$29="dmt"),AND($D69=OBJECTIFS!$B$34,OBJECTIFS!$H$36="dmt"),AND($D69=OBJECTIFS!$B$6,OBJECTIFS!$H$8="taux de chute"),AND($D69=OBJECTIFS!$B$13,OBJECTIFS!$H$15="taux de chute"),AND($D69=OBJECTIFS!$B$20,OBJECTIFS!$H$22="taux de chute"),AND($D69=OBJECTIFS!$B$27,OBJECTIFS!$H$29="taux de chute"),AND($D69=OBJECTIFS!$B$34,OBJECTIFS!$H$36="taux de chute")),IFERROR(W69/V69,""),IFERROR(V69/W69,""))</f>
        <v/>
      </c>
      <c r="Y69" s="91">
        <f>IFERROR(IF(OR(V69="",W69="",X69=""),0,IF(X69&lt;OBJECTIFS!$E$56,0,IF(X69&lt;OBJECTIFS!$G$56,Y$8*OBJECTIFS!$F$60,IF(X69&lt;OBJECTIFS!$I$56,Y$8*OBJECTIFS!$H$60,Y$8)))),0)</f>
        <v>0</v>
      </c>
      <c r="Z69" s="167"/>
      <c r="AA69" s="90" t="str">
        <f>IF(OR($A69="",$D69="",Z69=""),"",SUMIFS(OBJECTIFS!I$9:I$39,OBJECTIFS!$A$9:$A$39,$D69,OBJECTIFS!$C$9:$C$39,$F69))</f>
        <v/>
      </c>
      <c r="AB69" s="90" t="str">
        <f>IF(OR(AND($D69=OBJECTIFS!$B$6,OBJECTIFS!I$8="dmt"),AND($D69=OBJECTIFS!$B$13,OBJECTIFS!$I$15="dmt"),AND($D69=OBJECTIFS!$B$20,OBJECTIFS!$I$22="dmt"),AND($D69=OBJECTIFS!$B$27,OBJECTIFS!$I$29="dmt"),AND($D69=OBJECTIFS!$B$34,OBJECTIFS!$I$36="dmt"),AND($D69=OBJECTIFS!$B$6,OBJECTIFS!$I$8="taux de chute"),AND($D69=OBJECTIFS!$B$13,OBJECTIFS!$I$15="taux de chute"),AND($D69=OBJECTIFS!$B$20,OBJECTIFS!$I$22="taux de chute"),AND($D69=OBJECTIFS!$B$27,OBJECTIFS!$I$29="taux de chute"),AND($D69=OBJECTIFS!$B$34,OBJECTIFS!$I$36="taux de chute")),IFERROR(AA69/Z69,""),IFERROR(Z69/AA69,""))</f>
        <v/>
      </c>
      <c r="AC69" s="95">
        <f>IFERROR(IF(OR(Z69="",AA69="",AB69=""),0,IF(AB69&lt;OBJECTIFS!$E$56,0,IF(AB69&lt;OBJECTIFS!$G$56,AC$8*OBJECTIFS!$F$60,IF(AB69&lt;OBJECTIFS!$I$56,AC$8*OBJECTIFS!$H$60,AC$8)))),0)</f>
        <v>0</v>
      </c>
      <c r="AD69" s="186"/>
      <c r="AE69" s="187"/>
      <c r="AF69" s="96">
        <f t="shared" ca="1" si="11"/>
        <v>0</v>
      </c>
      <c r="AG69" s="63"/>
      <c r="AH69" s="186"/>
      <c r="AI69" s="24"/>
      <c r="AJ69" s="24"/>
      <c r="AK69" s="24"/>
      <c r="AL69" s="24"/>
      <c r="AM69" s="79">
        <f t="shared" si="12"/>
        <v>0</v>
      </c>
      <c r="AN69" s="79">
        <v>22</v>
      </c>
      <c r="AO69" s="80">
        <f t="shared" si="13"/>
        <v>0</v>
      </c>
      <c r="AP69" s="81" t="str">
        <f t="shared" ca="1" si="14"/>
        <v/>
      </c>
      <c r="AQ69" s="82"/>
      <c r="AR69" s="97">
        <f>IFERROR(VLOOKUP(B69,OBJECTIFS!$C$76:$E$137,2,FALSE),0)</f>
        <v>0</v>
      </c>
      <c r="AS69" s="98">
        <f>IFERROR(VLOOKUP(B69,OBJECTIFS!$H$76:$J$137,2,FALSE),0)</f>
        <v>0</v>
      </c>
      <c r="AT69" s="98">
        <f>IFERROR(VLOOKUP(B69,OBJECTIFS!$C$142:$E$203,2,FALSE),0)</f>
        <v>0</v>
      </c>
      <c r="AU69" s="98">
        <f>IFERROR(VLOOKUP(B69,OBJECTIFS!$H$142:$J$203,2,FALSE),0)</f>
        <v>0</v>
      </c>
      <c r="AV69" s="98">
        <f>IFERROR(VLOOKUP(B69,OBJECTIFS!$F$208:$H$269,3,FALSE),0)</f>
        <v>0</v>
      </c>
      <c r="AW69" s="81">
        <f t="shared" si="15"/>
        <v>0</v>
      </c>
      <c r="AX69" s="82"/>
      <c r="AY69" s="99" t="str">
        <f t="shared" ca="1" si="16"/>
        <v/>
      </c>
      <c r="AZ69" s="63"/>
      <c r="BA69" s="100">
        <f t="shared" ca="1" si="17"/>
        <v>0</v>
      </c>
      <c r="BB69" s="64" t="str">
        <f t="shared" ca="1" si="18"/>
        <v/>
      </c>
      <c r="BC69" s="101" t="str">
        <f t="shared" ca="1" si="19"/>
        <v/>
      </c>
    </row>
    <row r="70" spans="1:55" x14ac:dyDescent="0.2">
      <c r="A70" s="21"/>
      <c r="B70" s="22"/>
      <c r="C70" s="22"/>
      <c r="D70" s="23"/>
      <c r="E70" s="24"/>
      <c r="F70" s="34"/>
      <c r="H70" s="89" t="str">
        <f>IF(OR(D70="",F70="",A70=""),"",IF(E70="oui",0,IF(D70=OBJECTIFS!$C$45,VLOOKUP(F70,OBJECTIFS!$C$9:$D$11,2,FALSE),IF(D70=OBJECTIFS!$C$46,VLOOKUP(F70,OBJECTIFS!$C$16:$D$18,2,FALSE),IF(D70=OBJECTIFS!$C$47,VLOOKUP(F70,OBJECTIFS!$C$23:$D$25,2,FALSE),IF(D70=OBJECTIFS!$C$48,VLOOKUP(F70,OBJECTIFS!$C$30:$D$32,2,FALSE),IF(D70=OBJECTIFS!$C$49,VLOOKUP(F70,OBJECTIFS!$C$37:$D$39,2,FALSE))))))))</f>
        <v/>
      </c>
      <c r="J70" s="25"/>
      <c r="K70" s="90" t="str">
        <f>IF(OR($A70="",$D70="",J70=""),"",SUMIFS(OBJECTIFS!E$9:E$39,OBJECTIFS!$A$9:$A$39,$D70,OBJECTIFS!$C$9:$C$39,$F70))</f>
        <v/>
      </c>
      <c r="L70" s="90" t="str">
        <f>IF(OR(AND($D70=OBJECTIFS!$B$6,OBJECTIFS!E$8="dmt"),AND($D70=OBJECTIFS!$B$13,OBJECTIFS!$E$15="dmt"),AND($D70=OBJECTIFS!$B$20,OBJECTIFS!$E$22="dmt"),AND($D70=OBJECTIFS!$B$27,OBJECTIFS!$E$29="dmt"),AND($D70=OBJECTIFS!$B$34,OBJECTIFS!$E$36="dmt"),AND($D70=OBJECTIFS!$B$6,OBJECTIFS!$E$8="taux de chute"),AND($D70=OBJECTIFS!$B$13,OBJECTIFS!$E$15="taux de chute"),AND($D70=OBJECTIFS!$B$20,OBJECTIFS!$E$22="taux de chute"),AND($D70=OBJECTIFS!$B$27,OBJECTIFS!$E$29="taux de chute"),AND($D70=OBJECTIFS!$B$34,OBJECTIFS!$E$36="taux de chute")),IFERROR(K70/J70,""),IFERROR(J70/K70,""))</f>
        <v/>
      </c>
      <c r="M70" s="91">
        <f>IFERROR(IF(OR(J70="",K70="",L70=""),0,IF(L70&lt;OBJECTIFS!$E$56,0,IF(L70&lt;OBJECTIFS!$G$56,M$8*OBJECTIFS!$F$60,IF(L70&lt;OBJECTIFS!$I$56,M$8*OBJECTIFS!$H$60,M$8)))),0)</f>
        <v>0</v>
      </c>
      <c r="N70" s="161"/>
      <c r="O70" s="92" t="str">
        <f>IF(OR($A70="",$D70="",N70=""),"",SUMIFS(OBJECTIFS!F$9:F$39,OBJECTIFS!$A$9:$A$39,$D70,OBJECTIFS!$C$9:$C$39,$F70))</f>
        <v/>
      </c>
      <c r="P70" s="90" t="str">
        <f>IF(OR(AND($D70=OBJECTIFS!$B$6,OBJECTIFS!$F$8="dmt"),AND($D70=OBJECTIFS!$B$13,OBJECTIFS!$F$15="dmt"),AND($D70=OBJECTIFS!$B$20,OBJECTIFS!$F$22="dmt"),AND($D70=OBJECTIFS!$B$27,OBJECTIFS!$F$29="dmt"),AND($D70=OBJECTIFS!$B$34,OBJECTIFS!$F$36="dmt"),AND($D70=OBJECTIFS!$B$6,OBJECTIFS!$F$8="taux de chute"),AND($D70=OBJECTIFS!$B$13,OBJECTIFS!$F$15="taux de chute"),AND($D70=OBJECTIFS!$B$20,OBJECTIFS!$F$22="taux de chute"),AND($D70=OBJECTIFS!$B$27,OBJECTIFS!$F$29="taux de chute"),AND($D70=OBJECTIFS!$B$34,OBJECTIFS!$F$36="taux de chute")),IFERROR(O70/N70,""),IFERROR(N70/O70,""))</f>
        <v/>
      </c>
      <c r="Q70" s="91">
        <f>IFERROR(IF(OR(N70="",O70="",P70=""),0,IF(P70&lt;OBJECTIFS!$E$56,0,IF(P70&lt;OBJECTIFS!$G$56,Q$8*OBJECTIFS!$F$60,IF(P70&lt;OBJECTIFS!$I$56,Q$8*OBJECTIFS!$H$60,Q$8)))),0)</f>
        <v>0</v>
      </c>
      <c r="R70" s="164"/>
      <c r="S70" s="93" t="str">
        <f>IF(OR($A70="",$D70="",R70=""),"",SUMIFS(OBJECTIFS!G$9:G$39,OBJECTIFS!$A$9:$A$39,$D70,OBJECTIFS!$C$9:$C$39,$F70))</f>
        <v/>
      </c>
      <c r="T70" s="90" t="str">
        <f>IF(OR(AND($D70=OBJECTIFS!$B$6,OBJECTIFS!G$8="dmt"),AND($D70=OBJECTIFS!$B$13,OBJECTIFS!$G$15="dmt"),AND($D70=OBJECTIFS!$B$20,OBJECTIFS!$G$22="dmt"),AND($D70=OBJECTIFS!$B$27,OBJECTIFS!$G$29="dmt"),AND($D70=OBJECTIFS!$B$34,OBJECTIFS!$G$36="dmt"),AND($D70=OBJECTIFS!$B$6,OBJECTIFS!$G$8="taux de chute"),AND($D70=OBJECTIFS!$B$13,OBJECTIFS!$G$15="taux de chute"),AND($D70=OBJECTIFS!$B$20,OBJECTIFS!$G$22="taux de chute"),AND($D70=OBJECTIFS!$B$27,OBJECTIFS!$G$29="taux de chute"),AND($D70=OBJECTIFS!$B$34,OBJECTIFS!$G$36="taux de chute")),IFERROR(S70/R70,""),IFERROR(R70/S70,""))</f>
        <v/>
      </c>
      <c r="U70" s="94">
        <f>IFERROR(IF(OR(R70="",S70="",T70=""),0,IF(T70&lt;OBJECTIFS!$E$56,0,IF(T70&lt;OBJECTIFS!$G$56,U$8*OBJECTIFS!$F$60,IF(T70&lt;OBJECTIFS!$I$56,U$8*OBJECTIFS!$H$60,U$8)))),0)</f>
        <v>0</v>
      </c>
      <c r="V70" s="25"/>
      <c r="W70" s="90" t="str">
        <f>IF(OR($A70="",$D70="",V70=""),"",SUMIFS(OBJECTIFS!H$9:H$39,OBJECTIFS!$A$9:$A$39,$D70,OBJECTIFS!$C$9:$C$39,$F70))</f>
        <v/>
      </c>
      <c r="X70" s="90" t="str">
        <f>IF(OR(AND($D70=OBJECTIFS!$B$6,OBJECTIFS!H$8="dmt"),AND($D70=OBJECTIFS!$B$13,OBJECTIFS!$H$15="dmt"),AND($D70=OBJECTIFS!$B$20,OBJECTIFS!$H$22="dmt"),AND($D70=OBJECTIFS!$B$27,OBJECTIFS!$H$29="dmt"),AND($D70=OBJECTIFS!$B$34,OBJECTIFS!$H$36="dmt"),AND($D70=OBJECTIFS!$B$6,OBJECTIFS!$H$8="taux de chute"),AND($D70=OBJECTIFS!$B$13,OBJECTIFS!$H$15="taux de chute"),AND($D70=OBJECTIFS!$B$20,OBJECTIFS!$H$22="taux de chute"),AND($D70=OBJECTIFS!$B$27,OBJECTIFS!$H$29="taux de chute"),AND($D70=OBJECTIFS!$B$34,OBJECTIFS!$H$36="taux de chute")),IFERROR(W70/V70,""),IFERROR(V70/W70,""))</f>
        <v/>
      </c>
      <c r="Y70" s="91">
        <f>IFERROR(IF(OR(V70="",W70="",X70=""),0,IF(X70&lt;OBJECTIFS!$E$56,0,IF(X70&lt;OBJECTIFS!$G$56,Y$8*OBJECTIFS!$F$60,IF(X70&lt;OBJECTIFS!$I$56,Y$8*OBJECTIFS!$H$60,Y$8)))),0)</f>
        <v>0</v>
      </c>
      <c r="Z70" s="167"/>
      <c r="AA70" s="90" t="str">
        <f>IF(OR($A70="",$D70="",Z70=""),"",SUMIFS(OBJECTIFS!I$9:I$39,OBJECTIFS!$A$9:$A$39,$D70,OBJECTIFS!$C$9:$C$39,$F70))</f>
        <v/>
      </c>
      <c r="AB70" s="90" t="str">
        <f>IF(OR(AND($D70=OBJECTIFS!$B$6,OBJECTIFS!I$8="dmt"),AND($D70=OBJECTIFS!$B$13,OBJECTIFS!$I$15="dmt"),AND($D70=OBJECTIFS!$B$20,OBJECTIFS!$I$22="dmt"),AND($D70=OBJECTIFS!$B$27,OBJECTIFS!$I$29="dmt"),AND($D70=OBJECTIFS!$B$34,OBJECTIFS!$I$36="dmt"),AND($D70=OBJECTIFS!$B$6,OBJECTIFS!$I$8="taux de chute"),AND($D70=OBJECTIFS!$B$13,OBJECTIFS!$I$15="taux de chute"),AND($D70=OBJECTIFS!$B$20,OBJECTIFS!$I$22="taux de chute"),AND($D70=OBJECTIFS!$B$27,OBJECTIFS!$I$29="taux de chute"),AND($D70=OBJECTIFS!$B$34,OBJECTIFS!$I$36="taux de chute")),IFERROR(AA70/Z70,""),IFERROR(Z70/AA70,""))</f>
        <v/>
      </c>
      <c r="AC70" s="95">
        <f>IFERROR(IF(OR(Z70="",AA70="",AB70=""),0,IF(AB70&lt;OBJECTIFS!$E$56,0,IF(AB70&lt;OBJECTIFS!$G$56,AC$8*OBJECTIFS!$F$60,IF(AB70&lt;OBJECTIFS!$I$56,AC$8*OBJECTIFS!$H$60,AC$8)))),0)</f>
        <v>0</v>
      </c>
      <c r="AD70" s="186"/>
      <c r="AE70" s="187"/>
      <c r="AF70" s="96">
        <f t="shared" ca="1" si="11"/>
        <v>0</v>
      </c>
      <c r="AG70" s="63"/>
      <c r="AH70" s="186"/>
      <c r="AI70" s="24"/>
      <c r="AJ70" s="24"/>
      <c r="AK70" s="24"/>
      <c r="AL70" s="24"/>
      <c r="AM70" s="79">
        <f t="shared" si="12"/>
        <v>0</v>
      </c>
      <c r="AN70" s="79">
        <v>22</v>
      </c>
      <c r="AO70" s="80">
        <f t="shared" si="13"/>
        <v>0</v>
      </c>
      <c r="AP70" s="81" t="str">
        <f t="shared" ca="1" si="14"/>
        <v/>
      </c>
      <c r="AQ70" s="82"/>
      <c r="AR70" s="97">
        <f>IFERROR(VLOOKUP(B70,OBJECTIFS!$C$76:$E$137,2,FALSE),0)</f>
        <v>0</v>
      </c>
      <c r="AS70" s="98">
        <f>IFERROR(VLOOKUP(B70,OBJECTIFS!$H$76:$J$137,2,FALSE),0)</f>
        <v>0</v>
      </c>
      <c r="AT70" s="98">
        <f>IFERROR(VLOOKUP(B70,OBJECTIFS!$C$142:$E$203,2,FALSE),0)</f>
        <v>0</v>
      </c>
      <c r="AU70" s="98">
        <f>IFERROR(VLOOKUP(B70,OBJECTIFS!$H$142:$J$203,2,FALSE),0)</f>
        <v>0</v>
      </c>
      <c r="AV70" s="98">
        <f>IFERROR(VLOOKUP(B70,OBJECTIFS!$F$208:$H$269,3,FALSE),0)</f>
        <v>0</v>
      </c>
      <c r="AW70" s="81">
        <f t="shared" si="15"/>
        <v>0</v>
      </c>
      <c r="AX70" s="82"/>
      <c r="AY70" s="99" t="str">
        <f t="shared" ca="1" si="16"/>
        <v/>
      </c>
      <c r="AZ70" s="63"/>
      <c r="BA70" s="100">
        <f t="shared" ca="1" si="17"/>
        <v>0</v>
      </c>
      <c r="BB70" s="64" t="str">
        <f t="shared" ca="1" si="18"/>
        <v/>
      </c>
      <c r="BC70" s="101" t="str">
        <f t="shared" ca="1" si="19"/>
        <v/>
      </c>
    </row>
    <row r="71" spans="1:55" x14ac:dyDescent="0.2">
      <c r="A71" s="21"/>
      <c r="B71" s="22"/>
      <c r="C71" s="22"/>
      <c r="D71" s="23"/>
      <c r="E71" s="24"/>
      <c r="F71" s="34"/>
      <c r="H71" s="89" t="str">
        <f>IF(OR(D71="",F71="",A71=""),"",IF(E71="oui",0,IF(D71=OBJECTIFS!$C$45,VLOOKUP(F71,OBJECTIFS!$C$9:$D$11,2,FALSE),IF(D71=OBJECTIFS!$C$46,VLOOKUP(F71,OBJECTIFS!$C$16:$D$18,2,FALSE),IF(D71=OBJECTIFS!$C$47,VLOOKUP(F71,OBJECTIFS!$C$23:$D$25,2,FALSE),IF(D71=OBJECTIFS!$C$48,VLOOKUP(F71,OBJECTIFS!$C$30:$D$32,2,FALSE),IF(D71=OBJECTIFS!$C$49,VLOOKUP(F71,OBJECTIFS!$C$37:$D$39,2,FALSE))))))))</f>
        <v/>
      </c>
      <c r="J71" s="25"/>
      <c r="K71" s="90" t="str">
        <f>IF(OR($A71="",$D71="",J71=""),"",SUMIFS(OBJECTIFS!E$9:E$39,OBJECTIFS!$A$9:$A$39,$D71,OBJECTIFS!$C$9:$C$39,$F71))</f>
        <v/>
      </c>
      <c r="L71" s="90" t="str">
        <f>IF(OR(AND($D71=OBJECTIFS!$B$6,OBJECTIFS!E$8="dmt"),AND($D71=OBJECTIFS!$B$13,OBJECTIFS!$E$15="dmt"),AND($D71=OBJECTIFS!$B$20,OBJECTIFS!$E$22="dmt"),AND($D71=OBJECTIFS!$B$27,OBJECTIFS!$E$29="dmt"),AND($D71=OBJECTIFS!$B$34,OBJECTIFS!$E$36="dmt"),AND($D71=OBJECTIFS!$B$6,OBJECTIFS!$E$8="taux de chute"),AND($D71=OBJECTIFS!$B$13,OBJECTIFS!$E$15="taux de chute"),AND($D71=OBJECTIFS!$B$20,OBJECTIFS!$E$22="taux de chute"),AND($D71=OBJECTIFS!$B$27,OBJECTIFS!$E$29="taux de chute"),AND($D71=OBJECTIFS!$B$34,OBJECTIFS!$E$36="taux de chute")),IFERROR(K71/J71,""),IFERROR(J71/K71,""))</f>
        <v/>
      </c>
      <c r="M71" s="91">
        <f>IFERROR(IF(OR(J71="",K71="",L71=""),0,IF(L71&lt;OBJECTIFS!$E$56,0,IF(L71&lt;OBJECTIFS!$G$56,M$8*OBJECTIFS!$F$60,IF(L71&lt;OBJECTIFS!$I$56,M$8*OBJECTIFS!$H$60,M$8)))),0)</f>
        <v>0</v>
      </c>
      <c r="N71" s="161"/>
      <c r="O71" s="92" t="str">
        <f>IF(OR($A71="",$D71="",N71=""),"",SUMIFS(OBJECTIFS!F$9:F$39,OBJECTIFS!$A$9:$A$39,$D71,OBJECTIFS!$C$9:$C$39,$F71))</f>
        <v/>
      </c>
      <c r="P71" s="90" t="str">
        <f>IF(OR(AND($D71=OBJECTIFS!$B$6,OBJECTIFS!$F$8="dmt"),AND($D71=OBJECTIFS!$B$13,OBJECTIFS!$F$15="dmt"),AND($D71=OBJECTIFS!$B$20,OBJECTIFS!$F$22="dmt"),AND($D71=OBJECTIFS!$B$27,OBJECTIFS!$F$29="dmt"),AND($D71=OBJECTIFS!$B$34,OBJECTIFS!$F$36="dmt"),AND($D71=OBJECTIFS!$B$6,OBJECTIFS!$F$8="taux de chute"),AND($D71=OBJECTIFS!$B$13,OBJECTIFS!$F$15="taux de chute"),AND($D71=OBJECTIFS!$B$20,OBJECTIFS!$F$22="taux de chute"),AND($D71=OBJECTIFS!$B$27,OBJECTIFS!$F$29="taux de chute"),AND($D71=OBJECTIFS!$B$34,OBJECTIFS!$F$36="taux de chute")),IFERROR(O71/N71,""),IFERROR(N71/O71,""))</f>
        <v/>
      </c>
      <c r="Q71" s="91">
        <f>IFERROR(IF(OR(N71="",O71="",P71=""),0,IF(P71&lt;OBJECTIFS!$E$56,0,IF(P71&lt;OBJECTIFS!$G$56,Q$8*OBJECTIFS!$F$60,IF(P71&lt;OBJECTIFS!$I$56,Q$8*OBJECTIFS!$H$60,Q$8)))),0)</f>
        <v>0</v>
      </c>
      <c r="R71" s="164"/>
      <c r="S71" s="93" t="str">
        <f>IF(OR($A71="",$D71="",R71=""),"",SUMIFS(OBJECTIFS!G$9:G$39,OBJECTIFS!$A$9:$A$39,$D71,OBJECTIFS!$C$9:$C$39,$F71))</f>
        <v/>
      </c>
      <c r="T71" s="90" t="str">
        <f>IF(OR(AND($D71=OBJECTIFS!$B$6,OBJECTIFS!G$8="dmt"),AND($D71=OBJECTIFS!$B$13,OBJECTIFS!$G$15="dmt"),AND($D71=OBJECTIFS!$B$20,OBJECTIFS!$G$22="dmt"),AND($D71=OBJECTIFS!$B$27,OBJECTIFS!$G$29="dmt"),AND($D71=OBJECTIFS!$B$34,OBJECTIFS!$G$36="dmt"),AND($D71=OBJECTIFS!$B$6,OBJECTIFS!$G$8="taux de chute"),AND($D71=OBJECTIFS!$B$13,OBJECTIFS!$G$15="taux de chute"),AND($D71=OBJECTIFS!$B$20,OBJECTIFS!$G$22="taux de chute"),AND($D71=OBJECTIFS!$B$27,OBJECTIFS!$G$29="taux de chute"),AND($D71=OBJECTIFS!$B$34,OBJECTIFS!$G$36="taux de chute")),IFERROR(S71/R71,""),IFERROR(R71/S71,""))</f>
        <v/>
      </c>
      <c r="U71" s="94">
        <f>IFERROR(IF(OR(R71="",S71="",T71=""),0,IF(T71&lt;OBJECTIFS!$E$56,0,IF(T71&lt;OBJECTIFS!$G$56,U$8*OBJECTIFS!$F$60,IF(T71&lt;OBJECTIFS!$I$56,U$8*OBJECTIFS!$H$60,U$8)))),0)</f>
        <v>0</v>
      </c>
      <c r="V71" s="25"/>
      <c r="W71" s="90" t="str">
        <f>IF(OR($A71="",$D71="",V71=""),"",SUMIFS(OBJECTIFS!H$9:H$39,OBJECTIFS!$A$9:$A$39,$D71,OBJECTIFS!$C$9:$C$39,$F71))</f>
        <v/>
      </c>
      <c r="X71" s="90" t="str">
        <f>IF(OR(AND($D71=OBJECTIFS!$B$6,OBJECTIFS!H$8="dmt"),AND($D71=OBJECTIFS!$B$13,OBJECTIFS!$H$15="dmt"),AND($D71=OBJECTIFS!$B$20,OBJECTIFS!$H$22="dmt"),AND($D71=OBJECTIFS!$B$27,OBJECTIFS!$H$29="dmt"),AND($D71=OBJECTIFS!$B$34,OBJECTIFS!$H$36="dmt"),AND($D71=OBJECTIFS!$B$6,OBJECTIFS!$H$8="taux de chute"),AND($D71=OBJECTIFS!$B$13,OBJECTIFS!$H$15="taux de chute"),AND($D71=OBJECTIFS!$B$20,OBJECTIFS!$H$22="taux de chute"),AND($D71=OBJECTIFS!$B$27,OBJECTIFS!$H$29="taux de chute"),AND($D71=OBJECTIFS!$B$34,OBJECTIFS!$H$36="taux de chute")),IFERROR(W71/V71,""),IFERROR(V71/W71,""))</f>
        <v/>
      </c>
      <c r="Y71" s="91">
        <f>IFERROR(IF(OR(V71="",W71="",X71=""),0,IF(X71&lt;OBJECTIFS!$E$56,0,IF(X71&lt;OBJECTIFS!$G$56,Y$8*OBJECTIFS!$F$60,IF(X71&lt;OBJECTIFS!$I$56,Y$8*OBJECTIFS!$H$60,Y$8)))),0)</f>
        <v>0</v>
      </c>
      <c r="Z71" s="167"/>
      <c r="AA71" s="90" t="str">
        <f>IF(OR($A71="",$D71="",Z71=""),"",SUMIFS(OBJECTIFS!I$9:I$39,OBJECTIFS!$A$9:$A$39,$D71,OBJECTIFS!$C$9:$C$39,$F71))</f>
        <v/>
      </c>
      <c r="AB71" s="90" t="str">
        <f>IF(OR(AND($D71=OBJECTIFS!$B$6,OBJECTIFS!I$8="dmt"),AND($D71=OBJECTIFS!$B$13,OBJECTIFS!$I$15="dmt"),AND($D71=OBJECTIFS!$B$20,OBJECTIFS!$I$22="dmt"),AND($D71=OBJECTIFS!$B$27,OBJECTIFS!$I$29="dmt"),AND($D71=OBJECTIFS!$B$34,OBJECTIFS!$I$36="dmt"),AND($D71=OBJECTIFS!$B$6,OBJECTIFS!$I$8="taux de chute"),AND($D71=OBJECTIFS!$B$13,OBJECTIFS!$I$15="taux de chute"),AND($D71=OBJECTIFS!$B$20,OBJECTIFS!$I$22="taux de chute"),AND($D71=OBJECTIFS!$B$27,OBJECTIFS!$I$29="taux de chute"),AND($D71=OBJECTIFS!$B$34,OBJECTIFS!$I$36="taux de chute")),IFERROR(AA71/Z71,""),IFERROR(Z71/AA71,""))</f>
        <v/>
      </c>
      <c r="AC71" s="95">
        <f>IFERROR(IF(OR(Z71="",AA71="",AB71=""),0,IF(AB71&lt;OBJECTIFS!$E$56,0,IF(AB71&lt;OBJECTIFS!$G$56,AC$8*OBJECTIFS!$F$60,IF(AB71&lt;OBJECTIFS!$I$56,AC$8*OBJECTIFS!$H$60,AC$8)))),0)</f>
        <v>0</v>
      </c>
      <c r="AD71" s="186"/>
      <c r="AE71" s="187"/>
      <c r="AF71" s="96">
        <f t="shared" ca="1" si="11"/>
        <v>0</v>
      </c>
      <c r="AG71" s="63"/>
      <c r="AH71" s="186"/>
      <c r="AI71" s="24"/>
      <c r="AJ71" s="24"/>
      <c r="AK71" s="24"/>
      <c r="AL71" s="24"/>
      <c r="AM71" s="79">
        <f t="shared" si="12"/>
        <v>0</v>
      </c>
      <c r="AN71" s="79">
        <v>22</v>
      </c>
      <c r="AO71" s="80">
        <f t="shared" si="13"/>
        <v>0</v>
      </c>
      <c r="AP71" s="81" t="str">
        <f t="shared" ca="1" si="14"/>
        <v/>
      </c>
      <c r="AQ71" s="82"/>
      <c r="AR71" s="97">
        <f>IFERROR(VLOOKUP(B71,OBJECTIFS!$C$76:$E$137,2,FALSE),0)</f>
        <v>0</v>
      </c>
      <c r="AS71" s="98">
        <f>IFERROR(VLOOKUP(B71,OBJECTIFS!$H$76:$J$137,2,FALSE),0)</f>
        <v>0</v>
      </c>
      <c r="AT71" s="98">
        <f>IFERROR(VLOOKUP(B71,OBJECTIFS!$C$142:$E$203,2,FALSE),0)</f>
        <v>0</v>
      </c>
      <c r="AU71" s="98">
        <f>IFERROR(VLOOKUP(B71,OBJECTIFS!$H$142:$J$203,2,FALSE),0)</f>
        <v>0</v>
      </c>
      <c r="AV71" s="98">
        <f>IFERROR(VLOOKUP(B71,OBJECTIFS!$F$208:$H$269,3,FALSE),0)</f>
        <v>0</v>
      </c>
      <c r="AW71" s="81">
        <f t="shared" si="15"/>
        <v>0</v>
      </c>
      <c r="AX71" s="82"/>
      <c r="AY71" s="99" t="str">
        <f t="shared" ca="1" si="16"/>
        <v/>
      </c>
      <c r="AZ71" s="63"/>
      <c r="BA71" s="100">
        <f t="shared" ca="1" si="17"/>
        <v>0</v>
      </c>
      <c r="BB71" s="64" t="str">
        <f t="shared" ca="1" si="18"/>
        <v/>
      </c>
      <c r="BC71" s="101" t="str">
        <f t="shared" ca="1" si="19"/>
        <v/>
      </c>
    </row>
    <row r="72" spans="1:55" x14ac:dyDescent="0.2">
      <c r="A72" s="21"/>
      <c r="B72" s="22"/>
      <c r="C72" s="22"/>
      <c r="D72" s="23"/>
      <c r="E72" s="24"/>
      <c r="F72" s="34"/>
      <c r="H72" s="89" t="str">
        <f>IF(OR(D72="",F72="",A72=""),"",IF(E72="oui",0,IF(D72=OBJECTIFS!$C$45,VLOOKUP(F72,OBJECTIFS!$C$9:$D$11,2,FALSE),IF(D72=OBJECTIFS!$C$46,VLOOKUP(F72,OBJECTIFS!$C$16:$D$18,2,FALSE),IF(D72=OBJECTIFS!$C$47,VLOOKUP(F72,OBJECTIFS!$C$23:$D$25,2,FALSE),IF(D72=OBJECTIFS!$C$48,VLOOKUP(F72,OBJECTIFS!$C$30:$D$32,2,FALSE),IF(D72=OBJECTIFS!$C$49,VLOOKUP(F72,OBJECTIFS!$C$37:$D$39,2,FALSE))))))))</f>
        <v/>
      </c>
      <c r="J72" s="25"/>
      <c r="K72" s="90" t="str">
        <f>IF(OR($A72="",$D72="",J72=""),"",SUMIFS(OBJECTIFS!E$9:E$39,OBJECTIFS!$A$9:$A$39,$D72,OBJECTIFS!$C$9:$C$39,$F72))</f>
        <v/>
      </c>
      <c r="L72" s="90" t="str">
        <f>IF(OR(AND($D72=OBJECTIFS!$B$6,OBJECTIFS!E$8="dmt"),AND($D72=OBJECTIFS!$B$13,OBJECTIFS!$E$15="dmt"),AND($D72=OBJECTIFS!$B$20,OBJECTIFS!$E$22="dmt"),AND($D72=OBJECTIFS!$B$27,OBJECTIFS!$E$29="dmt"),AND($D72=OBJECTIFS!$B$34,OBJECTIFS!$E$36="dmt"),AND($D72=OBJECTIFS!$B$6,OBJECTIFS!$E$8="taux de chute"),AND($D72=OBJECTIFS!$B$13,OBJECTIFS!$E$15="taux de chute"),AND($D72=OBJECTIFS!$B$20,OBJECTIFS!$E$22="taux de chute"),AND($D72=OBJECTIFS!$B$27,OBJECTIFS!$E$29="taux de chute"),AND($D72=OBJECTIFS!$B$34,OBJECTIFS!$E$36="taux de chute")),IFERROR(K72/J72,""),IFERROR(J72/K72,""))</f>
        <v/>
      </c>
      <c r="M72" s="91">
        <f>IFERROR(IF(OR(J72="",K72="",L72=""),0,IF(L72&lt;OBJECTIFS!$E$56,0,IF(L72&lt;OBJECTIFS!$G$56,M$8*OBJECTIFS!$F$60,IF(L72&lt;OBJECTIFS!$I$56,M$8*OBJECTIFS!$H$60,M$8)))),0)</f>
        <v>0</v>
      </c>
      <c r="N72" s="161"/>
      <c r="O72" s="92" t="str">
        <f>IF(OR($A72="",$D72="",N72=""),"",SUMIFS(OBJECTIFS!F$9:F$39,OBJECTIFS!$A$9:$A$39,$D72,OBJECTIFS!$C$9:$C$39,$F72))</f>
        <v/>
      </c>
      <c r="P72" s="90" t="str">
        <f>IF(OR(AND($D72=OBJECTIFS!$B$6,OBJECTIFS!$F$8="dmt"),AND($D72=OBJECTIFS!$B$13,OBJECTIFS!$F$15="dmt"),AND($D72=OBJECTIFS!$B$20,OBJECTIFS!$F$22="dmt"),AND($D72=OBJECTIFS!$B$27,OBJECTIFS!$F$29="dmt"),AND($D72=OBJECTIFS!$B$34,OBJECTIFS!$F$36="dmt"),AND($D72=OBJECTIFS!$B$6,OBJECTIFS!$F$8="taux de chute"),AND($D72=OBJECTIFS!$B$13,OBJECTIFS!$F$15="taux de chute"),AND($D72=OBJECTIFS!$B$20,OBJECTIFS!$F$22="taux de chute"),AND($D72=OBJECTIFS!$B$27,OBJECTIFS!$F$29="taux de chute"),AND($D72=OBJECTIFS!$B$34,OBJECTIFS!$F$36="taux de chute")),IFERROR(O72/N72,""),IFERROR(N72/O72,""))</f>
        <v/>
      </c>
      <c r="Q72" s="91">
        <f>IFERROR(IF(OR(N72="",O72="",P72=""),0,IF(P72&lt;OBJECTIFS!$E$56,0,IF(P72&lt;OBJECTIFS!$G$56,Q$8*OBJECTIFS!$F$60,IF(P72&lt;OBJECTIFS!$I$56,Q$8*OBJECTIFS!$H$60,Q$8)))),0)</f>
        <v>0</v>
      </c>
      <c r="R72" s="164"/>
      <c r="S72" s="93" t="str">
        <f>IF(OR($A72="",$D72="",R72=""),"",SUMIFS(OBJECTIFS!G$9:G$39,OBJECTIFS!$A$9:$A$39,$D72,OBJECTIFS!$C$9:$C$39,$F72))</f>
        <v/>
      </c>
      <c r="T72" s="90" t="str">
        <f>IF(OR(AND($D72=OBJECTIFS!$B$6,OBJECTIFS!G$8="dmt"),AND($D72=OBJECTIFS!$B$13,OBJECTIFS!$G$15="dmt"),AND($D72=OBJECTIFS!$B$20,OBJECTIFS!$G$22="dmt"),AND($D72=OBJECTIFS!$B$27,OBJECTIFS!$G$29="dmt"),AND($D72=OBJECTIFS!$B$34,OBJECTIFS!$G$36="dmt"),AND($D72=OBJECTIFS!$B$6,OBJECTIFS!$G$8="taux de chute"),AND($D72=OBJECTIFS!$B$13,OBJECTIFS!$G$15="taux de chute"),AND($D72=OBJECTIFS!$B$20,OBJECTIFS!$G$22="taux de chute"),AND($D72=OBJECTIFS!$B$27,OBJECTIFS!$G$29="taux de chute"),AND($D72=OBJECTIFS!$B$34,OBJECTIFS!$G$36="taux de chute")),IFERROR(S72/R72,""),IFERROR(R72/S72,""))</f>
        <v/>
      </c>
      <c r="U72" s="94">
        <f>IFERROR(IF(OR(R72="",S72="",T72=""),0,IF(T72&lt;OBJECTIFS!$E$56,0,IF(T72&lt;OBJECTIFS!$G$56,U$8*OBJECTIFS!$F$60,IF(T72&lt;OBJECTIFS!$I$56,U$8*OBJECTIFS!$H$60,U$8)))),0)</f>
        <v>0</v>
      </c>
      <c r="V72" s="25"/>
      <c r="W72" s="90" t="str">
        <f>IF(OR($A72="",$D72="",V72=""),"",SUMIFS(OBJECTIFS!H$9:H$39,OBJECTIFS!$A$9:$A$39,$D72,OBJECTIFS!$C$9:$C$39,$F72))</f>
        <v/>
      </c>
      <c r="X72" s="90" t="str">
        <f>IF(OR(AND($D72=OBJECTIFS!$B$6,OBJECTIFS!H$8="dmt"),AND($D72=OBJECTIFS!$B$13,OBJECTIFS!$H$15="dmt"),AND($D72=OBJECTIFS!$B$20,OBJECTIFS!$H$22="dmt"),AND($D72=OBJECTIFS!$B$27,OBJECTIFS!$H$29="dmt"),AND($D72=OBJECTIFS!$B$34,OBJECTIFS!$H$36="dmt"),AND($D72=OBJECTIFS!$B$6,OBJECTIFS!$H$8="taux de chute"),AND($D72=OBJECTIFS!$B$13,OBJECTIFS!$H$15="taux de chute"),AND($D72=OBJECTIFS!$B$20,OBJECTIFS!$H$22="taux de chute"),AND($D72=OBJECTIFS!$B$27,OBJECTIFS!$H$29="taux de chute"),AND($D72=OBJECTIFS!$B$34,OBJECTIFS!$H$36="taux de chute")),IFERROR(W72/V72,""),IFERROR(V72/W72,""))</f>
        <v/>
      </c>
      <c r="Y72" s="91">
        <f>IFERROR(IF(OR(V72="",W72="",X72=""),0,IF(X72&lt;OBJECTIFS!$E$56,0,IF(X72&lt;OBJECTIFS!$G$56,Y$8*OBJECTIFS!$F$60,IF(X72&lt;OBJECTIFS!$I$56,Y$8*OBJECTIFS!$H$60,Y$8)))),0)</f>
        <v>0</v>
      </c>
      <c r="Z72" s="167"/>
      <c r="AA72" s="90" t="str">
        <f>IF(OR($A72="",$D72="",Z72=""),"",SUMIFS(OBJECTIFS!I$9:I$39,OBJECTIFS!$A$9:$A$39,$D72,OBJECTIFS!$C$9:$C$39,$F72))</f>
        <v/>
      </c>
      <c r="AB72" s="90" t="str">
        <f>IF(OR(AND($D72=OBJECTIFS!$B$6,OBJECTIFS!I$8="dmt"),AND($D72=OBJECTIFS!$B$13,OBJECTIFS!$I$15="dmt"),AND($D72=OBJECTIFS!$B$20,OBJECTIFS!$I$22="dmt"),AND($D72=OBJECTIFS!$B$27,OBJECTIFS!$I$29="dmt"),AND($D72=OBJECTIFS!$B$34,OBJECTIFS!$I$36="dmt"),AND($D72=OBJECTIFS!$B$6,OBJECTIFS!$I$8="taux de chute"),AND($D72=OBJECTIFS!$B$13,OBJECTIFS!$I$15="taux de chute"),AND($D72=OBJECTIFS!$B$20,OBJECTIFS!$I$22="taux de chute"),AND($D72=OBJECTIFS!$B$27,OBJECTIFS!$I$29="taux de chute"),AND($D72=OBJECTIFS!$B$34,OBJECTIFS!$I$36="taux de chute")),IFERROR(AA72/Z72,""),IFERROR(Z72/AA72,""))</f>
        <v/>
      </c>
      <c r="AC72" s="95">
        <f>IFERROR(IF(OR(Z72="",AA72="",AB72=""),0,IF(AB72&lt;OBJECTIFS!$E$56,0,IF(AB72&lt;OBJECTIFS!$G$56,AC$8*OBJECTIFS!$F$60,IF(AB72&lt;OBJECTIFS!$I$56,AC$8*OBJECTIFS!$H$60,AC$8)))),0)</f>
        <v>0</v>
      </c>
      <c r="AD72" s="186"/>
      <c r="AE72" s="187"/>
      <c r="AF72" s="96">
        <f t="shared" ca="1" si="11"/>
        <v>0</v>
      </c>
      <c r="AG72" s="63"/>
      <c r="AH72" s="186"/>
      <c r="AI72" s="24"/>
      <c r="AJ72" s="24"/>
      <c r="AK72" s="24"/>
      <c r="AL72" s="24"/>
      <c r="AM72" s="79">
        <f t="shared" si="12"/>
        <v>0</v>
      </c>
      <c r="AN72" s="79">
        <v>22</v>
      </c>
      <c r="AO72" s="80">
        <f t="shared" si="13"/>
        <v>0</v>
      </c>
      <c r="AP72" s="81" t="str">
        <f t="shared" ca="1" si="14"/>
        <v/>
      </c>
      <c r="AQ72" s="82"/>
      <c r="AR72" s="97">
        <f>IFERROR(VLOOKUP(B72,OBJECTIFS!$C$76:$E$137,2,FALSE),0)</f>
        <v>0</v>
      </c>
      <c r="AS72" s="98">
        <f>IFERROR(VLOOKUP(B72,OBJECTIFS!$H$76:$J$137,2,FALSE),0)</f>
        <v>0</v>
      </c>
      <c r="AT72" s="98">
        <f>IFERROR(VLOOKUP(B72,OBJECTIFS!$C$142:$E$203,2,FALSE),0)</f>
        <v>0</v>
      </c>
      <c r="AU72" s="98">
        <f>IFERROR(VLOOKUP(B72,OBJECTIFS!$H$142:$J$203,2,FALSE),0)</f>
        <v>0</v>
      </c>
      <c r="AV72" s="98">
        <f>IFERROR(VLOOKUP(B72,OBJECTIFS!$F$208:$H$269,3,FALSE),0)</f>
        <v>0</v>
      </c>
      <c r="AW72" s="81">
        <f t="shared" si="15"/>
        <v>0</v>
      </c>
      <c r="AX72" s="82"/>
      <c r="AY72" s="99" t="str">
        <f t="shared" ca="1" si="16"/>
        <v/>
      </c>
      <c r="AZ72" s="63"/>
      <c r="BA72" s="100">
        <f t="shared" ca="1" si="17"/>
        <v>0</v>
      </c>
      <c r="BB72" s="64" t="str">
        <f t="shared" ca="1" si="18"/>
        <v/>
      </c>
      <c r="BC72" s="101" t="str">
        <f t="shared" ca="1" si="19"/>
        <v/>
      </c>
    </row>
    <row r="73" spans="1:55" x14ac:dyDescent="0.2">
      <c r="A73" s="21"/>
      <c r="B73" s="22"/>
      <c r="C73" s="22"/>
      <c r="D73" s="23"/>
      <c r="E73" s="24"/>
      <c r="F73" s="34"/>
      <c r="H73" s="89" t="str">
        <f>IF(OR(D73="",F73="",A73=""),"",IF(E73="oui",0,IF(D73=OBJECTIFS!$C$45,VLOOKUP(F73,OBJECTIFS!$C$9:$D$11,2,FALSE),IF(D73=OBJECTIFS!$C$46,VLOOKUP(F73,OBJECTIFS!$C$16:$D$18,2,FALSE),IF(D73=OBJECTIFS!$C$47,VLOOKUP(F73,OBJECTIFS!$C$23:$D$25,2,FALSE),IF(D73=OBJECTIFS!$C$48,VLOOKUP(F73,OBJECTIFS!$C$30:$D$32,2,FALSE),IF(D73=OBJECTIFS!$C$49,VLOOKUP(F73,OBJECTIFS!$C$37:$D$39,2,FALSE))))))))</f>
        <v/>
      </c>
      <c r="J73" s="25"/>
      <c r="K73" s="90" t="str">
        <f>IF(OR($A73="",$D73="",J73=""),"",SUMIFS(OBJECTIFS!E$9:E$39,OBJECTIFS!$A$9:$A$39,$D73,OBJECTIFS!$C$9:$C$39,$F73))</f>
        <v/>
      </c>
      <c r="L73" s="90" t="str">
        <f>IF(OR(AND($D73=OBJECTIFS!$B$6,OBJECTIFS!E$8="dmt"),AND($D73=OBJECTIFS!$B$13,OBJECTIFS!$E$15="dmt"),AND($D73=OBJECTIFS!$B$20,OBJECTIFS!$E$22="dmt"),AND($D73=OBJECTIFS!$B$27,OBJECTIFS!$E$29="dmt"),AND($D73=OBJECTIFS!$B$34,OBJECTIFS!$E$36="dmt"),AND($D73=OBJECTIFS!$B$6,OBJECTIFS!$E$8="taux de chute"),AND($D73=OBJECTIFS!$B$13,OBJECTIFS!$E$15="taux de chute"),AND($D73=OBJECTIFS!$B$20,OBJECTIFS!$E$22="taux de chute"),AND($D73=OBJECTIFS!$B$27,OBJECTIFS!$E$29="taux de chute"),AND($D73=OBJECTIFS!$B$34,OBJECTIFS!$E$36="taux de chute")),IFERROR(K73/J73,""),IFERROR(J73/K73,""))</f>
        <v/>
      </c>
      <c r="M73" s="91">
        <f>IFERROR(IF(OR(J73="",K73="",L73=""),0,IF(L73&lt;OBJECTIFS!$E$56,0,IF(L73&lt;OBJECTIFS!$G$56,M$8*OBJECTIFS!$F$60,IF(L73&lt;OBJECTIFS!$I$56,M$8*OBJECTIFS!$H$60,M$8)))),0)</f>
        <v>0</v>
      </c>
      <c r="N73" s="161"/>
      <c r="O73" s="92" t="str">
        <f>IF(OR($A73="",$D73="",N73=""),"",SUMIFS(OBJECTIFS!F$9:F$39,OBJECTIFS!$A$9:$A$39,$D73,OBJECTIFS!$C$9:$C$39,$F73))</f>
        <v/>
      </c>
      <c r="P73" s="90" t="str">
        <f>IF(OR(AND($D73=OBJECTIFS!$B$6,OBJECTIFS!$F$8="dmt"),AND($D73=OBJECTIFS!$B$13,OBJECTIFS!$F$15="dmt"),AND($D73=OBJECTIFS!$B$20,OBJECTIFS!$F$22="dmt"),AND($D73=OBJECTIFS!$B$27,OBJECTIFS!$F$29="dmt"),AND($D73=OBJECTIFS!$B$34,OBJECTIFS!$F$36="dmt"),AND($D73=OBJECTIFS!$B$6,OBJECTIFS!$F$8="taux de chute"),AND($D73=OBJECTIFS!$B$13,OBJECTIFS!$F$15="taux de chute"),AND($D73=OBJECTIFS!$B$20,OBJECTIFS!$F$22="taux de chute"),AND($D73=OBJECTIFS!$B$27,OBJECTIFS!$F$29="taux de chute"),AND($D73=OBJECTIFS!$B$34,OBJECTIFS!$F$36="taux de chute")),IFERROR(O73/N73,""),IFERROR(N73/O73,""))</f>
        <v/>
      </c>
      <c r="Q73" s="91">
        <f>IFERROR(IF(OR(N73="",O73="",P73=""),0,IF(P73&lt;OBJECTIFS!$E$56,0,IF(P73&lt;OBJECTIFS!$G$56,Q$8*OBJECTIFS!$F$60,IF(P73&lt;OBJECTIFS!$I$56,Q$8*OBJECTIFS!$H$60,Q$8)))),0)</f>
        <v>0</v>
      </c>
      <c r="R73" s="164"/>
      <c r="S73" s="93" t="str">
        <f>IF(OR($A73="",$D73="",R73=""),"",SUMIFS(OBJECTIFS!G$9:G$39,OBJECTIFS!$A$9:$A$39,$D73,OBJECTIFS!$C$9:$C$39,$F73))</f>
        <v/>
      </c>
      <c r="T73" s="90" t="str">
        <f>IF(OR(AND($D73=OBJECTIFS!$B$6,OBJECTIFS!G$8="dmt"),AND($D73=OBJECTIFS!$B$13,OBJECTIFS!$G$15="dmt"),AND($D73=OBJECTIFS!$B$20,OBJECTIFS!$G$22="dmt"),AND($D73=OBJECTIFS!$B$27,OBJECTIFS!$G$29="dmt"),AND($D73=OBJECTIFS!$B$34,OBJECTIFS!$G$36="dmt"),AND($D73=OBJECTIFS!$B$6,OBJECTIFS!$G$8="taux de chute"),AND($D73=OBJECTIFS!$B$13,OBJECTIFS!$G$15="taux de chute"),AND($D73=OBJECTIFS!$B$20,OBJECTIFS!$G$22="taux de chute"),AND($D73=OBJECTIFS!$B$27,OBJECTIFS!$G$29="taux de chute"),AND($D73=OBJECTIFS!$B$34,OBJECTIFS!$G$36="taux de chute")),IFERROR(S73/R73,""),IFERROR(R73/S73,""))</f>
        <v/>
      </c>
      <c r="U73" s="94">
        <f>IFERROR(IF(OR(R73="",S73="",T73=""),0,IF(T73&lt;OBJECTIFS!$E$56,0,IF(T73&lt;OBJECTIFS!$G$56,U$8*OBJECTIFS!$F$60,IF(T73&lt;OBJECTIFS!$I$56,U$8*OBJECTIFS!$H$60,U$8)))),0)</f>
        <v>0</v>
      </c>
      <c r="V73" s="25"/>
      <c r="W73" s="90" t="str">
        <f>IF(OR($A73="",$D73="",V73=""),"",SUMIFS(OBJECTIFS!H$9:H$39,OBJECTIFS!$A$9:$A$39,$D73,OBJECTIFS!$C$9:$C$39,$F73))</f>
        <v/>
      </c>
      <c r="X73" s="90" t="str">
        <f>IF(OR(AND($D73=OBJECTIFS!$B$6,OBJECTIFS!H$8="dmt"),AND($D73=OBJECTIFS!$B$13,OBJECTIFS!$H$15="dmt"),AND($D73=OBJECTIFS!$B$20,OBJECTIFS!$H$22="dmt"),AND($D73=OBJECTIFS!$B$27,OBJECTIFS!$H$29="dmt"),AND($D73=OBJECTIFS!$B$34,OBJECTIFS!$H$36="dmt"),AND($D73=OBJECTIFS!$B$6,OBJECTIFS!$H$8="taux de chute"),AND($D73=OBJECTIFS!$B$13,OBJECTIFS!$H$15="taux de chute"),AND($D73=OBJECTIFS!$B$20,OBJECTIFS!$H$22="taux de chute"),AND($D73=OBJECTIFS!$B$27,OBJECTIFS!$H$29="taux de chute"),AND($D73=OBJECTIFS!$B$34,OBJECTIFS!$H$36="taux de chute")),IFERROR(W73/V73,""),IFERROR(V73/W73,""))</f>
        <v/>
      </c>
      <c r="Y73" s="91">
        <f>IFERROR(IF(OR(V73="",W73="",X73=""),0,IF(X73&lt;OBJECTIFS!$E$56,0,IF(X73&lt;OBJECTIFS!$G$56,Y$8*OBJECTIFS!$F$60,IF(X73&lt;OBJECTIFS!$I$56,Y$8*OBJECTIFS!$H$60,Y$8)))),0)</f>
        <v>0</v>
      </c>
      <c r="Z73" s="167"/>
      <c r="AA73" s="90" t="str">
        <f>IF(OR($A73="",$D73="",Z73=""),"",SUMIFS(OBJECTIFS!I$9:I$39,OBJECTIFS!$A$9:$A$39,$D73,OBJECTIFS!$C$9:$C$39,$F73))</f>
        <v/>
      </c>
      <c r="AB73" s="90" t="str">
        <f>IF(OR(AND($D73=OBJECTIFS!$B$6,OBJECTIFS!I$8="dmt"),AND($D73=OBJECTIFS!$B$13,OBJECTIFS!$I$15="dmt"),AND($D73=OBJECTIFS!$B$20,OBJECTIFS!$I$22="dmt"),AND($D73=OBJECTIFS!$B$27,OBJECTIFS!$I$29="dmt"),AND($D73=OBJECTIFS!$B$34,OBJECTIFS!$I$36="dmt"),AND($D73=OBJECTIFS!$B$6,OBJECTIFS!$I$8="taux de chute"),AND($D73=OBJECTIFS!$B$13,OBJECTIFS!$I$15="taux de chute"),AND($D73=OBJECTIFS!$B$20,OBJECTIFS!$I$22="taux de chute"),AND($D73=OBJECTIFS!$B$27,OBJECTIFS!$I$29="taux de chute"),AND($D73=OBJECTIFS!$B$34,OBJECTIFS!$I$36="taux de chute")),IFERROR(AA73/Z73,""),IFERROR(Z73/AA73,""))</f>
        <v/>
      </c>
      <c r="AC73" s="95">
        <f>IFERROR(IF(OR(Z73="",AA73="",AB73=""),0,IF(AB73&lt;OBJECTIFS!$E$56,0,IF(AB73&lt;OBJECTIFS!$G$56,AC$8*OBJECTIFS!$F$60,IF(AB73&lt;OBJECTIFS!$I$56,AC$8*OBJECTIFS!$H$60,AC$8)))),0)</f>
        <v>0</v>
      </c>
      <c r="AD73" s="186"/>
      <c r="AE73" s="187"/>
      <c r="AF73" s="96">
        <f t="shared" ca="1" si="11"/>
        <v>0</v>
      </c>
      <c r="AG73" s="63"/>
      <c r="AH73" s="186"/>
      <c r="AI73" s="24"/>
      <c r="AJ73" s="24"/>
      <c r="AK73" s="24"/>
      <c r="AL73" s="24"/>
      <c r="AM73" s="79">
        <f t="shared" si="12"/>
        <v>0</v>
      </c>
      <c r="AN73" s="79">
        <v>22</v>
      </c>
      <c r="AO73" s="80">
        <f t="shared" si="13"/>
        <v>0</v>
      </c>
      <c r="AP73" s="81" t="str">
        <f t="shared" ca="1" si="14"/>
        <v/>
      </c>
      <c r="AQ73" s="82"/>
      <c r="AR73" s="97">
        <f>IFERROR(VLOOKUP(B73,OBJECTIFS!$C$76:$E$137,2,FALSE),0)</f>
        <v>0</v>
      </c>
      <c r="AS73" s="98">
        <f>IFERROR(VLOOKUP(B73,OBJECTIFS!$H$76:$J$137,2,FALSE),0)</f>
        <v>0</v>
      </c>
      <c r="AT73" s="98">
        <f>IFERROR(VLOOKUP(B73,OBJECTIFS!$C$142:$E$203,2,FALSE),0)</f>
        <v>0</v>
      </c>
      <c r="AU73" s="98">
        <f>IFERROR(VLOOKUP(B73,OBJECTIFS!$H$142:$J$203,2,FALSE),0)</f>
        <v>0</v>
      </c>
      <c r="AV73" s="98">
        <f>IFERROR(VLOOKUP(B73,OBJECTIFS!$F$208:$H$269,3,FALSE),0)</f>
        <v>0</v>
      </c>
      <c r="AW73" s="81">
        <f t="shared" si="15"/>
        <v>0</v>
      </c>
      <c r="AX73" s="82"/>
      <c r="AY73" s="99" t="str">
        <f t="shared" ca="1" si="16"/>
        <v/>
      </c>
      <c r="AZ73" s="63"/>
      <c r="BA73" s="100">
        <f t="shared" ca="1" si="17"/>
        <v>0</v>
      </c>
      <c r="BB73" s="64" t="str">
        <f t="shared" ca="1" si="18"/>
        <v/>
      </c>
      <c r="BC73" s="101" t="str">
        <f t="shared" ca="1" si="19"/>
        <v/>
      </c>
    </row>
    <row r="74" spans="1:55" x14ac:dyDescent="0.2">
      <c r="A74" s="21"/>
      <c r="B74" s="22"/>
      <c r="C74" s="22"/>
      <c r="D74" s="23"/>
      <c r="E74" s="24"/>
      <c r="F74" s="34"/>
      <c r="H74" s="89" t="str">
        <f>IF(OR(D74="",F74="",A74=""),"",IF(E74="oui",0,IF(D74=OBJECTIFS!$C$45,VLOOKUP(F74,OBJECTIFS!$C$9:$D$11,2,FALSE),IF(D74=OBJECTIFS!$C$46,VLOOKUP(F74,OBJECTIFS!$C$16:$D$18,2,FALSE),IF(D74=OBJECTIFS!$C$47,VLOOKUP(F74,OBJECTIFS!$C$23:$D$25,2,FALSE),IF(D74=OBJECTIFS!$C$48,VLOOKUP(F74,OBJECTIFS!$C$30:$D$32,2,FALSE),IF(D74=OBJECTIFS!$C$49,VLOOKUP(F74,OBJECTIFS!$C$37:$D$39,2,FALSE))))))))</f>
        <v/>
      </c>
      <c r="J74" s="25"/>
      <c r="K74" s="90" t="str">
        <f>IF(OR($A74="",$D74="",J74=""),"",SUMIFS(OBJECTIFS!E$9:E$39,OBJECTIFS!$A$9:$A$39,$D74,OBJECTIFS!$C$9:$C$39,$F74))</f>
        <v/>
      </c>
      <c r="L74" s="90" t="str">
        <f>IF(OR(AND($D74=OBJECTIFS!$B$6,OBJECTIFS!E$8="dmt"),AND($D74=OBJECTIFS!$B$13,OBJECTIFS!$E$15="dmt"),AND($D74=OBJECTIFS!$B$20,OBJECTIFS!$E$22="dmt"),AND($D74=OBJECTIFS!$B$27,OBJECTIFS!$E$29="dmt"),AND($D74=OBJECTIFS!$B$34,OBJECTIFS!$E$36="dmt"),AND($D74=OBJECTIFS!$B$6,OBJECTIFS!$E$8="taux de chute"),AND($D74=OBJECTIFS!$B$13,OBJECTIFS!$E$15="taux de chute"),AND($D74=OBJECTIFS!$B$20,OBJECTIFS!$E$22="taux de chute"),AND($D74=OBJECTIFS!$B$27,OBJECTIFS!$E$29="taux de chute"),AND($D74=OBJECTIFS!$B$34,OBJECTIFS!$E$36="taux de chute")),IFERROR(K74/J74,""),IFERROR(J74/K74,""))</f>
        <v/>
      </c>
      <c r="M74" s="91">
        <f>IFERROR(IF(OR(J74="",K74="",L74=""),0,IF(L74&lt;OBJECTIFS!$E$56,0,IF(L74&lt;OBJECTIFS!$G$56,M$8*OBJECTIFS!$F$60,IF(L74&lt;OBJECTIFS!$I$56,M$8*OBJECTIFS!$H$60,M$8)))),0)</f>
        <v>0</v>
      </c>
      <c r="N74" s="161"/>
      <c r="O74" s="92" t="str">
        <f>IF(OR($A74="",$D74="",N74=""),"",SUMIFS(OBJECTIFS!F$9:F$39,OBJECTIFS!$A$9:$A$39,$D74,OBJECTIFS!$C$9:$C$39,$F74))</f>
        <v/>
      </c>
      <c r="P74" s="90" t="str">
        <f>IF(OR(AND($D74=OBJECTIFS!$B$6,OBJECTIFS!$F$8="dmt"),AND($D74=OBJECTIFS!$B$13,OBJECTIFS!$F$15="dmt"),AND($D74=OBJECTIFS!$B$20,OBJECTIFS!$F$22="dmt"),AND($D74=OBJECTIFS!$B$27,OBJECTIFS!$F$29="dmt"),AND($D74=OBJECTIFS!$B$34,OBJECTIFS!$F$36="dmt"),AND($D74=OBJECTIFS!$B$6,OBJECTIFS!$F$8="taux de chute"),AND($D74=OBJECTIFS!$B$13,OBJECTIFS!$F$15="taux de chute"),AND($D74=OBJECTIFS!$B$20,OBJECTIFS!$F$22="taux de chute"),AND($D74=OBJECTIFS!$B$27,OBJECTIFS!$F$29="taux de chute"),AND($D74=OBJECTIFS!$B$34,OBJECTIFS!$F$36="taux de chute")),IFERROR(O74/N74,""),IFERROR(N74/O74,""))</f>
        <v/>
      </c>
      <c r="Q74" s="91">
        <f>IFERROR(IF(OR(N74="",O74="",P74=""),0,IF(P74&lt;OBJECTIFS!$E$56,0,IF(P74&lt;OBJECTIFS!$G$56,Q$8*OBJECTIFS!$F$60,IF(P74&lt;OBJECTIFS!$I$56,Q$8*OBJECTIFS!$H$60,Q$8)))),0)</f>
        <v>0</v>
      </c>
      <c r="R74" s="164"/>
      <c r="S74" s="93" t="str">
        <f>IF(OR($A74="",$D74="",R74=""),"",SUMIFS(OBJECTIFS!G$9:G$39,OBJECTIFS!$A$9:$A$39,$D74,OBJECTIFS!$C$9:$C$39,$F74))</f>
        <v/>
      </c>
      <c r="T74" s="90" t="str">
        <f>IF(OR(AND($D74=OBJECTIFS!$B$6,OBJECTIFS!G$8="dmt"),AND($D74=OBJECTIFS!$B$13,OBJECTIFS!$G$15="dmt"),AND($D74=OBJECTIFS!$B$20,OBJECTIFS!$G$22="dmt"),AND($D74=OBJECTIFS!$B$27,OBJECTIFS!$G$29="dmt"),AND($D74=OBJECTIFS!$B$34,OBJECTIFS!$G$36="dmt"),AND($D74=OBJECTIFS!$B$6,OBJECTIFS!$G$8="taux de chute"),AND($D74=OBJECTIFS!$B$13,OBJECTIFS!$G$15="taux de chute"),AND($D74=OBJECTIFS!$B$20,OBJECTIFS!$G$22="taux de chute"),AND($D74=OBJECTIFS!$B$27,OBJECTIFS!$G$29="taux de chute"),AND($D74=OBJECTIFS!$B$34,OBJECTIFS!$G$36="taux de chute")),IFERROR(S74/R74,""),IFERROR(R74/S74,""))</f>
        <v/>
      </c>
      <c r="U74" s="94">
        <f>IFERROR(IF(OR(R74="",S74="",T74=""),0,IF(T74&lt;OBJECTIFS!$E$56,0,IF(T74&lt;OBJECTIFS!$G$56,U$8*OBJECTIFS!$F$60,IF(T74&lt;OBJECTIFS!$I$56,U$8*OBJECTIFS!$H$60,U$8)))),0)</f>
        <v>0</v>
      </c>
      <c r="V74" s="25"/>
      <c r="W74" s="90" t="str">
        <f>IF(OR($A74="",$D74="",V74=""),"",SUMIFS(OBJECTIFS!H$9:H$39,OBJECTIFS!$A$9:$A$39,$D74,OBJECTIFS!$C$9:$C$39,$F74))</f>
        <v/>
      </c>
      <c r="X74" s="90" t="str">
        <f>IF(OR(AND($D74=OBJECTIFS!$B$6,OBJECTIFS!H$8="dmt"),AND($D74=OBJECTIFS!$B$13,OBJECTIFS!$H$15="dmt"),AND($D74=OBJECTIFS!$B$20,OBJECTIFS!$H$22="dmt"),AND($D74=OBJECTIFS!$B$27,OBJECTIFS!$H$29="dmt"),AND($D74=OBJECTIFS!$B$34,OBJECTIFS!$H$36="dmt"),AND($D74=OBJECTIFS!$B$6,OBJECTIFS!$H$8="taux de chute"),AND($D74=OBJECTIFS!$B$13,OBJECTIFS!$H$15="taux de chute"),AND($D74=OBJECTIFS!$B$20,OBJECTIFS!$H$22="taux de chute"),AND($D74=OBJECTIFS!$B$27,OBJECTIFS!$H$29="taux de chute"),AND($D74=OBJECTIFS!$B$34,OBJECTIFS!$H$36="taux de chute")),IFERROR(W74/V74,""),IFERROR(V74/W74,""))</f>
        <v/>
      </c>
      <c r="Y74" s="91">
        <f>IFERROR(IF(OR(V74="",W74="",X74=""),0,IF(X74&lt;OBJECTIFS!$E$56,0,IF(X74&lt;OBJECTIFS!$G$56,Y$8*OBJECTIFS!$F$60,IF(X74&lt;OBJECTIFS!$I$56,Y$8*OBJECTIFS!$H$60,Y$8)))),0)</f>
        <v>0</v>
      </c>
      <c r="Z74" s="167"/>
      <c r="AA74" s="90" t="str">
        <f>IF(OR($A74="",$D74="",Z74=""),"",SUMIFS(OBJECTIFS!I$9:I$39,OBJECTIFS!$A$9:$A$39,$D74,OBJECTIFS!$C$9:$C$39,$F74))</f>
        <v/>
      </c>
      <c r="AB74" s="90" t="str">
        <f>IF(OR(AND($D74=OBJECTIFS!$B$6,OBJECTIFS!I$8="dmt"),AND($D74=OBJECTIFS!$B$13,OBJECTIFS!$I$15="dmt"),AND($D74=OBJECTIFS!$B$20,OBJECTIFS!$I$22="dmt"),AND($D74=OBJECTIFS!$B$27,OBJECTIFS!$I$29="dmt"),AND($D74=OBJECTIFS!$B$34,OBJECTIFS!$I$36="dmt"),AND($D74=OBJECTIFS!$B$6,OBJECTIFS!$I$8="taux de chute"),AND($D74=OBJECTIFS!$B$13,OBJECTIFS!$I$15="taux de chute"),AND($D74=OBJECTIFS!$B$20,OBJECTIFS!$I$22="taux de chute"),AND($D74=OBJECTIFS!$B$27,OBJECTIFS!$I$29="taux de chute"),AND($D74=OBJECTIFS!$B$34,OBJECTIFS!$I$36="taux de chute")),IFERROR(AA74/Z74,""),IFERROR(Z74/AA74,""))</f>
        <v/>
      </c>
      <c r="AC74" s="95">
        <f>IFERROR(IF(OR(Z74="",AA74="",AB74=""),0,IF(AB74&lt;OBJECTIFS!$E$56,0,IF(AB74&lt;OBJECTIFS!$G$56,AC$8*OBJECTIFS!$F$60,IF(AB74&lt;OBJECTIFS!$I$56,AC$8*OBJECTIFS!$H$60,AC$8)))),0)</f>
        <v>0</v>
      </c>
      <c r="AD74" s="186"/>
      <c r="AE74" s="187"/>
      <c r="AF74" s="96">
        <f t="shared" ca="1" si="11"/>
        <v>0</v>
      </c>
      <c r="AG74" s="63"/>
      <c r="AH74" s="186"/>
      <c r="AI74" s="24"/>
      <c r="AJ74" s="24"/>
      <c r="AK74" s="24"/>
      <c r="AL74" s="24"/>
      <c r="AM74" s="79">
        <f t="shared" si="12"/>
        <v>0</v>
      </c>
      <c r="AN74" s="79">
        <v>22</v>
      </c>
      <c r="AO74" s="80">
        <f t="shared" si="13"/>
        <v>0</v>
      </c>
      <c r="AP74" s="81" t="str">
        <f t="shared" ca="1" si="14"/>
        <v/>
      </c>
      <c r="AQ74" s="82"/>
      <c r="AR74" s="97">
        <f>IFERROR(VLOOKUP(B74,OBJECTIFS!$C$76:$E$137,2,FALSE),0)</f>
        <v>0</v>
      </c>
      <c r="AS74" s="98">
        <f>IFERROR(VLOOKUP(B74,OBJECTIFS!$H$76:$J$137,2,FALSE),0)</f>
        <v>0</v>
      </c>
      <c r="AT74" s="98">
        <f>IFERROR(VLOOKUP(B74,OBJECTIFS!$C$142:$E$203,2,FALSE),0)</f>
        <v>0</v>
      </c>
      <c r="AU74" s="98">
        <f>IFERROR(VLOOKUP(B74,OBJECTIFS!$H$142:$J$203,2,FALSE),0)</f>
        <v>0</v>
      </c>
      <c r="AV74" s="98">
        <f>IFERROR(VLOOKUP(B74,OBJECTIFS!$F$208:$H$269,3,FALSE),0)</f>
        <v>0</v>
      </c>
      <c r="AW74" s="81">
        <f t="shared" si="15"/>
        <v>0</v>
      </c>
      <c r="AX74" s="82"/>
      <c r="AY74" s="99" t="str">
        <f t="shared" ca="1" si="16"/>
        <v/>
      </c>
      <c r="AZ74" s="63"/>
      <c r="BA74" s="100">
        <f t="shared" ca="1" si="17"/>
        <v>0</v>
      </c>
      <c r="BB74" s="64" t="str">
        <f t="shared" ca="1" si="18"/>
        <v/>
      </c>
      <c r="BC74" s="101" t="str">
        <f t="shared" ca="1" si="19"/>
        <v/>
      </c>
    </row>
    <row r="75" spans="1:55" x14ac:dyDescent="0.2">
      <c r="A75" s="21"/>
      <c r="B75" s="22"/>
      <c r="C75" s="22"/>
      <c r="D75" s="23"/>
      <c r="E75" s="24"/>
      <c r="F75" s="34"/>
      <c r="H75" s="89" t="str">
        <f>IF(OR(D75="",F75="",A75=""),"",IF(E75="oui",0,IF(D75=OBJECTIFS!$C$45,VLOOKUP(F75,OBJECTIFS!$C$9:$D$11,2,FALSE),IF(D75=OBJECTIFS!$C$46,VLOOKUP(F75,OBJECTIFS!$C$16:$D$18,2,FALSE),IF(D75=OBJECTIFS!$C$47,VLOOKUP(F75,OBJECTIFS!$C$23:$D$25,2,FALSE),IF(D75=OBJECTIFS!$C$48,VLOOKUP(F75,OBJECTIFS!$C$30:$D$32,2,FALSE),IF(D75=OBJECTIFS!$C$49,VLOOKUP(F75,OBJECTIFS!$C$37:$D$39,2,FALSE))))))))</f>
        <v/>
      </c>
      <c r="J75" s="25"/>
      <c r="K75" s="90" t="str">
        <f>IF(OR($A75="",$D75="",J75=""),"",SUMIFS(OBJECTIFS!E$9:E$39,OBJECTIFS!$A$9:$A$39,$D75,OBJECTIFS!$C$9:$C$39,$F75))</f>
        <v/>
      </c>
      <c r="L75" s="90" t="str">
        <f>IF(OR(AND($D75=OBJECTIFS!$B$6,OBJECTIFS!E$8="dmt"),AND($D75=OBJECTIFS!$B$13,OBJECTIFS!$E$15="dmt"),AND($D75=OBJECTIFS!$B$20,OBJECTIFS!$E$22="dmt"),AND($D75=OBJECTIFS!$B$27,OBJECTIFS!$E$29="dmt"),AND($D75=OBJECTIFS!$B$34,OBJECTIFS!$E$36="dmt"),AND($D75=OBJECTIFS!$B$6,OBJECTIFS!$E$8="taux de chute"),AND($D75=OBJECTIFS!$B$13,OBJECTIFS!$E$15="taux de chute"),AND($D75=OBJECTIFS!$B$20,OBJECTIFS!$E$22="taux de chute"),AND($D75=OBJECTIFS!$B$27,OBJECTIFS!$E$29="taux de chute"),AND($D75=OBJECTIFS!$B$34,OBJECTIFS!$E$36="taux de chute")),IFERROR(K75/J75,""),IFERROR(J75/K75,""))</f>
        <v/>
      </c>
      <c r="M75" s="91">
        <f>IFERROR(IF(OR(J75="",K75="",L75=""),0,IF(L75&lt;OBJECTIFS!$E$56,0,IF(L75&lt;OBJECTIFS!$G$56,M$8*OBJECTIFS!$F$60,IF(L75&lt;OBJECTIFS!$I$56,M$8*OBJECTIFS!$H$60,M$8)))),0)</f>
        <v>0</v>
      </c>
      <c r="N75" s="161"/>
      <c r="O75" s="92" t="str">
        <f>IF(OR($A75="",$D75="",N75=""),"",SUMIFS(OBJECTIFS!F$9:F$39,OBJECTIFS!$A$9:$A$39,$D75,OBJECTIFS!$C$9:$C$39,$F75))</f>
        <v/>
      </c>
      <c r="P75" s="90" t="str">
        <f>IF(OR(AND($D75=OBJECTIFS!$B$6,OBJECTIFS!$F$8="dmt"),AND($D75=OBJECTIFS!$B$13,OBJECTIFS!$F$15="dmt"),AND($D75=OBJECTIFS!$B$20,OBJECTIFS!$F$22="dmt"),AND($D75=OBJECTIFS!$B$27,OBJECTIFS!$F$29="dmt"),AND($D75=OBJECTIFS!$B$34,OBJECTIFS!$F$36="dmt"),AND($D75=OBJECTIFS!$B$6,OBJECTIFS!$F$8="taux de chute"),AND($D75=OBJECTIFS!$B$13,OBJECTIFS!$F$15="taux de chute"),AND($D75=OBJECTIFS!$B$20,OBJECTIFS!$F$22="taux de chute"),AND($D75=OBJECTIFS!$B$27,OBJECTIFS!$F$29="taux de chute"),AND($D75=OBJECTIFS!$B$34,OBJECTIFS!$F$36="taux de chute")),IFERROR(O75/N75,""),IFERROR(N75/O75,""))</f>
        <v/>
      </c>
      <c r="Q75" s="91">
        <f>IFERROR(IF(OR(N75="",O75="",P75=""),0,IF(P75&lt;OBJECTIFS!$E$56,0,IF(P75&lt;OBJECTIFS!$G$56,Q$8*OBJECTIFS!$F$60,IF(P75&lt;OBJECTIFS!$I$56,Q$8*OBJECTIFS!$H$60,Q$8)))),0)</f>
        <v>0</v>
      </c>
      <c r="R75" s="164"/>
      <c r="S75" s="93" t="str">
        <f>IF(OR($A75="",$D75="",R75=""),"",SUMIFS(OBJECTIFS!G$9:G$39,OBJECTIFS!$A$9:$A$39,$D75,OBJECTIFS!$C$9:$C$39,$F75))</f>
        <v/>
      </c>
      <c r="T75" s="90" t="str">
        <f>IF(OR(AND($D75=OBJECTIFS!$B$6,OBJECTIFS!G$8="dmt"),AND($D75=OBJECTIFS!$B$13,OBJECTIFS!$G$15="dmt"),AND($D75=OBJECTIFS!$B$20,OBJECTIFS!$G$22="dmt"),AND($D75=OBJECTIFS!$B$27,OBJECTIFS!$G$29="dmt"),AND($D75=OBJECTIFS!$B$34,OBJECTIFS!$G$36="dmt"),AND($D75=OBJECTIFS!$B$6,OBJECTIFS!$G$8="taux de chute"),AND($D75=OBJECTIFS!$B$13,OBJECTIFS!$G$15="taux de chute"),AND($D75=OBJECTIFS!$B$20,OBJECTIFS!$G$22="taux de chute"),AND($D75=OBJECTIFS!$B$27,OBJECTIFS!$G$29="taux de chute"),AND($D75=OBJECTIFS!$B$34,OBJECTIFS!$G$36="taux de chute")),IFERROR(S75/R75,""),IFERROR(R75/S75,""))</f>
        <v/>
      </c>
      <c r="U75" s="94">
        <f>IFERROR(IF(OR(R75="",S75="",T75=""),0,IF(T75&lt;OBJECTIFS!$E$56,0,IF(T75&lt;OBJECTIFS!$G$56,U$8*OBJECTIFS!$F$60,IF(T75&lt;OBJECTIFS!$I$56,U$8*OBJECTIFS!$H$60,U$8)))),0)</f>
        <v>0</v>
      </c>
      <c r="V75" s="25"/>
      <c r="W75" s="90" t="str">
        <f>IF(OR($A75="",$D75="",V75=""),"",SUMIFS(OBJECTIFS!H$9:H$39,OBJECTIFS!$A$9:$A$39,$D75,OBJECTIFS!$C$9:$C$39,$F75))</f>
        <v/>
      </c>
      <c r="X75" s="90" t="str">
        <f>IF(OR(AND($D75=OBJECTIFS!$B$6,OBJECTIFS!H$8="dmt"),AND($D75=OBJECTIFS!$B$13,OBJECTIFS!$H$15="dmt"),AND($D75=OBJECTIFS!$B$20,OBJECTIFS!$H$22="dmt"),AND($D75=OBJECTIFS!$B$27,OBJECTIFS!$H$29="dmt"),AND($D75=OBJECTIFS!$B$34,OBJECTIFS!$H$36="dmt"),AND($D75=OBJECTIFS!$B$6,OBJECTIFS!$H$8="taux de chute"),AND($D75=OBJECTIFS!$B$13,OBJECTIFS!$H$15="taux de chute"),AND($D75=OBJECTIFS!$B$20,OBJECTIFS!$H$22="taux de chute"),AND($D75=OBJECTIFS!$B$27,OBJECTIFS!$H$29="taux de chute"),AND($D75=OBJECTIFS!$B$34,OBJECTIFS!$H$36="taux de chute")),IFERROR(W75/V75,""),IFERROR(V75/W75,""))</f>
        <v/>
      </c>
      <c r="Y75" s="91">
        <f>IFERROR(IF(OR(V75="",W75="",X75=""),0,IF(X75&lt;OBJECTIFS!$E$56,0,IF(X75&lt;OBJECTIFS!$G$56,Y$8*OBJECTIFS!$F$60,IF(X75&lt;OBJECTIFS!$I$56,Y$8*OBJECTIFS!$H$60,Y$8)))),0)</f>
        <v>0</v>
      </c>
      <c r="Z75" s="167"/>
      <c r="AA75" s="90" t="str">
        <f>IF(OR($A75="",$D75="",Z75=""),"",SUMIFS(OBJECTIFS!I$9:I$39,OBJECTIFS!$A$9:$A$39,$D75,OBJECTIFS!$C$9:$C$39,$F75))</f>
        <v/>
      </c>
      <c r="AB75" s="90" t="str">
        <f>IF(OR(AND($D75=OBJECTIFS!$B$6,OBJECTIFS!I$8="dmt"),AND($D75=OBJECTIFS!$B$13,OBJECTIFS!$I$15="dmt"),AND($D75=OBJECTIFS!$B$20,OBJECTIFS!$I$22="dmt"),AND($D75=OBJECTIFS!$B$27,OBJECTIFS!$I$29="dmt"),AND($D75=OBJECTIFS!$B$34,OBJECTIFS!$I$36="dmt"),AND($D75=OBJECTIFS!$B$6,OBJECTIFS!$I$8="taux de chute"),AND($D75=OBJECTIFS!$B$13,OBJECTIFS!$I$15="taux de chute"),AND($D75=OBJECTIFS!$B$20,OBJECTIFS!$I$22="taux de chute"),AND($D75=OBJECTIFS!$B$27,OBJECTIFS!$I$29="taux de chute"),AND($D75=OBJECTIFS!$B$34,OBJECTIFS!$I$36="taux de chute")),IFERROR(AA75/Z75,""),IFERROR(Z75/AA75,""))</f>
        <v/>
      </c>
      <c r="AC75" s="95">
        <f>IFERROR(IF(OR(Z75="",AA75="",AB75=""),0,IF(AB75&lt;OBJECTIFS!$E$56,0,IF(AB75&lt;OBJECTIFS!$G$56,AC$8*OBJECTIFS!$F$60,IF(AB75&lt;OBJECTIFS!$I$56,AC$8*OBJECTIFS!$H$60,AC$8)))),0)</f>
        <v>0</v>
      </c>
      <c r="AD75" s="186"/>
      <c r="AE75" s="187"/>
      <c r="AF75" s="96">
        <f t="shared" ca="1" si="11"/>
        <v>0</v>
      </c>
      <c r="AG75" s="63"/>
      <c r="AH75" s="186"/>
      <c r="AI75" s="24"/>
      <c r="AJ75" s="24"/>
      <c r="AK75" s="24"/>
      <c r="AL75" s="24"/>
      <c r="AM75" s="79">
        <f t="shared" si="12"/>
        <v>0</v>
      </c>
      <c r="AN75" s="79">
        <v>22</v>
      </c>
      <c r="AO75" s="80">
        <f t="shared" si="13"/>
        <v>0</v>
      </c>
      <c r="AP75" s="81" t="str">
        <f t="shared" ca="1" si="14"/>
        <v/>
      </c>
      <c r="AQ75" s="82"/>
      <c r="AR75" s="97">
        <f>IFERROR(VLOOKUP(B75,OBJECTIFS!$C$76:$E$137,2,FALSE),0)</f>
        <v>0</v>
      </c>
      <c r="AS75" s="98">
        <f>IFERROR(VLOOKUP(B75,OBJECTIFS!$H$76:$J$137,2,FALSE),0)</f>
        <v>0</v>
      </c>
      <c r="AT75" s="98">
        <f>IFERROR(VLOOKUP(B75,OBJECTIFS!$C$142:$E$203,2,FALSE),0)</f>
        <v>0</v>
      </c>
      <c r="AU75" s="98">
        <f>IFERROR(VLOOKUP(B75,OBJECTIFS!$H$142:$J$203,2,FALSE),0)</f>
        <v>0</v>
      </c>
      <c r="AV75" s="98">
        <f>IFERROR(VLOOKUP(B75,OBJECTIFS!$F$208:$H$269,3,FALSE),0)</f>
        <v>0</v>
      </c>
      <c r="AW75" s="81">
        <f t="shared" si="15"/>
        <v>0</v>
      </c>
      <c r="AX75" s="82"/>
      <c r="AY75" s="99" t="str">
        <f t="shared" ca="1" si="16"/>
        <v/>
      </c>
      <c r="AZ75" s="63"/>
      <c r="BA75" s="100">
        <f t="shared" ca="1" si="17"/>
        <v>0</v>
      </c>
      <c r="BB75" s="64" t="str">
        <f t="shared" ca="1" si="18"/>
        <v/>
      </c>
      <c r="BC75" s="101" t="str">
        <f t="shared" ca="1" si="19"/>
        <v/>
      </c>
    </row>
    <row r="76" spans="1:55" x14ac:dyDescent="0.2">
      <c r="A76" s="21"/>
      <c r="B76" s="22"/>
      <c r="C76" s="22"/>
      <c r="D76" s="23"/>
      <c r="E76" s="24"/>
      <c r="F76" s="34"/>
      <c r="H76" s="89" t="str">
        <f>IF(OR(D76="",F76="",A76=""),"",IF(E76="oui",0,IF(D76=OBJECTIFS!$C$45,VLOOKUP(F76,OBJECTIFS!$C$9:$D$11,2,FALSE),IF(D76=OBJECTIFS!$C$46,VLOOKUP(F76,OBJECTIFS!$C$16:$D$18,2,FALSE),IF(D76=OBJECTIFS!$C$47,VLOOKUP(F76,OBJECTIFS!$C$23:$D$25,2,FALSE),IF(D76=OBJECTIFS!$C$48,VLOOKUP(F76,OBJECTIFS!$C$30:$D$32,2,FALSE),IF(D76=OBJECTIFS!$C$49,VLOOKUP(F76,OBJECTIFS!$C$37:$D$39,2,FALSE))))))))</f>
        <v/>
      </c>
      <c r="J76" s="25"/>
      <c r="K76" s="90" t="str">
        <f>IF(OR($A76="",$D76="",J76=""),"",SUMIFS(OBJECTIFS!E$9:E$39,OBJECTIFS!$A$9:$A$39,$D76,OBJECTIFS!$C$9:$C$39,$F76))</f>
        <v/>
      </c>
      <c r="L76" s="90" t="str">
        <f>IF(OR(AND($D76=OBJECTIFS!$B$6,OBJECTIFS!E$8="dmt"),AND($D76=OBJECTIFS!$B$13,OBJECTIFS!$E$15="dmt"),AND($D76=OBJECTIFS!$B$20,OBJECTIFS!$E$22="dmt"),AND($D76=OBJECTIFS!$B$27,OBJECTIFS!$E$29="dmt"),AND($D76=OBJECTIFS!$B$34,OBJECTIFS!$E$36="dmt"),AND($D76=OBJECTIFS!$B$6,OBJECTIFS!$E$8="taux de chute"),AND($D76=OBJECTIFS!$B$13,OBJECTIFS!$E$15="taux de chute"),AND($D76=OBJECTIFS!$B$20,OBJECTIFS!$E$22="taux de chute"),AND($D76=OBJECTIFS!$B$27,OBJECTIFS!$E$29="taux de chute"),AND($D76=OBJECTIFS!$B$34,OBJECTIFS!$E$36="taux de chute")),IFERROR(K76/J76,""),IFERROR(J76/K76,""))</f>
        <v/>
      </c>
      <c r="M76" s="91">
        <f>IFERROR(IF(OR(J76="",K76="",L76=""),0,IF(L76&lt;OBJECTIFS!$E$56,0,IF(L76&lt;OBJECTIFS!$G$56,M$8*OBJECTIFS!$F$60,IF(L76&lt;OBJECTIFS!$I$56,M$8*OBJECTIFS!$H$60,M$8)))),0)</f>
        <v>0</v>
      </c>
      <c r="N76" s="161"/>
      <c r="O76" s="92" t="str">
        <f>IF(OR($A76="",$D76="",N76=""),"",SUMIFS(OBJECTIFS!F$9:F$39,OBJECTIFS!$A$9:$A$39,$D76,OBJECTIFS!$C$9:$C$39,$F76))</f>
        <v/>
      </c>
      <c r="P76" s="90" t="str">
        <f>IF(OR(AND($D76=OBJECTIFS!$B$6,OBJECTIFS!$F$8="dmt"),AND($D76=OBJECTIFS!$B$13,OBJECTIFS!$F$15="dmt"),AND($D76=OBJECTIFS!$B$20,OBJECTIFS!$F$22="dmt"),AND($D76=OBJECTIFS!$B$27,OBJECTIFS!$F$29="dmt"),AND($D76=OBJECTIFS!$B$34,OBJECTIFS!$F$36="dmt"),AND($D76=OBJECTIFS!$B$6,OBJECTIFS!$F$8="taux de chute"),AND($D76=OBJECTIFS!$B$13,OBJECTIFS!$F$15="taux de chute"),AND($D76=OBJECTIFS!$B$20,OBJECTIFS!$F$22="taux de chute"),AND($D76=OBJECTIFS!$B$27,OBJECTIFS!$F$29="taux de chute"),AND($D76=OBJECTIFS!$B$34,OBJECTIFS!$F$36="taux de chute")),IFERROR(O76/N76,""),IFERROR(N76/O76,""))</f>
        <v/>
      </c>
      <c r="Q76" s="91">
        <f>IFERROR(IF(OR(N76="",O76="",P76=""),0,IF(P76&lt;OBJECTIFS!$E$56,0,IF(P76&lt;OBJECTIFS!$G$56,Q$8*OBJECTIFS!$F$60,IF(P76&lt;OBJECTIFS!$I$56,Q$8*OBJECTIFS!$H$60,Q$8)))),0)</f>
        <v>0</v>
      </c>
      <c r="R76" s="164"/>
      <c r="S76" s="93" t="str">
        <f>IF(OR($A76="",$D76="",R76=""),"",SUMIFS(OBJECTIFS!G$9:G$39,OBJECTIFS!$A$9:$A$39,$D76,OBJECTIFS!$C$9:$C$39,$F76))</f>
        <v/>
      </c>
      <c r="T76" s="90" t="str">
        <f>IF(OR(AND($D76=OBJECTIFS!$B$6,OBJECTIFS!G$8="dmt"),AND($D76=OBJECTIFS!$B$13,OBJECTIFS!$G$15="dmt"),AND($D76=OBJECTIFS!$B$20,OBJECTIFS!$G$22="dmt"),AND($D76=OBJECTIFS!$B$27,OBJECTIFS!$G$29="dmt"),AND($D76=OBJECTIFS!$B$34,OBJECTIFS!$G$36="dmt"),AND($D76=OBJECTIFS!$B$6,OBJECTIFS!$G$8="taux de chute"),AND($D76=OBJECTIFS!$B$13,OBJECTIFS!$G$15="taux de chute"),AND($D76=OBJECTIFS!$B$20,OBJECTIFS!$G$22="taux de chute"),AND($D76=OBJECTIFS!$B$27,OBJECTIFS!$G$29="taux de chute"),AND($D76=OBJECTIFS!$B$34,OBJECTIFS!$G$36="taux de chute")),IFERROR(S76/R76,""),IFERROR(R76/S76,""))</f>
        <v/>
      </c>
      <c r="U76" s="94">
        <f>IFERROR(IF(OR(R76="",S76="",T76=""),0,IF(T76&lt;OBJECTIFS!$E$56,0,IF(T76&lt;OBJECTIFS!$G$56,U$8*OBJECTIFS!$F$60,IF(T76&lt;OBJECTIFS!$I$56,U$8*OBJECTIFS!$H$60,U$8)))),0)</f>
        <v>0</v>
      </c>
      <c r="V76" s="25"/>
      <c r="W76" s="90" t="str">
        <f>IF(OR($A76="",$D76="",V76=""),"",SUMIFS(OBJECTIFS!H$9:H$39,OBJECTIFS!$A$9:$A$39,$D76,OBJECTIFS!$C$9:$C$39,$F76))</f>
        <v/>
      </c>
      <c r="X76" s="90" t="str">
        <f>IF(OR(AND($D76=OBJECTIFS!$B$6,OBJECTIFS!H$8="dmt"),AND($D76=OBJECTIFS!$B$13,OBJECTIFS!$H$15="dmt"),AND($D76=OBJECTIFS!$B$20,OBJECTIFS!$H$22="dmt"),AND($D76=OBJECTIFS!$B$27,OBJECTIFS!$H$29="dmt"),AND($D76=OBJECTIFS!$B$34,OBJECTIFS!$H$36="dmt"),AND($D76=OBJECTIFS!$B$6,OBJECTIFS!$H$8="taux de chute"),AND($D76=OBJECTIFS!$B$13,OBJECTIFS!$H$15="taux de chute"),AND($D76=OBJECTIFS!$B$20,OBJECTIFS!$H$22="taux de chute"),AND($D76=OBJECTIFS!$B$27,OBJECTIFS!$H$29="taux de chute"),AND($D76=OBJECTIFS!$B$34,OBJECTIFS!$H$36="taux de chute")),IFERROR(W76/V76,""),IFERROR(V76/W76,""))</f>
        <v/>
      </c>
      <c r="Y76" s="91">
        <f>IFERROR(IF(OR(V76="",W76="",X76=""),0,IF(X76&lt;OBJECTIFS!$E$56,0,IF(X76&lt;OBJECTIFS!$G$56,Y$8*OBJECTIFS!$F$60,IF(X76&lt;OBJECTIFS!$I$56,Y$8*OBJECTIFS!$H$60,Y$8)))),0)</f>
        <v>0</v>
      </c>
      <c r="Z76" s="167"/>
      <c r="AA76" s="90" t="str">
        <f>IF(OR($A76="",$D76="",Z76=""),"",SUMIFS(OBJECTIFS!I$9:I$39,OBJECTIFS!$A$9:$A$39,$D76,OBJECTIFS!$C$9:$C$39,$F76))</f>
        <v/>
      </c>
      <c r="AB76" s="90" t="str">
        <f>IF(OR(AND($D76=OBJECTIFS!$B$6,OBJECTIFS!I$8="dmt"),AND($D76=OBJECTIFS!$B$13,OBJECTIFS!$I$15="dmt"),AND($D76=OBJECTIFS!$B$20,OBJECTIFS!$I$22="dmt"),AND($D76=OBJECTIFS!$B$27,OBJECTIFS!$I$29="dmt"),AND($D76=OBJECTIFS!$B$34,OBJECTIFS!$I$36="dmt"),AND($D76=OBJECTIFS!$B$6,OBJECTIFS!$I$8="taux de chute"),AND($D76=OBJECTIFS!$B$13,OBJECTIFS!$I$15="taux de chute"),AND($D76=OBJECTIFS!$B$20,OBJECTIFS!$I$22="taux de chute"),AND($D76=OBJECTIFS!$B$27,OBJECTIFS!$I$29="taux de chute"),AND($D76=OBJECTIFS!$B$34,OBJECTIFS!$I$36="taux de chute")),IFERROR(AA76/Z76,""),IFERROR(Z76/AA76,""))</f>
        <v/>
      </c>
      <c r="AC76" s="95">
        <f>IFERROR(IF(OR(Z76="",AA76="",AB76=""),0,IF(AB76&lt;OBJECTIFS!$E$56,0,IF(AB76&lt;OBJECTIFS!$G$56,AC$8*OBJECTIFS!$F$60,IF(AB76&lt;OBJECTIFS!$I$56,AC$8*OBJECTIFS!$H$60,AC$8)))),0)</f>
        <v>0</v>
      </c>
      <c r="AD76" s="186"/>
      <c r="AE76" s="187"/>
      <c r="AF76" s="96">
        <f t="shared" ca="1" si="11"/>
        <v>0</v>
      </c>
      <c r="AG76" s="63"/>
      <c r="AH76" s="186"/>
      <c r="AI76" s="24"/>
      <c r="AJ76" s="24"/>
      <c r="AK76" s="24"/>
      <c r="AL76" s="24"/>
      <c r="AM76" s="79">
        <f t="shared" si="12"/>
        <v>0</v>
      </c>
      <c r="AN76" s="79">
        <v>22</v>
      </c>
      <c r="AO76" s="80">
        <f t="shared" si="13"/>
        <v>0</v>
      </c>
      <c r="AP76" s="81" t="str">
        <f t="shared" ca="1" si="14"/>
        <v/>
      </c>
      <c r="AQ76" s="82"/>
      <c r="AR76" s="97">
        <f>IFERROR(VLOOKUP(B76,OBJECTIFS!$C$76:$E$137,2,FALSE),0)</f>
        <v>0</v>
      </c>
      <c r="AS76" s="98">
        <f>IFERROR(VLOOKUP(B76,OBJECTIFS!$H$76:$J$137,2,FALSE),0)</f>
        <v>0</v>
      </c>
      <c r="AT76" s="98">
        <f>IFERROR(VLOOKUP(B76,OBJECTIFS!$C$142:$E$203,2,FALSE),0)</f>
        <v>0</v>
      </c>
      <c r="AU76" s="98">
        <f>IFERROR(VLOOKUP(B76,OBJECTIFS!$H$142:$J$203,2,FALSE),0)</f>
        <v>0</v>
      </c>
      <c r="AV76" s="98">
        <f>IFERROR(VLOOKUP(B76,OBJECTIFS!$F$208:$H$269,3,FALSE),0)</f>
        <v>0</v>
      </c>
      <c r="AW76" s="81">
        <f t="shared" si="15"/>
        <v>0</v>
      </c>
      <c r="AX76" s="82"/>
      <c r="AY76" s="99" t="str">
        <f t="shared" ca="1" si="16"/>
        <v/>
      </c>
      <c r="AZ76" s="63"/>
      <c r="BA76" s="100">
        <f t="shared" ca="1" si="17"/>
        <v>0</v>
      </c>
      <c r="BB76" s="64" t="str">
        <f t="shared" ca="1" si="18"/>
        <v/>
      </c>
      <c r="BC76" s="101" t="str">
        <f t="shared" ca="1" si="19"/>
        <v/>
      </c>
    </row>
    <row r="77" spans="1:55" x14ac:dyDescent="0.2">
      <c r="A77" s="21"/>
      <c r="B77" s="22"/>
      <c r="C77" s="22"/>
      <c r="D77" s="23"/>
      <c r="E77" s="24"/>
      <c r="F77" s="34"/>
      <c r="H77" s="89" t="str">
        <f>IF(OR(D77="",F77="",A77=""),"",IF(E77="oui",0,IF(D77=OBJECTIFS!$C$45,VLOOKUP(F77,OBJECTIFS!$C$9:$D$11,2,FALSE),IF(D77=OBJECTIFS!$C$46,VLOOKUP(F77,OBJECTIFS!$C$16:$D$18,2,FALSE),IF(D77=OBJECTIFS!$C$47,VLOOKUP(F77,OBJECTIFS!$C$23:$D$25,2,FALSE),IF(D77=OBJECTIFS!$C$48,VLOOKUP(F77,OBJECTIFS!$C$30:$D$32,2,FALSE),IF(D77=OBJECTIFS!$C$49,VLOOKUP(F77,OBJECTIFS!$C$37:$D$39,2,FALSE))))))))</f>
        <v/>
      </c>
      <c r="J77" s="25"/>
      <c r="K77" s="90" t="str">
        <f>IF(OR($A77="",$D77="",J77=""),"",SUMIFS(OBJECTIFS!E$9:E$39,OBJECTIFS!$A$9:$A$39,$D77,OBJECTIFS!$C$9:$C$39,$F77))</f>
        <v/>
      </c>
      <c r="L77" s="90" t="str">
        <f>IF(OR(AND($D77=OBJECTIFS!$B$6,OBJECTIFS!E$8="dmt"),AND($D77=OBJECTIFS!$B$13,OBJECTIFS!$E$15="dmt"),AND($D77=OBJECTIFS!$B$20,OBJECTIFS!$E$22="dmt"),AND($D77=OBJECTIFS!$B$27,OBJECTIFS!$E$29="dmt"),AND($D77=OBJECTIFS!$B$34,OBJECTIFS!$E$36="dmt"),AND($D77=OBJECTIFS!$B$6,OBJECTIFS!$E$8="taux de chute"),AND($D77=OBJECTIFS!$B$13,OBJECTIFS!$E$15="taux de chute"),AND($D77=OBJECTIFS!$B$20,OBJECTIFS!$E$22="taux de chute"),AND($D77=OBJECTIFS!$B$27,OBJECTIFS!$E$29="taux de chute"),AND($D77=OBJECTIFS!$B$34,OBJECTIFS!$E$36="taux de chute")),IFERROR(K77/J77,""),IFERROR(J77/K77,""))</f>
        <v/>
      </c>
      <c r="M77" s="91">
        <f>IFERROR(IF(OR(J77="",K77="",L77=""),0,IF(L77&lt;OBJECTIFS!$E$56,0,IF(L77&lt;OBJECTIFS!$G$56,M$8*OBJECTIFS!$F$60,IF(L77&lt;OBJECTIFS!$I$56,M$8*OBJECTIFS!$H$60,M$8)))),0)</f>
        <v>0</v>
      </c>
      <c r="N77" s="161"/>
      <c r="O77" s="92" t="str">
        <f>IF(OR($A77="",$D77="",N77=""),"",SUMIFS(OBJECTIFS!F$9:F$39,OBJECTIFS!$A$9:$A$39,$D77,OBJECTIFS!$C$9:$C$39,$F77))</f>
        <v/>
      </c>
      <c r="P77" s="90" t="str">
        <f>IF(OR(AND($D77=OBJECTIFS!$B$6,OBJECTIFS!$F$8="dmt"),AND($D77=OBJECTIFS!$B$13,OBJECTIFS!$F$15="dmt"),AND($D77=OBJECTIFS!$B$20,OBJECTIFS!$F$22="dmt"),AND($D77=OBJECTIFS!$B$27,OBJECTIFS!$F$29="dmt"),AND($D77=OBJECTIFS!$B$34,OBJECTIFS!$F$36="dmt"),AND($D77=OBJECTIFS!$B$6,OBJECTIFS!$F$8="taux de chute"),AND($D77=OBJECTIFS!$B$13,OBJECTIFS!$F$15="taux de chute"),AND($D77=OBJECTIFS!$B$20,OBJECTIFS!$F$22="taux de chute"),AND($D77=OBJECTIFS!$B$27,OBJECTIFS!$F$29="taux de chute"),AND($D77=OBJECTIFS!$B$34,OBJECTIFS!$F$36="taux de chute")),IFERROR(O77/N77,""),IFERROR(N77/O77,""))</f>
        <v/>
      </c>
      <c r="Q77" s="91">
        <f>IFERROR(IF(OR(N77="",O77="",P77=""),0,IF(P77&lt;OBJECTIFS!$E$56,0,IF(P77&lt;OBJECTIFS!$G$56,Q$8*OBJECTIFS!$F$60,IF(P77&lt;OBJECTIFS!$I$56,Q$8*OBJECTIFS!$H$60,Q$8)))),0)</f>
        <v>0</v>
      </c>
      <c r="R77" s="164"/>
      <c r="S77" s="93" t="str">
        <f>IF(OR($A77="",$D77="",R77=""),"",SUMIFS(OBJECTIFS!G$9:G$39,OBJECTIFS!$A$9:$A$39,$D77,OBJECTIFS!$C$9:$C$39,$F77))</f>
        <v/>
      </c>
      <c r="T77" s="90" t="str">
        <f>IF(OR(AND($D77=OBJECTIFS!$B$6,OBJECTIFS!G$8="dmt"),AND($D77=OBJECTIFS!$B$13,OBJECTIFS!$G$15="dmt"),AND($D77=OBJECTIFS!$B$20,OBJECTIFS!$G$22="dmt"),AND($D77=OBJECTIFS!$B$27,OBJECTIFS!$G$29="dmt"),AND($D77=OBJECTIFS!$B$34,OBJECTIFS!$G$36="dmt"),AND($D77=OBJECTIFS!$B$6,OBJECTIFS!$G$8="taux de chute"),AND($D77=OBJECTIFS!$B$13,OBJECTIFS!$G$15="taux de chute"),AND($D77=OBJECTIFS!$B$20,OBJECTIFS!$G$22="taux de chute"),AND($D77=OBJECTIFS!$B$27,OBJECTIFS!$G$29="taux de chute"),AND($D77=OBJECTIFS!$B$34,OBJECTIFS!$G$36="taux de chute")),IFERROR(S77/R77,""),IFERROR(R77/S77,""))</f>
        <v/>
      </c>
      <c r="U77" s="94">
        <f>IFERROR(IF(OR(R77="",S77="",T77=""),0,IF(T77&lt;OBJECTIFS!$E$56,0,IF(T77&lt;OBJECTIFS!$G$56,U$8*OBJECTIFS!$F$60,IF(T77&lt;OBJECTIFS!$I$56,U$8*OBJECTIFS!$H$60,U$8)))),0)</f>
        <v>0</v>
      </c>
      <c r="V77" s="25"/>
      <c r="W77" s="90" t="str">
        <f>IF(OR($A77="",$D77="",V77=""),"",SUMIFS(OBJECTIFS!H$9:H$39,OBJECTIFS!$A$9:$A$39,$D77,OBJECTIFS!$C$9:$C$39,$F77))</f>
        <v/>
      </c>
      <c r="X77" s="90" t="str">
        <f>IF(OR(AND($D77=OBJECTIFS!$B$6,OBJECTIFS!H$8="dmt"),AND($D77=OBJECTIFS!$B$13,OBJECTIFS!$H$15="dmt"),AND($D77=OBJECTIFS!$B$20,OBJECTIFS!$H$22="dmt"),AND($D77=OBJECTIFS!$B$27,OBJECTIFS!$H$29="dmt"),AND($D77=OBJECTIFS!$B$34,OBJECTIFS!$H$36="dmt"),AND($D77=OBJECTIFS!$B$6,OBJECTIFS!$H$8="taux de chute"),AND($D77=OBJECTIFS!$B$13,OBJECTIFS!$H$15="taux de chute"),AND($D77=OBJECTIFS!$B$20,OBJECTIFS!$H$22="taux de chute"),AND($D77=OBJECTIFS!$B$27,OBJECTIFS!$H$29="taux de chute"),AND($D77=OBJECTIFS!$B$34,OBJECTIFS!$H$36="taux de chute")),IFERROR(W77/V77,""),IFERROR(V77/W77,""))</f>
        <v/>
      </c>
      <c r="Y77" s="91">
        <f>IFERROR(IF(OR(V77="",W77="",X77=""),0,IF(X77&lt;OBJECTIFS!$E$56,0,IF(X77&lt;OBJECTIFS!$G$56,Y$8*OBJECTIFS!$F$60,IF(X77&lt;OBJECTIFS!$I$56,Y$8*OBJECTIFS!$H$60,Y$8)))),0)</f>
        <v>0</v>
      </c>
      <c r="Z77" s="167"/>
      <c r="AA77" s="90" t="str">
        <f>IF(OR($A77="",$D77="",Z77=""),"",SUMIFS(OBJECTIFS!I$9:I$39,OBJECTIFS!$A$9:$A$39,$D77,OBJECTIFS!$C$9:$C$39,$F77))</f>
        <v/>
      </c>
      <c r="AB77" s="90" t="str">
        <f>IF(OR(AND($D77=OBJECTIFS!$B$6,OBJECTIFS!I$8="dmt"),AND($D77=OBJECTIFS!$B$13,OBJECTIFS!$I$15="dmt"),AND($D77=OBJECTIFS!$B$20,OBJECTIFS!$I$22="dmt"),AND($D77=OBJECTIFS!$B$27,OBJECTIFS!$I$29="dmt"),AND($D77=OBJECTIFS!$B$34,OBJECTIFS!$I$36="dmt"),AND($D77=OBJECTIFS!$B$6,OBJECTIFS!$I$8="taux de chute"),AND($D77=OBJECTIFS!$B$13,OBJECTIFS!$I$15="taux de chute"),AND($D77=OBJECTIFS!$B$20,OBJECTIFS!$I$22="taux de chute"),AND($D77=OBJECTIFS!$B$27,OBJECTIFS!$I$29="taux de chute"),AND($D77=OBJECTIFS!$B$34,OBJECTIFS!$I$36="taux de chute")),IFERROR(AA77/Z77,""),IFERROR(Z77/AA77,""))</f>
        <v/>
      </c>
      <c r="AC77" s="95">
        <f>IFERROR(IF(OR(Z77="",AA77="",AB77=""),0,IF(AB77&lt;OBJECTIFS!$E$56,0,IF(AB77&lt;OBJECTIFS!$G$56,AC$8*OBJECTIFS!$F$60,IF(AB77&lt;OBJECTIFS!$I$56,AC$8*OBJECTIFS!$H$60,AC$8)))),0)</f>
        <v>0</v>
      </c>
      <c r="AD77" s="186"/>
      <c r="AE77" s="187"/>
      <c r="AF77" s="96">
        <f t="shared" ref="AF77:AF114" ca="1" si="20">IF(AD77&gt;=1,0,SUMIF($J$7:$AC$8,"Nb de points",$J77:$AC77))</f>
        <v>0</v>
      </c>
      <c r="AG77" s="63"/>
      <c r="AH77" s="186"/>
      <c r="AI77" s="24"/>
      <c r="AJ77" s="24"/>
      <c r="AK77" s="24"/>
      <c r="AL77" s="24"/>
      <c r="AM77" s="79">
        <f t="shared" ref="AM77:AM114" si="21">SUM(AK77:AL77,AI77)</f>
        <v>0</v>
      </c>
      <c r="AN77" s="79">
        <v>22</v>
      </c>
      <c r="AO77" s="80">
        <f t="shared" ref="AO77:AO114" si="22">IFERROR(IF(IF(OR(AI77&gt;=2,AJ77&gt;=8,AND(AI77=1,AJ77&gt;=4)),0,IF(OR(AND(AI77=1,AJ77&lt;4),AND(AI77=0,AJ77&gt;=4,AJ77&lt;8)),50%,100%))*(AN77-AM77)/AN77=0,-100%,IF(OR(AI77&gt;=2,AJ77&gt;=8,AND(AI77=1,AJ77&gt;=4)),0,IF(OR(AND(AI77=1,AJ77&lt;4),AND(AI77=0,AJ77&gt;=4,AJ77&lt;8)),50%,100%))*(AN77-AM77)/AN77-1),"")</f>
        <v>0</v>
      </c>
      <c r="AP77" s="81" t="str">
        <f t="shared" ref="AP77:AP114" ca="1" si="23">IFERROR((H77*AF77/100)*(1+AO77),"")</f>
        <v/>
      </c>
      <c r="AQ77" s="82"/>
      <c r="AR77" s="97">
        <f>IFERROR(VLOOKUP(B77,OBJECTIFS!$C$76:$E$137,2,FALSE),0)</f>
        <v>0</v>
      </c>
      <c r="AS77" s="98">
        <f>IFERROR(VLOOKUP(B77,OBJECTIFS!$H$76:$J$137,2,FALSE),0)</f>
        <v>0</v>
      </c>
      <c r="AT77" s="98">
        <f>IFERROR(VLOOKUP(B77,OBJECTIFS!$C$142:$E$203,2,FALSE),0)</f>
        <v>0</v>
      </c>
      <c r="AU77" s="98">
        <f>IFERROR(VLOOKUP(B77,OBJECTIFS!$H$142:$J$203,2,FALSE),0)</f>
        <v>0</v>
      </c>
      <c r="AV77" s="98">
        <f>IFERROR(VLOOKUP(B77,OBJECTIFS!$F$208:$H$269,3,FALSE),0)</f>
        <v>0</v>
      </c>
      <c r="AW77" s="81">
        <f t="shared" ref="AW77:AW114" si="24">IF($B$5="interne",IF($AR$6="prime de langue",IF(AH77&gt;=191,SUM(AS77:AV77,AR77/191*191),SUM(AS77:AV77,AR77/191*AH77)),IF($AS$6="prime de langue",IF(AH77&gt;=191,SUM(AR77,AT77,AU77,AV77,AS77/191*191),SUM(AR77,AT77,AU77,AV77,AS77/191*AH77)),IF($AT$6="prime de langue",IF(AH77&gt;=191,SUM(AR77,AS77,AU77,AV77,AT77/191*191),SUM(AR77,AS77,AU77,AV77,AT77/191*AH77)),IF($AU$6="prime de langue",IF(AH77&gt;=191,SUM(AR77,AT77,AV77,AS77,AU77/191*191),SUM(AR77,AT77,AV77,AS77,AU77/191*AH77)),SUM(AR77:AV77))))),IF($AR$6="prime de langue",IF(AH77&gt;=176,SUM(AS77:AV77,AR77/176*176),SUM(AS77:AV77,AR77/176*AH77)),IF($AS$6="prime de langue",IF(AH77&gt;=176,SUM(AR77,AT77,AU77,AV77,AS77/176*176),SUM(AR77,AT77,AU77,AV77,AS77/176*AH77)),IF($AT$6="prime de langue",IF(AH77&gt;=176,SUM(AR77,AS77,AU77,AV77,AT77/176*176),SUM(AR77,AS77,AU77,AV77,AT77/176*AH77)),IF($AU$6="prime de langue",IF(AH77&gt;=176,SUM(AR77,AT77,AV77,AS77,AU77/176*176),SUM(AR77,AT77,AV77,AS77,AU77/176*AH77)),SUM(AR77:AV77))))))</f>
        <v>0</v>
      </c>
      <c r="AX77" s="82"/>
      <c r="AY77" s="99" t="str">
        <f t="shared" ref="AY77:AY114" ca="1" si="25">IFERROR(((H77*AF77/100)*(1+AO77)+AW77),"")</f>
        <v/>
      </c>
      <c r="AZ77" s="63"/>
      <c r="BA77" s="100">
        <f t="shared" ref="BA77:BA114" ca="1" si="26">IFERROR(IF(OR(AI77&gt;=2,AJ77&gt;=8,AND(AI77=1,AJ77&gt;=4)),0,IF(OR(AND(AI77=1,AJ77&lt;4),AND(AI77=0,AJ77&gt;=4,AJ77&lt;8)),0.5,1))*AF77*(AN77-AM77)/AN77,"")</f>
        <v>0</v>
      </c>
      <c r="BB77" s="64" t="str">
        <f t="shared" ref="BB77:BB114" ca="1" si="27">IF(BC77="","","è")</f>
        <v/>
      </c>
      <c r="BC77" s="101" t="str">
        <f t="shared" ref="BC77:BC114" ca="1" si="28">IF(BA77=0,"",IF(BA77&gt;=MAX($BA$9:$BA$216),A77,""))</f>
        <v/>
      </c>
    </row>
    <row r="78" spans="1:55" x14ac:dyDescent="0.2">
      <c r="A78" s="21"/>
      <c r="B78" s="22"/>
      <c r="C78" s="22"/>
      <c r="D78" s="23"/>
      <c r="E78" s="24"/>
      <c r="F78" s="34"/>
      <c r="H78" s="89" t="str">
        <f>IF(OR(D78="",F78="",A78=""),"",IF(E78="oui",0,IF(D78=OBJECTIFS!$C$45,VLOOKUP(F78,OBJECTIFS!$C$9:$D$11,2,FALSE),IF(D78=OBJECTIFS!$C$46,VLOOKUP(F78,OBJECTIFS!$C$16:$D$18,2,FALSE),IF(D78=OBJECTIFS!$C$47,VLOOKUP(F78,OBJECTIFS!$C$23:$D$25,2,FALSE),IF(D78=OBJECTIFS!$C$48,VLOOKUP(F78,OBJECTIFS!$C$30:$D$32,2,FALSE),IF(D78=OBJECTIFS!$C$49,VLOOKUP(F78,OBJECTIFS!$C$37:$D$39,2,FALSE))))))))</f>
        <v/>
      </c>
      <c r="J78" s="25"/>
      <c r="K78" s="90" t="str">
        <f>IF(OR($A78="",$D78="",J78=""),"",SUMIFS(OBJECTIFS!E$9:E$39,OBJECTIFS!$A$9:$A$39,$D78,OBJECTIFS!$C$9:$C$39,$F78))</f>
        <v/>
      </c>
      <c r="L78" s="90" t="str">
        <f>IF(OR(AND($D78=OBJECTIFS!$B$6,OBJECTIFS!E$8="dmt"),AND($D78=OBJECTIFS!$B$13,OBJECTIFS!$E$15="dmt"),AND($D78=OBJECTIFS!$B$20,OBJECTIFS!$E$22="dmt"),AND($D78=OBJECTIFS!$B$27,OBJECTIFS!$E$29="dmt"),AND($D78=OBJECTIFS!$B$34,OBJECTIFS!$E$36="dmt"),AND($D78=OBJECTIFS!$B$6,OBJECTIFS!$E$8="taux de chute"),AND($D78=OBJECTIFS!$B$13,OBJECTIFS!$E$15="taux de chute"),AND($D78=OBJECTIFS!$B$20,OBJECTIFS!$E$22="taux de chute"),AND($D78=OBJECTIFS!$B$27,OBJECTIFS!$E$29="taux de chute"),AND($D78=OBJECTIFS!$B$34,OBJECTIFS!$E$36="taux de chute")),IFERROR(K78/J78,""),IFERROR(J78/K78,""))</f>
        <v/>
      </c>
      <c r="M78" s="91">
        <f>IFERROR(IF(OR(J78="",K78="",L78=""),0,IF(L78&lt;OBJECTIFS!$E$56,0,IF(L78&lt;OBJECTIFS!$G$56,M$8*OBJECTIFS!$F$60,IF(L78&lt;OBJECTIFS!$I$56,M$8*OBJECTIFS!$H$60,M$8)))),0)</f>
        <v>0</v>
      </c>
      <c r="N78" s="161"/>
      <c r="O78" s="92" t="str">
        <f>IF(OR($A78="",$D78="",N78=""),"",SUMIFS(OBJECTIFS!F$9:F$39,OBJECTIFS!$A$9:$A$39,$D78,OBJECTIFS!$C$9:$C$39,$F78))</f>
        <v/>
      </c>
      <c r="P78" s="90" t="str">
        <f>IF(OR(AND($D78=OBJECTIFS!$B$6,OBJECTIFS!$F$8="dmt"),AND($D78=OBJECTIFS!$B$13,OBJECTIFS!$F$15="dmt"),AND($D78=OBJECTIFS!$B$20,OBJECTIFS!$F$22="dmt"),AND($D78=OBJECTIFS!$B$27,OBJECTIFS!$F$29="dmt"),AND($D78=OBJECTIFS!$B$34,OBJECTIFS!$F$36="dmt"),AND($D78=OBJECTIFS!$B$6,OBJECTIFS!$F$8="taux de chute"),AND($D78=OBJECTIFS!$B$13,OBJECTIFS!$F$15="taux de chute"),AND($D78=OBJECTIFS!$B$20,OBJECTIFS!$F$22="taux de chute"),AND($D78=OBJECTIFS!$B$27,OBJECTIFS!$F$29="taux de chute"),AND($D78=OBJECTIFS!$B$34,OBJECTIFS!$F$36="taux de chute")),IFERROR(O78/N78,""),IFERROR(N78/O78,""))</f>
        <v/>
      </c>
      <c r="Q78" s="91">
        <f>IFERROR(IF(OR(N78="",O78="",P78=""),0,IF(P78&lt;OBJECTIFS!$E$56,0,IF(P78&lt;OBJECTIFS!$G$56,Q$8*OBJECTIFS!$F$60,IF(P78&lt;OBJECTIFS!$I$56,Q$8*OBJECTIFS!$H$60,Q$8)))),0)</f>
        <v>0</v>
      </c>
      <c r="R78" s="164"/>
      <c r="S78" s="93" t="str">
        <f>IF(OR($A78="",$D78="",R78=""),"",SUMIFS(OBJECTIFS!G$9:G$39,OBJECTIFS!$A$9:$A$39,$D78,OBJECTIFS!$C$9:$C$39,$F78))</f>
        <v/>
      </c>
      <c r="T78" s="90" t="str">
        <f>IF(OR(AND($D78=OBJECTIFS!$B$6,OBJECTIFS!G$8="dmt"),AND($D78=OBJECTIFS!$B$13,OBJECTIFS!$G$15="dmt"),AND($D78=OBJECTIFS!$B$20,OBJECTIFS!$G$22="dmt"),AND($D78=OBJECTIFS!$B$27,OBJECTIFS!$G$29="dmt"),AND($D78=OBJECTIFS!$B$34,OBJECTIFS!$G$36="dmt"),AND($D78=OBJECTIFS!$B$6,OBJECTIFS!$G$8="taux de chute"),AND($D78=OBJECTIFS!$B$13,OBJECTIFS!$G$15="taux de chute"),AND($D78=OBJECTIFS!$B$20,OBJECTIFS!$G$22="taux de chute"),AND($D78=OBJECTIFS!$B$27,OBJECTIFS!$G$29="taux de chute"),AND($D78=OBJECTIFS!$B$34,OBJECTIFS!$G$36="taux de chute")),IFERROR(S78/R78,""),IFERROR(R78/S78,""))</f>
        <v/>
      </c>
      <c r="U78" s="94">
        <f>IFERROR(IF(OR(R78="",S78="",T78=""),0,IF(T78&lt;OBJECTIFS!$E$56,0,IF(T78&lt;OBJECTIFS!$G$56,U$8*OBJECTIFS!$F$60,IF(T78&lt;OBJECTIFS!$I$56,U$8*OBJECTIFS!$H$60,U$8)))),0)</f>
        <v>0</v>
      </c>
      <c r="V78" s="25"/>
      <c r="W78" s="90" t="str">
        <f>IF(OR($A78="",$D78="",V78=""),"",SUMIFS(OBJECTIFS!H$9:H$39,OBJECTIFS!$A$9:$A$39,$D78,OBJECTIFS!$C$9:$C$39,$F78))</f>
        <v/>
      </c>
      <c r="X78" s="90" t="str">
        <f>IF(OR(AND($D78=OBJECTIFS!$B$6,OBJECTIFS!H$8="dmt"),AND($D78=OBJECTIFS!$B$13,OBJECTIFS!$H$15="dmt"),AND($D78=OBJECTIFS!$B$20,OBJECTIFS!$H$22="dmt"),AND($D78=OBJECTIFS!$B$27,OBJECTIFS!$H$29="dmt"),AND($D78=OBJECTIFS!$B$34,OBJECTIFS!$H$36="dmt"),AND($D78=OBJECTIFS!$B$6,OBJECTIFS!$H$8="taux de chute"),AND($D78=OBJECTIFS!$B$13,OBJECTIFS!$H$15="taux de chute"),AND($D78=OBJECTIFS!$B$20,OBJECTIFS!$H$22="taux de chute"),AND($D78=OBJECTIFS!$B$27,OBJECTIFS!$H$29="taux de chute"),AND($D78=OBJECTIFS!$B$34,OBJECTIFS!$H$36="taux de chute")),IFERROR(W78/V78,""),IFERROR(V78/W78,""))</f>
        <v/>
      </c>
      <c r="Y78" s="91">
        <f>IFERROR(IF(OR(V78="",W78="",X78=""),0,IF(X78&lt;OBJECTIFS!$E$56,0,IF(X78&lt;OBJECTIFS!$G$56,Y$8*OBJECTIFS!$F$60,IF(X78&lt;OBJECTIFS!$I$56,Y$8*OBJECTIFS!$H$60,Y$8)))),0)</f>
        <v>0</v>
      </c>
      <c r="Z78" s="167"/>
      <c r="AA78" s="90" t="str">
        <f>IF(OR($A78="",$D78="",Z78=""),"",SUMIFS(OBJECTIFS!I$9:I$39,OBJECTIFS!$A$9:$A$39,$D78,OBJECTIFS!$C$9:$C$39,$F78))</f>
        <v/>
      </c>
      <c r="AB78" s="90" t="str">
        <f>IF(OR(AND($D78=OBJECTIFS!$B$6,OBJECTIFS!I$8="dmt"),AND($D78=OBJECTIFS!$B$13,OBJECTIFS!$I$15="dmt"),AND($D78=OBJECTIFS!$B$20,OBJECTIFS!$I$22="dmt"),AND($D78=OBJECTIFS!$B$27,OBJECTIFS!$I$29="dmt"),AND($D78=OBJECTIFS!$B$34,OBJECTIFS!$I$36="dmt"),AND($D78=OBJECTIFS!$B$6,OBJECTIFS!$I$8="taux de chute"),AND($D78=OBJECTIFS!$B$13,OBJECTIFS!$I$15="taux de chute"),AND($D78=OBJECTIFS!$B$20,OBJECTIFS!$I$22="taux de chute"),AND($D78=OBJECTIFS!$B$27,OBJECTIFS!$I$29="taux de chute"),AND($D78=OBJECTIFS!$B$34,OBJECTIFS!$I$36="taux de chute")),IFERROR(AA78/Z78,""),IFERROR(Z78/AA78,""))</f>
        <v/>
      </c>
      <c r="AC78" s="95">
        <f>IFERROR(IF(OR(Z78="",AA78="",AB78=""),0,IF(AB78&lt;OBJECTIFS!$E$56,0,IF(AB78&lt;OBJECTIFS!$G$56,AC$8*OBJECTIFS!$F$60,IF(AB78&lt;OBJECTIFS!$I$56,AC$8*OBJECTIFS!$H$60,AC$8)))),0)</f>
        <v>0</v>
      </c>
      <c r="AD78" s="186"/>
      <c r="AE78" s="187"/>
      <c r="AF78" s="96">
        <f t="shared" ca="1" si="20"/>
        <v>0</v>
      </c>
      <c r="AG78" s="63"/>
      <c r="AH78" s="186"/>
      <c r="AI78" s="24"/>
      <c r="AJ78" s="24"/>
      <c r="AK78" s="24"/>
      <c r="AL78" s="24"/>
      <c r="AM78" s="79">
        <f t="shared" si="21"/>
        <v>0</v>
      </c>
      <c r="AN78" s="79">
        <v>22</v>
      </c>
      <c r="AO78" s="80">
        <f t="shared" si="22"/>
        <v>0</v>
      </c>
      <c r="AP78" s="81" t="str">
        <f t="shared" ca="1" si="23"/>
        <v/>
      </c>
      <c r="AQ78" s="82"/>
      <c r="AR78" s="97">
        <f>IFERROR(VLOOKUP(B78,OBJECTIFS!$C$76:$E$137,2,FALSE),0)</f>
        <v>0</v>
      </c>
      <c r="AS78" s="98">
        <f>IFERROR(VLOOKUP(B78,OBJECTIFS!$H$76:$J$137,2,FALSE),0)</f>
        <v>0</v>
      </c>
      <c r="AT78" s="98">
        <f>IFERROR(VLOOKUP(B78,OBJECTIFS!$C$142:$E$203,2,FALSE),0)</f>
        <v>0</v>
      </c>
      <c r="AU78" s="98">
        <f>IFERROR(VLOOKUP(B78,OBJECTIFS!$H$142:$J$203,2,FALSE),0)</f>
        <v>0</v>
      </c>
      <c r="AV78" s="98">
        <f>IFERROR(VLOOKUP(B78,OBJECTIFS!$F$208:$H$269,3,FALSE),0)</f>
        <v>0</v>
      </c>
      <c r="AW78" s="81">
        <f t="shared" si="24"/>
        <v>0</v>
      </c>
      <c r="AX78" s="82"/>
      <c r="AY78" s="99" t="str">
        <f t="shared" ca="1" si="25"/>
        <v/>
      </c>
      <c r="AZ78" s="63"/>
      <c r="BA78" s="100">
        <f t="shared" ca="1" si="26"/>
        <v>0</v>
      </c>
      <c r="BB78" s="64" t="str">
        <f t="shared" ca="1" si="27"/>
        <v/>
      </c>
      <c r="BC78" s="101" t="str">
        <f t="shared" ca="1" si="28"/>
        <v/>
      </c>
    </row>
    <row r="79" spans="1:55" x14ac:dyDescent="0.2">
      <c r="A79" s="21"/>
      <c r="B79" s="22"/>
      <c r="C79" s="22"/>
      <c r="D79" s="23"/>
      <c r="E79" s="24"/>
      <c r="F79" s="34"/>
      <c r="H79" s="89" t="str">
        <f>IF(OR(D79="",F79="",A79=""),"",IF(E79="oui",0,IF(D79=OBJECTIFS!$C$45,VLOOKUP(F79,OBJECTIFS!$C$9:$D$11,2,FALSE),IF(D79=OBJECTIFS!$C$46,VLOOKUP(F79,OBJECTIFS!$C$16:$D$18,2,FALSE),IF(D79=OBJECTIFS!$C$47,VLOOKUP(F79,OBJECTIFS!$C$23:$D$25,2,FALSE),IF(D79=OBJECTIFS!$C$48,VLOOKUP(F79,OBJECTIFS!$C$30:$D$32,2,FALSE),IF(D79=OBJECTIFS!$C$49,VLOOKUP(F79,OBJECTIFS!$C$37:$D$39,2,FALSE))))))))</f>
        <v/>
      </c>
      <c r="J79" s="25"/>
      <c r="K79" s="90" t="str">
        <f>IF(OR($A79="",$D79="",J79=""),"",SUMIFS(OBJECTIFS!E$9:E$39,OBJECTIFS!$A$9:$A$39,$D79,OBJECTIFS!$C$9:$C$39,$F79))</f>
        <v/>
      </c>
      <c r="L79" s="90" t="str">
        <f>IF(OR(AND($D79=OBJECTIFS!$B$6,OBJECTIFS!E$8="dmt"),AND($D79=OBJECTIFS!$B$13,OBJECTIFS!$E$15="dmt"),AND($D79=OBJECTIFS!$B$20,OBJECTIFS!$E$22="dmt"),AND($D79=OBJECTIFS!$B$27,OBJECTIFS!$E$29="dmt"),AND($D79=OBJECTIFS!$B$34,OBJECTIFS!$E$36="dmt"),AND($D79=OBJECTIFS!$B$6,OBJECTIFS!$E$8="taux de chute"),AND($D79=OBJECTIFS!$B$13,OBJECTIFS!$E$15="taux de chute"),AND($D79=OBJECTIFS!$B$20,OBJECTIFS!$E$22="taux de chute"),AND($D79=OBJECTIFS!$B$27,OBJECTIFS!$E$29="taux de chute"),AND($D79=OBJECTIFS!$B$34,OBJECTIFS!$E$36="taux de chute")),IFERROR(K79/J79,""),IFERROR(J79/K79,""))</f>
        <v/>
      </c>
      <c r="M79" s="91">
        <f>IFERROR(IF(OR(J79="",K79="",L79=""),0,IF(L79&lt;OBJECTIFS!$E$56,0,IF(L79&lt;OBJECTIFS!$G$56,M$8*OBJECTIFS!$F$60,IF(L79&lt;OBJECTIFS!$I$56,M$8*OBJECTIFS!$H$60,M$8)))),0)</f>
        <v>0</v>
      </c>
      <c r="N79" s="161"/>
      <c r="O79" s="92" t="str">
        <f>IF(OR($A79="",$D79="",N79=""),"",SUMIFS(OBJECTIFS!F$9:F$39,OBJECTIFS!$A$9:$A$39,$D79,OBJECTIFS!$C$9:$C$39,$F79))</f>
        <v/>
      </c>
      <c r="P79" s="90" t="str">
        <f>IF(OR(AND($D79=OBJECTIFS!$B$6,OBJECTIFS!$F$8="dmt"),AND($D79=OBJECTIFS!$B$13,OBJECTIFS!$F$15="dmt"),AND($D79=OBJECTIFS!$B$20,OBJECTIFS!$F$22="dmt"),AND($D79=OBJECTIFS!$B$27,OBJECTIFS!$F$29="dmt"),AND($D79=OBJECTIFS!$B$34,OBJECTIFS!$F$36="dmt"),AND($D79=OBJECTIFS!$B$6,OBJECTIFS!$F$8="taux de chute"),AND($D79=OBJECTIFS!$B$13,OBJECTIFS!$F$15="taux de chute"),AND($D79=OBJECTIFS!$B$20,OBJECTIFS!$F$22="taux de chute"),AND($D79=OBJECTIFS!$B$27,OBJECTIFS!$F$29="taux de chute"),AND($D79=OBJECTIFS!$B$34,OBJECTIFS!$F$36="taux de chute")),IFERROR(O79/N79,""),IFERROR(N79/O79,""))</f>
        <v/>
      </c>
      <c r="Q79" s="91">
        <f>IFERROR(IF(OR(N79="",O79="",P79=""),0,IF(P79&lt;OBJECTIFS!$E$56,0,IF(P79&lt;OBJECTIFS!$G$56,Q$8*OBJECTIFS!$F$60,IF(P79&lt;OBJECTIFS!$I$56,Q$8*OBJECTIFS!$H$60,Q$8)))),0)</f>
        <v>0</v>
      </c>
      <c r="R79" s="164"/>
      <c r="S79" s="93" t="str">
        <f>IF(OR($A79="",$D79="",R79=""),"",SUMIFS(OBJECTIFS!G$9:G$39,OBJECTIFS!$A$9:$A$39,$D79,OBJECTIFS!$C$9:$C$39,$F79))</f>
        <v/>
      </c>
      <c r="T79" s="90" t="str">
        <f>IF(OR(AND($D79=OBJECTIFS!$B$6,OBJECTIFS!G$8="dmt"),AND($D79=OBJECTIFS!$B$13,OBJECTIFS!$G$15="dmt"),AND($D79=OBJECTIFS!$B$20,OBJECTIFS!$G$22="dmt"),AND($D79=OBJECTIFS!$B$27,OBJECTIFS!$G$29="dmt"),AND($D79=OBJECTIFS!$B$34,OBJECTIFS!$G$36="dmt"),AND($D79=OBJECTIFS!$B$6,OBJECTIFS!$G$8="taux de chute"),AND($D79=OBJECTIFS!$B$13,OBJECTIFS!$G$15="taux de chute"),AND($D79=OBJECTIFS!$B$20,OBJECTIFS!$G$22="taux de chute"),AND($D79=OBJECTIFS!$B$27,OBJECTIFS!$G$29="taux de chute"),AND($D79=OBJECTIFS!$B$34,OBJECTIFS!$G$36="taux de chute")),IFERROR(S79/R79,""),IFERROR(R79/S79,""))</f>
        <v/>
      </c>
      <c r="U79" s="94">
        <f>IFERROR(IF(OR(R79="",S79="",T79=""),0,IF(T79&lt;OBJECTIFS!$E$56,0,IF(T79&lt;OBJECTIFS!$G$56,U$8*OBJECTIFS!$F$60,IF(T79&lt;OBJECTIFS!$I$56,U$8*OBJECTIFS!$H$60,U$8)))),0)</f>
        <v>0</v>
      </c>
      <c r="V79" s="25"/>
      <c r="W79" s="90" t="str">
        <f>IF(OR($A79="",$D79="",V79=""),"",SUMIFS(OBJECTIFS!H$9:H$39,OBJECTIFS!$A$9:$A$39,$D79,OBJECTIFS!$C$9:$C$39,$F79))</f>
        <v/>
      </c>
      <c r="X79" s="90" t="str">
        <f>IF(OR(AND($D79=OBJECTIFS!$B$6,OBJECTIFS!H$8="dmt"),AND($D79=OBJECTIFS!$B$13,OBJECTIFS!$H$15="dmt"),AND($D79=OBJECTIFS!$B$20,OBJECTIFS!$H$22="dmt"),AND($D79=OBJECTIFS!$B$27,OBJECTIFS!$H$29="dmt"),AND($D79=OBJECTIFS!$B$34,OBJECTIFS!$H$36="dmt"),AND($D79=OBJECTIFS!$B$6,OBJECTIFS!$H$8="taux de chute"),AND($D79=OBJECTIFS!$B$13,OBJECTIFS!$H$15="taux de chute"),AND($D79=OBJECTIFS!$B$20,OBJECTIFS!$H$22="taux de chute"),AND($D79=OBJECTIFS!$B$27,OBJECTIFS!$H$29="taux de chute"),AND($D79=OBJECTIFS!$B$34,OBJECTIFS!$H$36="taux de chute")),IFERROR(W79/V79,""),IFERROR(V79/W79,""))</f>
        <v/>
      </c>
      <c r="Y79" s="91">
        <f>IFERROR(IF(OR(V79="",W79="",X79=""),0,IF(X79&lt;OBJECTIFS!$E$56,0,IF(X79&lt;OBJECTIFS!$G$56,Y$8*OBJECTIFS!$F$60,IF(X79&lt;OBJECTIFS!$I$56,Y$8*OBJECTIFS!$H$60,Y$8)))),0)</f>
        <v>0</v>
      </c>
      <c r="Z79" s="167"/>
      <c r="AA79" s="90" t="str">
        <f>IF(OR($A79="",$D79="",Z79=""),"",SUMIFS(OBJECTIFS!I$9:I$39,OBJECTIFS!$A$9:$A$39,$D79,OBJECTIFS!$C$9:$C$39,$F79))</f>
        <v/>
      </c>
      <c r="AB79" s="90" t="str">
        <f>IF(OR(AND($D79=OBJECTIFS!$B$6,OBJECTIFS!I$8="dmt"),AND($D79=OBJECTIFS!$B$13,OBJECTIFS!$I$15="dmt"),AND($D79=OBJECTIFS!$B$20,OBJECTIFS!$I$22="dmt"),AND($D79=OBJECTIFS!$B$27,OBJECTIFS!$I$29="dmt"),AND($D79=OBJECTIFS!$B$34,OBJECTIFS!$I$36="dmt"),AND($D79=OBJECTIFS!$B$6,OBJECTIFS!$I$8="taux de chute"),AND($D79=OBJECTIFS!$B$13,OBJECTIFS!$I$15="taux de chute"),AND($D79=OBJECTIFS!$B$20,OBJECTIFS!$I$22="taux de chute"),AND($D79=OBJECTIFS!$B$27,OBJECTIFS!$I$29="taux de chute"),AND($D79=OBJECTIFS!$B$34,OBJECTIFS!$I$36="taux de chute")),IFERROR(AA79/Z79,""),IFERROR(Z79/AA79,""))</f>
        <v/>
      </c>
      <c r="AC79" s="95">
        <f>IFERROR(IF(OR(Z79="",AA79="",AB79=""),0,IF(AB79&lt;OBJECTIFS!$E$56,0,IF(AB79&lt;OBJECTIFS!$G$56,AC$8*OBJECTIFS!$F$60,IF(AB79&lt;OBJECTIFS!$I$56,AC$8*OBJECTIFS!$H$60,AC$8)))),0)</f>
        <v>0</v>
      </c>
      <c r="AD79" s="186"/>
      <c r="AE79" s="187"/>
      <c r="AF79" s="96">
        <f t="shared" ca="1" si="20"/>
        <v>0</v>
      </c>
      <c r="AG79" s="63"/>
      <c r="AH79" s="186"/>
      <c r="AI79" s="24"/>
      <c r="AJ79" s="24"/>
      <c r="AK79" s="24"/>
      <c r="AL79" s="24"/>
      <c r="AM79" s="79">
        <f t="shared" si="21"/>
        <v>0</v>
      </c>
      <c r="AN79" s="79">
        <v>22</v>
      </c>
      <c r="AO79" s="80">
        <f t="shared" si="22"/>
        <v>0</v>
      </c>
      <c r="AP79" s="81" t="str">
        <f t="shared" ca="1" si="23"/>
        <v/>
      </c>
      <c r="AQ79" s="82"/>
      <c r="AR79" s="97">
        <f>IFERROR(VLOOKUP(B79,OBJECTIFS!$C$76:$E$137,2,FALSE),0)</f>
        <v>0</v>
      </c>
      <c r="AS79" s="98">
        <f>IFERROR(VLOOKUP(B79,OBJECTIFS!$H$76:$J$137,2,FALSE),0)</f>
        <v>0</v>
      </c>
      <c r="AT79" s="98">
        <f>IFERROR(VLOOKUP(B79,OBJECTIFS!$C$142:$E$203,2,FALSE),0)</f>
        <v>0</v>
      </c>
      <c r="AU79" s="98">
        <f>IFERROR(VLOOKUP(B79,OBJECTIFS!$H$142:$J$203,2,FALSE),0)</f>
        <v>0</v>
      </c>
      <c r="AV79" s="98">
        <f>IFERROR(VLOOKUP(B79,OBJECTIFS!$F$208:$H$269,3,FALSE),0)</f>
        <v>0</v>
      </c>
      <c r="AW79" s="81">
        <f t="shared" si="24"/>
        <v>0</v>
      </c>
      <c r="AX79" s="82"/>
      <c r="AY79" s="99" t="str">
        <f t="shared" ca="1" si="25"/>
        <v/>
      </c>
      <c r="AZ79" s="63"/>
      <c r="BA79" s="100">
        <f t="shared" ca="1" si="26"/>
        <v>0</v>
      </c>
      <c r="BB79" s="64" t="str">
        <f t="shared" ca="1" si="27"/>
        <v/>
      </c>
      <c r="BC79" s="101" t="str">
        <f t="shared" ca="1" si="28"/>
        <v/>
      </c>
    </row>
    <row r="80" spans="1:55" x14ac:dyDescent="0.2">
      <c r="A80" s="21"/>
      <c r="B80" s="22"/>
      <c r="C80" s="22"/>
      <c r="D80" s="23"/>
      <c r="E80" s="24"/>
      <c r="F80" s="34"/>
      <c r="H80" s="89" t="str">
        <f>IF(OR(D80="",F80="",A80=""),"",IF(E80="oui",0,IF(D80=OBJECTIFS!$C$45,VLOOKUP(F80,OBJECTIFS!$C$9:$D$11,2,FALSE),IF(D80=OBJECTIFS!$C$46,VLOOKUP(F80,OBJECTIFS!$C$16:$D$18,2,FALSE),IF(D80=OBJECTIFS!$C$47,VLOOKUP(F80,OBJECTIFS!$C$23:$D$25,2,FALSE),IF(D80=OBJECTIFS!$C$48,VLOOKUP(F80,OBJECTIFS!$C$30:$D$32,2,FALSE),IF(D80=OBJECTIFS!$C$49,VLOOKUP(F80,OBJECTIFS!$C$37:$D$39,2,FALSE))))))))</f>
        <v/>
      </c>
      <c r="J80" s="25"/>
      <c r="K80" s="90" t="str">
        <f>IF(OR($A80="",$D80="",J80=""),"",SUMIFS(OBJECTIFS!E$9:E$39,OBJECTIFS!$A$9:$A$39,$D80,OBJECTIFS!$C$9:$C$39,$F80))</f>
        <v/>
      </c>
      <c r="L80" s="90" t="str">
        <f>IF(OR(AND($D80=OBJECTIFS!$B$6,OBJECTIFS!E$8="dmt"),AND($D80=OBJECTIFS!$B$13,OBJECTIFS!$E$15="dmt"),AND($D80=OBJECTIFS!$B$20,OBJECTIFS!$E$22="dmt"),AND($D80=OBJECTIFS!$B$27,OBJECTIFS!$E$29="dmt"),AND($D80=OBJECTIFS!$B$34,OBJECTIFS!$E$36="dmt"),AND($D80=OBJECTIFS!$B$6,OBJECTIFS!$E$8="taux de chute"),AND($D80=OBJECTIFS!$B$13,OBJECTIFS!$E$15="taux de chute"),AND($D80=OBJECTIFS!$B$20,OBJECTIFS!$E$22="taux de chute"),AND($D80=OBJECTIFS!$B$27,OBJECTIFS!$E$29="taux de chute"),AND($D80=OBJECTIFS!$B$34,OBJECTIFS!$E$36="taux de chute")),IFERROR(K80/J80,""),IFERROR(J80/K80,""))</f>
        <v/>
      </c>
      <c r="M80" s="91">
        <f>IFERROR(IF(OR(J80="",K80="",L80=""),0,IF(L80&lt;OBJECTIFS!$E$56,0,IF(L80&lt;OBJECTIFS!$G$56,M$8*OBJECTIFS!$F$60,IF(L80&lt;OBJECTIFS!$I$56,M$8*OBJECTIFS!$H$60,M$8)))),0)</f>
        <v>0</v>
      </c>
      <c r="N80" s="161"/>
      <c r="O80" s="92" t="str">
        <f>IF(OR($A80="",$D80="",N80=""),"",SUMIFS(OBJECTIFS!F$9:F$39,OBJECTIFS!$A$9:$A$39,$D80,OBJECTIFS!$C$9:$C$39,$F80))</f>
        <v/>
      </c>
      <c r="P80" s="90" t="str">
        <f>IF(OR(AND($D80=OBJECTIFS!$B$6,OBJECTIFS!$F$8="dmt"),AND($D80=OBJECTIFS!$B$13,OBJECTIFS!$F$15="dmt"),AND($D80=OBJECTIFS!$B$20,OBJECTIFS!$F$22="dmt"),AND($D80=OBJECTIFS!$B$27,OBJECTIFS!$F$29="dmt"),AND($D80=OBJECTIFS!$B$34,OBJECTIFS!$F$36="dmt"),AND($D80=OBJECTIFS!$B$6,OBJECTIFS!$F$8="taux de chute"),AND($D80=OBJECTIFS!$B$13,OBJECTIFS!$F$15="taux de chute"),AND($D80=OBJECTIFS!$B$20,OBJECTIFS!$F$22="taux de chute"),AND($D80=OBJECTIFS!$B$27,OBJECTIFS!$F$29="taux de chute"),AND($D80=OBJECTIFS!$B$34,OBJECTIFS!$F$36="taux de chute")),IFERROR(O80/N80,""),IFERROR(N80/O80,""))</f>
        <v/>
      </c>
      <c r="Q80" s="91">
        <f>IFERROR(IF(OR(N80="",O80="",P80=""),0,IF(P80&lt;OBJECTIFS!$E$56,0,IF(P80&lt;OBJECTIFS!$G$56,Q$8*OBJECTIFS!$F$60,IF(P80&lt;OBJECTIFS!$I$56,Q$8*OBJECTIFS!$H$60,Q$8)))),0)</f>
        <v>0</v>
      </c>
      <c r="R80" s="164"/>
      <c r="S80" s="93" t="str">
        <f>IF(OR($A80="",$D80="",R80=""),"",SUMIFS(OBJECTIFS!G$9:G$39,OBJECTIFS!$A$9:$A$39,$D80,OBJECTIFS!$C$9:$C$39,$F80))</f>
        <v/>
      </c>
      <c r="T80" s="90" t="str">
        <f>IF(OR(AND($D80=OBJECTIFS!$B$6,OBJECTIFS!G$8="dmt"),AND($D80=OBJECTIFS!$B$13,OBJECTIFS!$G$15="dmt"),AND($D80=OBJECTIFS!$B$20,OBJECTIFS!$G$22="dmt"),AND($D80=OBJECTIFS!$B$27,OBJECTIFS!$G$29="dmt"),AND($D80=OBJECTIFS!$B$34,OBJECTIFS!$G$36="dmt"),AND($D80=OBJECTIFS!$B$6,OBJECTIFS!$G$8="taux de chute"),AND($D80=OBJECTIFS!$B$13,OBJECTIFS!$G$15="taux de chute"),AND($D80=OBJECTIFS!$B$20,OBJECTIFS!$G$22="taux de chute"),AND($D80=OBJECTIFS!$B$27,OBJECTIFS!$G$29="taux de chute"),AND($D80=OBJECTIFS!$B$34,OBJECTIFS!$G$36="taux de chute")),IFERROR(S80/R80,""),IFERROR(R80/S80,""))</f>
        <v/>
      </c>
      <c r="U80" s="94">
        <f>IFERROR(IF(OR(R80="",S80="",T80=""),0,IF(T80&lt;OBJECTIFS!$E$56,0,IF(T80&lt;OBJECTIFS!$G$56,U$8*OBJECTIFS!$F$60,IF(T80&lt;OBJECTIFS!$I$56,U$8*OBJECTIFS!$H$60,U$8)))),0)</f>
        <v>0</v>
      </c>
      <c r="V80" s="25"/>
      <c r="W80" s="90" t="str">
        <f>IF(OR($A80="",$D80="",V80=""),"",SUMIFS(OBJECTIFS!H$9:H$39,OBJECTIFS!$A$9:$A$39,$D80,OBJECTIFS!$C$9:$C$39,$F80))</f>
        <v/>
      </c>
      <c r="X80" s="90" t="str">
        <f>IF(OR(AND($D80=OBJECTIFS!$B$6,OBJECTIFS!H$8="dmt"),AND($D80=OBJECTIFS!$B$13,OBJECTIFS!$H$15="dmt"),AND($D80=OBJECTIFS!$B$20,OBJECTIFS!$H$22="dmt"),AND($D80=OBJECTIFS!$B$27,OBJECTIFS!$H$29="dmt"),AND($D80=OBJECTIFS!$B$34,OBJECTIFS!$H$36="dmt"),AND($D80=OBJECTIFS!$B$6,OBJECTIFS!$H$8="taux de chute"),AND($D80=OBJECTIFS!$B$13,OBJECTIFS!$H$15="taux de chute"),AND($D80=OBJECTIFS!$B$20,OBJECTIFS!$H$22="taux de chute"),AND($D80=OBJECTIFS!$B$27,OBJECTIFS!$H$29="taux de chute"),AND($D80=OBJECTIFS!$B$34,OBJECTIFS!$H$36="taux de chute")),IFERROR(W80/V80,""),IFERROR(V80/W80,""))</f>
        <v/>
      </c>
      <c r="Y80" s="91">
        <f>IFERROR(IF(OR(V80="",W80="",X80=""),0,IF(X80&lt;OBJECTIFS!$E$56,0,IF(X80&lt;OBJECTIFS!$G$56,Y$8*OBJECTIFS!$F$60,IF(X80&lt;OBJECTIFS!$I$56,Y$8*OBJECTIFS!$H$60,Y$8)))),0)</f>
        <v>0</v>
      </c>
      <c r="Z80" s="167"/>
      <c r="AA80" s="90" t="str">
        <f>IF(OR($A80="",$D80="",Z80=""),"",SUMIFS(OBJECTIFS!I$9:I$39,OBJECTIFS!$A$9:$A$39,$D80,OBJECTIFS!$C$9:$C$39,$F80))</f>
        <v/>
      </c>
      <c r="AB80" s="90" t="str">
        <f>IF(OR(AND($D80=OBJECTIFS!$B$6,OBJECTIFS!I$8="dmt"),AND($D80=OBJECTIFS!$B$13,OBJECTIFS!$I$15="dmt"),AND($D80=OBJECTIFS!$B$20,OBJECTIFS!$I$22="dmt"),AND($D80=OBJECTIFS!$B$27,OBJECTIFS!$I$29="dmt"),AND($D80=OBJECTIFS!$B$34,OBJECTIFS!$I$36="dmt"),AND($D80=OBJECTIFS!$B$6,OBJECTIFS!$I$8="taux de chute"),AND($D80=OBJECTIFS!$B$13,OBJECTIFS!$I$15="taux de chute"),AND($D80=OBJECTIFS!$B$20,OBJECTIFS!$I$22="taux de chute"),AND($D80=OBJECTIFS!$B$27,OBJECTIFS!$I$29="taux de chute"),AND($D80=OBJECTIFS!$B$34,OBJECTIFS!$I$36="taux de chute")),IFERROR(AA80/Z80,""),IFERROR(Z80/AA80,""))</f>
        <v/>
      </c>
      <c r="AC80" s="95">
        <f>IFERROR(IF(OR(Z80="",AA80="",AB80=""),0,IF(AB80&lt;OBJECTIFS!$E$56,0,IF(AB80&lt;OBJECTIFS!$G$56,AC$8*OBJECTIFS!$F$60,IF(AB80&lt;OBJECTIFS!$I$56,AC$8*OBJECTIFS!$H$60,AC$8)))),0)</f>
        <v>0</v>
      </c>
      <c r="AD80" s="186"/>
      <c r="AE80" s="187"/>
      <c r="AF80" s="96">
        <f t="shared" ca="1" si="20"/>
        <v>0</v>
      </c>
      <c r="AG80" s="63"/>
      <c r="AH80" s="186"/>
      <c r="AI80" s="24"/>
      <c r="AJ80" s="24"/>
      <c r="AK80" s="24"/>
      <c r="AL80" s="24"/>
      <c r="AM80" s="79">
        <f t="shared" si="21"/>
        <v>0</v>
      </c>
      <c r="AN80" s="79">
        <v>22</v>
      </c>
      <c r="AO80" s="80">
        <f t="shared" si="22"/>
        <v>0</v>
      </c>
      <c r="AP80" s="81" t="str">
        <f t="shared" ca="1" si="23"/>
        <v/>
      </c>
      <c r="AQ80" s="82"/>
      <c r="AR80" s="97">
        <f>IFERROR(VLOOKUP(B80,OBJECTIFS!$C$76:$E$137,2,FALSE),0)</f>
        <v>0</v>
      </c>
      <c r="AS80" s="98">
        <f>IFERROR(VLOOKUP(B80,OBJECTIFS!$H$76:$J$137,2,FALSE),0)</f>
        <v>0</v>
      </c>
      <c r="AT80" s="98">
        <f>IFERROR(VLOOKUP(B80,OBJECTIFS!$C$142:$E$203,2,FALSE),0)</f>
        <v>0</v>
      </c>
      <c r="AU80" s="98">
        <f>IFERROR(VLOOKUP(B80,OBJECTIFS!$H$142:$J$203,2,FALSE),0)</f>
        <v>0</v>
      </c>
      <c r="AV80" s="98">
        <f>IFERROR(VLOOKUP(B80,OBJECTIFS!$F$208:$H$269,3,FALSE),0)</f>
        <v>0</v>
      </c>
      <c r="AW80" s="81">
        <f t="shared" si="24"/>
        <v>0</v>
      </c>
      <c r="AX80" s="82"/>
      <c r="AY80" s="99" t="str">
        <f t="shared" ca="1" si="25"/>
        <v/>
      </c>
      <c r="AZ80" s="63"/>
      <c r="BA80" s="100">
        <f t="shared" ca="1" si="26"/>
        <v>0</v>
      </c>
      <c r="BB80" s="64" t="str">
        <f t="shared" ca="1" si="27"/>
        <v/>
      </c>
      <c r="BC80" s="101" t="str">
        <f t="shared" ca="1" si="28"/>
        <v/>
      </c>
    </row>
    <row r="81" spans="1:55" x14ac:dyDescent="0.2">
      <c r="A81" s="21"/>
      <c r="B81" s="22"/>
      <c r="C81" s="22"/>
      <c r="D81" s="23"/>
      <c r="E81" s="24"/>
      <c r="F81" s="34"/>
      <c r="H81" s="89" t="str">
        <f>IF(OR(D81="",F81="",A81=""),"",IF(E81="oui",0,IF(D81=OBJECTIFS!$C$45,VLOOKUP(F81,OBJECTIFS!$C$9:$D$11,2,FALSE),IF(D81=OBJECTIFS!$C$46,VLOOKUP(F81,OBJECTIFS!$C$16:$D$18,2,FALSE),IF(D81=OBJECTIFS!$C$47,VLOOKUP(F81,OBJECTIFS!$C$23:$D$25,2,FALSE),IF(D81=OBJECTIFS!$C$48,VLOOKUP(F81,OBJECTIFS!$C$30:$D$32,2,FALSE),IF(D81=OBJECTIFS!$C$49,VLOOKUP(F81,OBJECTIFS!$C$37:$D$39,2,FALSE))))))))</f>
        <v/>
      </c>
      <c r="J81" s="25"/>
      <c r="K81" s="90" t="str">
        <f>IF(OR($A81="",$D81="",J81=""),"",SUMIFS(OBJECTIFS!E$9:E$39,OBJECTIFS!$A$9:$A$39,$D81,OBJECTIFS!$C$9:$C$39,$F81))</f>
        <v/>
      </c>
      <c r="L81" s="90" t="str">
        <f>IF(OR(AND($D81=OBJECTIFS!$B$6,OBJECTIFS!E$8="dmt"),AND($D81=OBJECTIFS!$B$13,OBJECTIFS!$E$15="dmt"),AND($D81=OBJECTIFS!$B$20,OBJECTIFS!$E$22="dmt"),AND($D81=OBJECTIFS!$B$27,OBJECTIFS!$E$29="dmt"),AND($D81=OBJECTIFS!$B$34,OBJECTIFS!$E$36="dmt"),AND($D81=OBJECTIFS!$B$6,OBJECTIFS!$E$8="taux de chute"),AND($D81=OBJECTIFS!$B$13,OBJECTIFS!$E$15="taux de chute"),AND($D81=OBJECTIFS!$B$20,OBJECTIFS!$E$22="taux de chute"),AND($D81=OBJECTIFS!$B$27,OBJECTIFS!$E$29="taux de chute"),AND($D81=OBJECTIFS!$B$34,OBJECTIFS!$E$36="taux de chute")),IFERROR(K81/J81,""),IFERROR(J81/K81,""))</f>
        <v/>
      </c>
      <c r="M81" s="91">
        <f>IFERROR(IF(OR(J81="",K81="",L81=""),0,IF(L81&lt;OBJECTIFS!$E$56,0,IF(L81&lt;OBJECTIFS!$G$56,M$8*OBJECTIFS!$F$60,IF(L81&lt;OBJECTIFS!$I$56,M$8*OBJECTIFS!$H$60,M$8)))),0)</f>
        <v>0</v>
      </c>
      <c r="N81" s="161"/>
      <c r="O81" s="92" t="str">
        <f>IF(OR($A81="",$D81="",N81=""),"",SUMIFS(OBJECTIFS!F$9:F$39,OBJECTIFS!$A$9:$A$39,$D81,OBJECTIFS!$C$9:$C$39,$F81))</f>
        <v/>
      </c>
      <c r="P81" s="90" t="str">
        <f>IF(OR(AND($D81=OBJECTIFS!$B$6,OBJECTIFS!$F$8="dmt"),AND($D81=OBJECTIFS!$B$13,OBJECTIFS!$F$15="dmt"),AND($D81=OBJECTIFS!$B$20,OBJECTIFS!$F$22="dmt"),AND($D81=OBJECTIFS!$B$27,OBJECTIFS!$F$29="dmt"),AND($D81=OBJECTIFS!$B$34,OBJECTIFS!$F$36="dmt"),AND($D81=OBJECTIFS!$B$6,OBJECTIFS!$F$8="taux de chute"),AND($D81=OBJECTIFS!$B$13,OBJECTIFS!$F$15="taux de chute"),AND($D81=OBJECTIFS!$B$20,OBJECTIFS!$F$22="taux de chute"),AND($D81=OBJECTIFS!$B$27,OBJECTIFS!$F$29="taux de chute"),AND($D81=OBJECTIFS!$B$34,OBJECTIFS!$F$36="taux de chute")),IFERROR(O81/N81,""),IFERROR(N81/O81,""))</f>
        <v/>
      </c>
      <c r="Q81" s="91">
        <f>IFERROR(IF(OR(N81="",O81="",P81=""),0,IF(P81&lt;OBJECTIFS!$E$56,0,IF(P81&lt;OBJECTIFS!$G$56,Q$8*OBJECTIFS!$F$60,IF(P81&lt;OBJECTIFS!$I$56,Q$8*OBJECTIFS!$H$60,Q$8)))),0)</f>
        <v>0</v>
      </c>
      <c r="R81" s="164"/>
      <c r="S81" s="93" t="str">
        <f>IF(OR($A81="",$D81="",R81=""),"",SUMIFS(OBJECTIFS!G$9:G$39,OBJECTIFS!$A$9:$A$39,$D81,OBJECTIFS!$C$9:$C$39,$F81))</f>
        <v/>
      </c>
      <c r="T81" s="90" t="str">
        <f>IF(OR(AND($D81=OBJECTIFS!$B$6,OBJECTIFS!G$8="dmt"),AND($D81=OBJECTIFS!$B$13,OBJECTIFS!$G$15="dmt"),AND($D81=OBJECTIFS!$B$20,OBJECTIFS!$G$22="dmt"),AND($D81=OBJECTIFS!$B$27,OBJECTIFS!$G$29="dmt"),AND($D81=OBJECTIFS!$B$34,OBJECTIFS!$G$36="dmt"),AND($D81=OBJECTIFS!$B$6,OBJECTIFS!$G$8="taux de chute"),AND($D81=OBJECTIFS!$B$13,OBJECTIFS!$G$15="taux de chute"),AND($D81=OBJECTIFS!$B$20,OBJECTIFS!$G$22="taux de chute"),AND($D81=OBJECTIFS!$B$27,OBJECTIFS!$G$29="taux de chute"),AND($D81=OBJECTIFS!$B$34,OBJECTIFS!$G$36="taux de chute")),IFERROR(S81/R81,""),IFERROR(R81/S81,""))</f>
        <v/>
      </c>
      <c r="U81" s="94">
        <f>IFERROR(IF(OR(R81="",S81="",T81=""),0,IF(T81&lt;OBJECTIFS!$E$56,0,IF(T81&lt;OBJECTIFS!$G$56,U$8*OBJECTIFS!$F$60,IF(T81&lt;OBJECTIFS!$I$56,U$8*OBJECTIFS!$H$60,U$8)))),0)</f>
        <v>0</v>
      </c>
      <c r="V81" s="25"/>
      <c r="W81" s="90" t="str">
        <f>IF(OR($A81="",$D81="",V81=""),"",SUMIFS(OBJECTIFS!H$9:H$39,OBJECTIFS!$A$9:$A$39,$D81,OBJECTIFS!$C$9:$C$39,$F81))</f>
        <v/>
      </c>
      <c r="X81" s="90" t="str">
        <f>IF(OR(AND($D81=OBJECTIFS!$B$6,OBJECTIFS!H$8="dmt"),AND($D81=OBJECTIFS!$B$13,OBJECTIFS!$H$15="dmt"),AND($D81=OBJECTIFS!$B$20,OBJECTIFS!$H$22="dmt"),AND($D81=OBJECTIFS!$B$27,OBJECTIFS!$H$29="dmt"),AND($D81=OBJECTIFS!$B$34,OBJECTIFS!$H$36="dmt"),AND($D81=OBJECTIFS!$B$6,OBJECTIFS!$H$8="taux de chute"),AND($D81=OBJECTIFS!$B$13,OBJECTIFS!$H$15="taux de chute"),AND($D81=OBJECTIFS!$B$20,OBJECTIFS!$H$22="taux de chute"),AND($D81=OBJECTIFS!$B$27,OBJECTIFS!$H$29="taux de chute"),AND($D81=OBJECTIFS!$B$34,OBJECTIFS!$H$36="taux de chute")),IFERROR(W81/V81,""),IFERROR(V81/W81,""))</f>
        <v/>
      </c>
      <c r="Y81" s="91">
        <f>IFERROR(IF(OR(V81="",W81="",X81=""),0,IF(X81&lt;OBJECTIFS!$E$56,0,IF(X81&lt;OBJECTIFS!$G$56,Y$8*OBJECTIFS!$F$60,IF(X81&lt;OBJECTIFS!$I$56,Y$8*OBJECTIFS!$H$60,Y$8)))),0)</f>
        <v>0</v>
      </c>
      <c r="Z81" s="167"/>
      <c r="AA81" s="90" t="str">
        <f>IF(OR($A81="",$D81="",Z81=""),"",SUMIFS(OBJECTIFS!I$9:I$39,OBJECTIFS!$A$9:$A$39,$D81,OBJECTIFS!$C$9:$C$39,$F81))</f>
        <v/>
      </c>
      <c r="AB81" s="90" t="str">
        <f>IF(OR(AND($D81=OBJECTIFS!$B$6,OBJECTIFS!I$8="dmt"),AND($D81=OBJECTIFS!$B$13,OBJECTIFS!$I$15="dmt"),AND($D81=OBJECTIFS!$B$20,OBJECTIFS!$I$22="dmt"),AND($D81=OBJECTIFS!$B$27,OBJECTIFS!$I$29="dmt"),AND($D81=OBJECTIFS!$B$34,OBJECTIFS!$I$36="dmt"),AND($D81=OBJECTIFS!$B$6,OBJECTIFS!$I$8="taux de chute"),AND($D81=OBJECTIFS!$B$13,OBJECTIFS!$I$15="taux de chute"),AND($D81=OBJECTIFS!$B$20,OBJECTIFS!$I$22="taux de chute"),AND($D81=OBJECTIFS!$B$27,OBJECTIFS!$I$29="taux de chute"),AND($D81=OBJECTIFS!$B$34,OBJECTIFS!$I$36="taux de chute")),IFERROR(AA81/Z81,""),IFERROR(Z81/AA81,""))</f>
        <v/>
      </c>
      <c r="AC81" s="95">
        <f>IFERROR(IF(OR(Z81="",AA81="",AB81=""),0,IF(AB81&lt;OBJECTIFS!$E$56,0,IF(AB81&lt;OBJECTIFS!$G$56,AC$8*OBJECTIFS!$F$60,IF(AB81&lt;OBJECTIFS!$I$56,AC$8*OBJECTIFS!$H$60,AC$8)))),0)</f>
        <v>0</v>
      </c>
      <c r="AD81" s="186"/>
      <c r="AE81" s="187"/>
      <c r="AF81" s="96">
        <f t="shared" ca="1" si="20"/>
        <v>0</v>
      </c>
      <c r="AG81" s="63"/>
      <c r="AH81" s="186"/>
      <c r="AI81" s="24"/>
      <c r="AJ81" s="24"/>
      <c r="AK81" s="24"/>
      <c r="AL81" s="24"/>
      <c r="AM81" s="79">
        <f t="shared" si="21"/>
        <v>0</v>
      </c>
      <c r="AN81" s="79">
        <v>22</v>
      </c>
      <c r="AO81" s="80">
        <f t="shared" si="22"/>
        <v>0</v>
      </c>
      <c r="AP81" s="81" t="str">
        <f t="shared" ca="1" si="23"/>
        <v/>
      </c>
      <c r="AQ81" s="82"/>
      <c r="AR81" s="97">
        <f>IFERROR(VLOOKUP(B81,OBJECTIFS!$C$76:$E$137,2,FALSE),0)</f>
        <v>0</v>
      </c>
      <c r="AS81" s="98">
        <f>IFERROR(VLOOKUP(B81,OBJECTIFS!$H$76:$J$137,2,FALSE),0)</f>
        <v>0</v>
      </c>
      <c r="AT81" s="98">
        <f>IFERROR(VLOOKUP(B81,OBJECTIFS!$C$142:$E$203,2,FALSE),0)</f>
        <v>0</v>
      </c>
      <c r="AU81" s="98">
        <f>IFERROR(VLOOKUP(B81,OBJECTIFS!$H$142:$J$203,2,FALSE),0)</f>
        <v>0</v>
      </c>
      <c r="AV81" s="98">
        <f>IFERROR(VLOOKUP(B81,OBJECTIFS!$F$208:$H$269,3,FALSE),0)</f>
        <v>0</v>
      </c>
      <c r="AW81" s="81">
        <f t="shared" si="24"/>
        <v>0</v>
      </c>
      <c r="AX81" s="82"/>
      <c r="AY81" s="99" t="str">
        <f t="shared" ca="1" si="25"/>
        <v/>
      </c>
      <c r="AZ81" s="63"/>
      <c r="BA81" s="100">
        <f t="shared" ca="1" si="26"/>
        <v>0</v>
      </c>
      <c r="BB81" s="64" t="str">
        <f t="shared" ca="1" si="27"/>
        <v/>
      </c>
      <c r="BC81" s="101" t="str">
        <f t="shared" ca="1" si="28"/>
        <v/>
      </c>
    </row>
    <row r="82" spans="1:55" x14ac:dyDescent="0.2">
      <c r="A82" s="21"/>
      <c r="B82" s="22"/>
      <c r="C82" s="22"/>
      <c r="D82" s="23"/>
      <c r="E82" s="24"/>
      <c r="F82" s="34"/>
      <c r="H82" s="89" t="str">
        <f>IF(OR(D82="",F82="",A82=""),"",IF(E82="oui",0,IF(D82=OBJECTIFS!$C$45,VLOOKUP(F82,OBJECTIFS!$C$9:$D$11,2,FALSE),IF(D82=OBJECTIFS!$C$46,VLOOKUP(F82,OBJECTIFS!$C$16:$D$18,2,FALSE),IF(D82=OBJECTIFS!$C$47,VLOOKUP(F82,OBJECTIFS!$C$23:$D$25,2,FALSE),IF(D82=OBJECTIFS!$C$48,VLOOKUP(F82,OBJECTIFS!$C$30:$D$32,2,FALSE),IF(D82=OBJECTIFS!$C$49,VLOOKUP(F82,OBJECTIFS!$C$37:$D$39,2,FALSE))))))))</f>
        <v/>
      </c>
      <c r="J82" s="25"/>
      <c r="K82" s="90" t="str">
        <f>IF(OR($A82="",$D82="",J82=""),"",SUMIFS(OBJECTIFS!E$9:E$39,OBJECTIFS!$A$9:$A$39,$D82,OBJECTIFS!$C$9:$C$39,$F82))</f>
        <v/>
      </c>
      <c r="L82" s="90" t="str">
        <f>IF(OR(AND($D82=OBJECTIFS!$B$6,OBJECTIFS!E$8="dmt"),AND($D82=OBJECTIFS!$B$13,OBJECTIFS!$E$15="dmt"),AND($D82=OBJECTIFS!$B$20,OBJECTIFS!$E$22="dmt"),AND($D82=OBJECTIFS!$B$27,OBJECTIFS!$E$29="dmt"),AND($D82=OBJECTIFS!$B$34,OBJECTIFS!$E$36="dmt"),AND($D82=OBJECTIFS!$B$6,OBJECTIFS!$E$8="taux de chute"),AND($D82=OBJECTIFS!$B$13,OBJECTIFS!$E$15="taux de chute"),AND($D82=OBJECTIFS!$B$20,OBJECTIFS!$E$22="taux de chute"),AND($D82=OBJECTIFS!$B$27,OBJECTIFS!$E$29="taux de chute"),AND($D82=OBJECTIFS!$B$34,OBJECTIFS!$E$36="taux de chute")),IFERROR(K82/J82,""),IFERROR(J82/K82,""))</f>
        <v/>
      </c>
      <c r="M82" s="91">
        <f>IFERROR(IF(OR(J82="",K82="",L82=""),0,IF(L82&lt;OBJECTIFS!$E$56,0,IF(L82&lt;OBJECTIFS!$G$56,M$8*OBJECTIFS!$F$60,IF(L82&lt;OBJECTIFS!$I$56,M$8*OBJECTIFS!$H$60,M$8)))),0)</f>
        <v>0</v>
      </c>
      <c r="N82" s="161"/>
      <c r="O82" s="92" t="str">
        <f>IF(OR($A82="",$D82="",N82=""),"",SUMIFS(OBJECTIFS!F$9:F$39,OBJECTIFS!$A$9:$A$39,$D82,OBJECTIFS!$C$9:$C$39,$F82))</f>
        <v/>
      </c>
      <c r="P82" s="90" t="str">
        <f>IF(OR(AND($D82=OBJECTIFS!$B$6,OBJECTIFS!$F$8="dmt"),AND($D82=OBJECTIFS!$B$13,OBJECTIFS!$F$15="dmt"),AND($D82=OBJECTIFS!$B$20,OBJECTIFS!$F$22="dmt"),AND($D82=OBJECTIFS!$B$27,OBJECTIFS!$F$29="dmt"),AND($D82=OBJECTIFS!$B$34,OBJECTIFS!$F$36="dmt"),AND($D82=OBJECTIFS!$B$6,OBJECTIFS!$F$8="taux de chute"),AND($D82=OBJECTIFS!$B$13,OBJECTIFS!$F$15="taux de chute"),AND($D82=OBJECTIFS!$B$20,OBJECTIFS!$F$22="taux de chute"),AND($D82=OBJECTIFS!$B$27,OBJECTIFS!$F$29="taux de chute"),AND($D82=OBJECTIFS!$B$34,OBJECTIFS!$F$36="taux de chute")),IFERROR(O82/N82,""),IFERROR(N82/O82,""))</f>
        <v/>
      </c>
      <c r="Q82" s="91">
        <f>IFERROR(IF(OR(N82="",O82="",P82=""),0,IF(P82&lt;OBJECTIFS!$E$56,0,IF(P82&lt;OBJECTIFS!$G$56,Q$8*OBJECTIFS!$F$60,IF(P82&lt;OBJECTIFS!$I$56,Q$8*OBJECTIFS!$H$60,Q$8)))),0)</f>
        <v>0</v>
      </c>
      <c r="R82" s="164"/>
      <c r="S82" s="93" t="str">
        <f>IF(OR($A82="",$D82="",R82=""),"",SUMIFS(OBJECTIFS!G$9:G$39,OBJECTIFS!$A$9:$A$39,$D82,OBJECTIFS!$C$9:$C$39,$F82))</f>
        <v/>
      </c>
      <c r="T82" s="90" t="str">
        <f>IF(OR(AND($D82=OBJECTIFS!$B$6,OBJECTIFS!G$8="dmt"),AND($D82=OBJECTIFS!$B$13,OBJECTIFS!$G$15="dmt"),AND($D82=OBJECTIFS!$B$20,OBJECTIFS!$G$22="dmt"),AND($D82=OBJECTIFS!$B$27,OBJECTIFS!$G$29="dmt"),AND($D82=OBJECTIFS!$B$34,OBJECTIFS!$G$36="dmt"),AND($D82=OBJECTIFS!$B$6,OBJECTIFS!$G$8="taux de chute"),AND($D82=OBJECTIFS!$B$13,OBJECTIFS!$G$15="taux de chute"),AND($D82=OBJECTIFS!$B$20,OBJECTIFS!$G$22="taux de chute"),AND($D82=OBJECTIFS!$B$27,OBJECTIFS!$G$29="taux de chute"),AND($D82=OBJECTIFS!$B$34,OBJECTIFS!$G$36="taux de chute")),IFERROR(S82/R82,""),IFERROR(R82/S82,""))</f>
        <v/>
      </c>
      <c r="U82" s="94">
        <f>IFERROR(IF(OR(R82="",S82="",T82=""),0,IF(T82&lt;OBJECTIFS!$E$56,0,IF(T82&lt;OBJECTIFS!$G$56,U$8*OBJECTIFS!$F$60,IF(T82&lt;OBJECTIFS!$I$56,U$8*OBJECTIFS!$H$60,U$8)))),0)</f>
        <v>0</v>
      </c>
      <c r="V82" s="25"/>
      <c r="W82" s="90" t="str">
        <f>IF(OR($A82="",$D82="",V82=""),"",SUMIFS(OBJECTIFS!H$9:H$39,OBJECTIFS!$A$9:$A$39,$D82,OBJECTIFS!$C$9:$C$39,$F82))</f>
        <v/>
      </c>
      <c r="X82" s="90" t="str">
        <f>IF(OR(AND($D82=OBJECTIFS!$B$6,OBJECTIFS!H$8="dmt"),AND($D82=OBJECTIFS!$B$13,OBJECTIFS!$H$15="dmt"),AND($D82=OBJECTIFS!$B$20,OBJECTIFS!$H$22="dmt"),AND($D82=OBJECTIFS!$B$27,OBJECTIFS!$H$29="dmt"),AND($D82=OBJECTIFS!$B$34,OBJECTIFS!$H$36="dmt"),AND($D82=OBJECTIFS!$B$6,OBJECTIFS!$H$8="taux de chute"),AND($D82=OBJECTIFS!$B$13,OBJECTIFS!$H$15="taux de chute"),AND($D82=OBJECTIFS!$B$20,OBJECTIFS!$H$22="taux de chute"),AND($D82=OBJECTIFS!$B$27,OBJECTIFS!$H$29="taux de chute"),AND($D82=OBJECTIFS!$B$34,OBJECTIFS!$H$36="taux de chute")),IFERROR(W82/V82,""),IFERROR(V82/W82,""))</f>
        <v/>
      </c>
      <c r="Y82" s="91">
        <f>IFERROR(IF(OR(V82="",W82="",X82=""),0,IF(X82&lt;OBJECTIFS!$E$56,0,IF(X82&lt;OBJECTIFS!$G$56,Y$8*OBJECTIFS!$F$60,IF(X82&lt;OBJECTIFS!$I$56,Y$8*OBJECTIFS!$H$60,Y$8)))),0)</f>
        <v>0</v>
      </c>
      <c r="Z82" s="167"/>
      <c r="AA82" s="90" t="str">
        <f>IF(OR($A82="",$D82="",Z82=""),"",SUMIFS(OBJECTIFS!I$9:I$39,OBJECTIFS!$A$9:$A$39,$D82,OBJECTIFS!$C$9:$C$39,$F82))</f>
        <v/>
      </c>
      <c r="AB82" s="90" t="str">
        <f>IF(OR(AND($D82=OBJECTIFS!$B$6,OBJECTIFS!I$8="dmt"),AND($D82=OBJECTIFS!$B$13,OBJECTIFS!$I$15="dmt"),AND($D82=OBJECTIFS!$B$20,OBJECTIFS!$I$22="dmt"),AND($D82=OBJECTIFS!$B$27,OBJECTIFS!$I$29="dmt"),AND($D82=OBJECTIFS!$B$34,OBJECTIFS!$I$36="dmt"),AND($D82=OBJECTIFS!$B$6,OBJECTIFS!$I$8="taux de chute"),AND($D82=OBJECTIFS!$B$13,OBJECTIFS!$I$15="taux de chute"),AND($D82=OBJECTIFS!$B$20,OBJECTIFS!$I$22="taux de chute"),AND($D82=OBJECTIFS!$B$27,OBJECTIFS!$I$29="taux de chute"),AND($D82=OBJECTIFS!$B$34,OBJECTIFS!$I$36="taux de chute")),IFERROR(AA82/Z82,""),IFERROR(Z82/AA82,""))</f>
        <v/>
      </c>
      <c r="AC82" s="95">
        <f>IFERROR(IF(OR(Z82="",AA82="",AB82=""),0,IF(AB82&lt;OBJECTIFS!$E$56,0,IF(AB82&lt;OBJECTIFS!$G$56,AC$8*OBJECTIFS!$F$60,IF(AB82&lt;OBJECTIFS!$I$56,AC$8*OBJECTIFS!$H$60,AC$8)))),0)</f>
        <v>0</v>
      </c>
      <c r="AD82" s="186"/>
      <c r="AE82" s="187"/>
      <c r="AF82" s="96">
        <f t="shared" ca="1" si="20"/>
        <v>0</v>
      </c>
      <c r="AG82" s="63"/>
      <c r="AH82" s="186"/>
      <c r="AI82" s="24"/>
      <c r="AJ82" s="24"/>
      <c r="AK82" s="24"/>
      <c r="AL82" s="24"/>
      <c r="AM82" s="79">
        <f t="shared" si="21"/>
        <v>0</v>
      </c>
      <c r="AN82" s="79">
        <v>22</v>
      </c>
      <c r="AO82" s="80">
        <f t="shared" si="22"/>
        <v>0</v>
      </c>
      <c r="AP82" s="81" t="str">
        <f t="shared" ca="1" si="23"/>
        <v/>
      </c>
      <c r="AQ82" s="82"/>
      <c r="AR82" s="97">
        <f>IFERROR(VLOOKUP(B82,OBJECTIFS!$C$76:$E$137,2,FALSE),0)</f>
        <v>0</v>
      </c>
      <c r="AS82" s="98">
        <f>IFERROR(VLOOKUP(B82,OBJECTIFS!$H$76:$J$137,2,FALSE),0)</f>
        <v>0</v>
      </c>
      <c r="AT82" s="98">
        <f>IFERROR(VLOOKUP(B82,OBJECTIFS!$C$142:$E$203,2,FALSE),0)</f>
        <v>0</v>
      </c>
      <c r="AU82" s="98">
        <f>IFERROR(VLOOKUP(B82,OBJECTIFS!$H$142:$J$203,2,FALSE),0)</f>
        <v>0</v>
      </c>
      <c r="AV82" s="98">
        <f>IFERROR(VLOOKUP(B82,OBJECTIFS!$F$208:$H$269,3,FALSE),0)</f>
        <v>0</v>
      </c>
      <c r="AW82" s="81">
        <f t="shared" si="24"/>
        <v>0</v>
      </c>
      <c r="AX82" s="82"/>
      <c r="AY82" s="99" t="str">
        <f t="shared" ca="1" si="25"/>
        <v/>
      </c>
      <c r="AZ82" s="63"/>
      <c r="BA82" s="100">
        <f t="shared" ca="1" si="26"/>
        <v>0</v>
      </c>
      <c r="BB82" s="64" t="str">
        <f t="shared" ca="1" si="27"/>
        <v/>
      </c>
      <c r="BC82" s="101" t="str">
        <f t="shared" ca="1" si="28"/>
        <v/>
      </c>
    </row>
    <row r="83" spans="1:55" x14ac:dyDescent="0.2">
      <c r="A83" s="21"/>
      <c r="B83" s="22"/>
      <c r="C83" s="22"/>
      <c r="D83" s="23"/>
      <c r="E83" s="24"/>
      <c r="F83" s="34"/>
      <c r="H83" s="89" t="str">
        <f>IF(OR(D83="",F83="",A83=""),"",IF(E83="oui",0,IF(D83=OBJECTIFS!$C$45,VLOOKUP(F83,OBJECTIFS!$C$9:$D$11,2,FALSE),IF(D83=OBJECTIFS!$C$46,VLOOKUP(F83,OBJECTIFS!$C$16:$D$18,2,FALSE),IF(D83=OBJECTIFS!$C$47,VLOOKUP(F83,OBJECTIFS!$C$23:$D$25,2,FALSE),IF(D83=OBJECTIFS!$C$48,VLOOKUP(F83,OBJECTIFS!$C$30:$D$32,2,FALSE),IF(D83=OBJECTIFS!$C$49,VLOOKUP(F83,OBJECTIFS!$C$37:$D$39,2,FALSE))))))))</f>
        <v/>
      </c>
      <c r="J83" s="25"/>
      <c r="K83" s="90" t="str">
        <f>IF(OR($A83="",$D83="",J83=""),"",SUMIFS(OBJECTIFS!E$9:E$39,OBJECTIFS!$A$9:$A$39,$D83,OBJECTIFS!$C$9:$C$39,$F83))</f>
        <v/>
      </c>
      <c r="L83" s="90" t="str">
        <f>IF(OR(AND($D83=OBJECTIFS!$B$6,OBJECTIFS!E$8="dmt"),AND($D83=OBJECTIFS!$B$13,OBJECTIFS!$E$15="dmt"),AND($D83=OBJECTIFS!$B$20,OBJECTIFS!$E$22="dmt"),AND($D83=OBJECTIFS!$B$27,OBJECTIFS!$E$29="dmt"),AND($D83=OBJECTIFS!$B$34,OBJECTIFS!$E$36="dmt"),AND($D83=OBJECTIFS!$B$6,OBJECTIFS!$E$8="taux de chute"),AND($D83=OBJECTIFS!$B$13,OBJECTIFS!$E$15="taux de chute"),AND($D83=OBJECTIFS!$B$20,OBJECTIFS!$E$22="taux de chute"),AND($D83=OBJECTIFS!$B$27,OBJECTIFS!$E$29="taux de chute"),AND($D83=OBJECTIFS!$B$34,OBJECTIFS!$E$36="taux de chute")),IFERROR(K83/J83,""),IFERROR(J83/K83,""))</f>
        <v/>
      </c>
      <c r="M83" s="91">
        <f>IFERROR(IF(OR(J83="",K83="",L83=""),0,IF(L83&lt;OBJECTIFS!$E$56,0,IF(L83&lt;OBJECTIFS!$G$56,M$8*OBJECTIFS!$F$60,IF(L83&lt;OBJECTIFS!$I$56,M$8*OBJECTIFS!$H$60,M$8)))),0)</f>
        <v>0</v>
      </c>
      <c r="N83" s="161"/>
      <c r="O83" s="92" t="str">
        <f>IF(OR($A83="",$D83="",N83=""),"",SUMIFS(OBJECTIFS!F$9:F$39,OBJECTIFS!$A$9:$A$39,$D83,OBJECTIFS!$C$9:$C$39,$F83))</f>
        <v/>
      </c>
      <c r="P83" s="90" t="str">
        <f>IF(OR(AND($D83=OBJECTIFS!$B$6,OBJECTIFS!$F$8="dmt"),AND($D83=OBJECTIFS!$B$13,OBJECTIFS!$F$15="dmt"),AND($D83=OBJECTIFS!$B$20,OBJECTIFS!$F$22="dmt"),AND($D83=OBJECTIFS!$B$27,OBJECTIFS!$F$29="dmt"),AND($D83=OBJECTIFS!$B$34,OBJECTIFS!$F$36="dmt"),AND($D83=OBJECTIFS!$B$6,OBJECTIFS!$F$8="taux de chute"),AND($D83=OBJECTIFS!$B$13,OBJECTIFS!$F$15="taux de chute"),AND($D83=OBJECTIFS!$B$20,OBJECTIFS!$F$22="taux de chute"),AND($D83=OBJECTIFS!$B$27,OBJECTIFS!$F$29="taux de chute"),AND($D83=OBJECTIFS!$B$34,OBJECTIFS!$F$36="taux de chute")),IFERROR(O83/N83,""),IFERROR(N83/O83,""))</f>
        <v/>
      </c>
      <c r="Q83" s="91">
        <f>IFERROR(IF(OR(N83="",O83="",P83=""),0,IF(P83&lt;OBJECTIFS!$E$56,0,IF(P83&lt;OBJECTIFS!$G$56,Q$8*OBJECTIFS!$F$60,IF(P83&lt;OBJECTIFS!$I$56,Q$8*OBJECTIFS!$H$60,Q$8)))),0)</f>
        <v>0</v>
      </c>
      <c r="R83" s="164"/>
      <c r="S83" s="93" t="str">
        <f>IF(OR($A83="",$D83="",R83=""),"",SUMIFS(OBJECTIFS!G$9:G$39,OBJECTIFS!$A$9:$A$39,$D83,OBJECTIFS!$C$9:$C$39,$F83))</f>
        <v/>
      </c>
      <c r="T83" s="90" t="str">
        <f>IF(OR(AND($D83=OBJECTIFS!$B$6,OBJECTIFS!G$8="dmt"),AND($D83=OBJECTIFS!$B$13,OBJECTIFS!$G$15="dmt"),AND($D83=OBJECTIFS!$B$20,OBJECTIFS!$G$22="dmt"),AND($D83=OBJECTIFS!$B$27,OBJECTIFS!$G$29="dmt"),AND($D83=OBJECTIFS!$B$34,OBJECTIFS!$G$36="dmt"),AND($D83=OBJECTIFS!$B$6,OBJECTIFS!$G$8="taux de chute"),AND($D83=OBJECTIFS!$B$13,OBJECTIFS!$G$15="taux de chute"),AND($D83=OBJECTIFS!$B$20,OBJECTIFS!$G$22="taux de chute"),AND($D83=OBJECTIFS!$B$27,OBJECTIFS!$G$29="taux de chute"),AND($D83=OBJECTIFS!$B$34,OBJECTIFS!$G$36="taux de chute")),IFERROR(S83/R83,""),IFERROR(R83/S83,""))</f>
        <v/>
      </c>
      <c r="U83" s="94">
        <f>IFERROR(IF(OR(R83="",S83="",T83=""),0,IF(T83&lt;OBJECTIFS!$E$56,0,IF(T83&lt;OBJECTIFS!$G$56,U$8*OBJECTIFS!$F$60,IF(T83&lt;OBJECTIFS!$I$56,U$8*OBJECTIFS!$H$60,U$8)))),0)</f>
        <v>0</v>
      </c>
      <c r="V83" s="25"/>
      <c r="W83" s="90" t="str">
        <f>IF(OR($A83="",$D83="",V83=""),"",SUMIFS(OBJECTIFS!H$9:H$39,OBJECTIFS!$A$9:$A$39,$D83,OBJECTIFS!$C$9:$C$39,$F83))</f>
        <v/>
      </c>
      <c r="X83" s="90" t="str">
        <f>IF(OR(AND($D83=OBJECTIFS!$B$6,OBJECTIFS!H$8="dmt"),AND($D83=OBJECTIFS!$B$13,OBJECTIFS!$H$15="dmt"),AND($D83=OBJECTIFS!$B$20,OBJECTIFS!$H$22="dmt"),AND($D83=OBJECTIFS!$B$27,OBJECTIFS!$H$29="dmt"),AND($D83=OBJECTIFS!$B$34,OBJECTIFS!$H$36="dmt"),AND($D83=OBJECTIFS!$B$6,OBJECTIFS!$H$8="taux de chute"),AND($D83=OBJECTIFS!$B$13,OBJECTIFS!$H$15="taux de chute"),AND($D83=OBJECTIFS!$B$20,OBJECTIFS!$H$22="taux de chute"),AND($D83=OBJECTIFS!$B$27,OBJECTIFS!$H$29="taux de chute"),AND($D83=OBJECTIFS!$B$34,OBJECTIFS!$H$36="taux de chute")),IFERROR(W83/V83,""),IFERROR(V83/W83,""))</f>
        <v/>
      </c>
      <c r="Y83" s="91">
        <f>IFERROR(IF(OR(V83="",W83="",X83=""),0,IF(X83&lt;OBJECTIFS!$E$56,0,IF(X83&lt;OBJECTIFS!$G$56,Y$8*OBJECTIFS!$F$60,IF(X83&lt;OBJECTIFS!$I$56,Y$8*OBJECTIFS!$H$60,Y$8)))),0)</f>
        <v>0</v>
      </c>
      <c r="Z83" s="167"/>
      <c r="AA83" s="90" t="str">
        <f>IF(OR($A83="",$D83="",Z83=""),"",SUMIFS(OBJECTIFS!I$9:I$39,OBJECTIFS!$A$9:$A$39,$D83,OBJECTIFS!$C$9:$C$39,$F83))</f>
        <v/>
      </c>
      <c r="AB83" s="90" t="str">
        <f>IF(OR(AND($D83=OBJECTIFS!$B$6,OBJECTIFS!I$8="dmt"),AND($D83=OBJECTIFS!$B$13,OBJECTIFS!$I$15="dmt"),AND($D83=OBJECTIFS!$B$20,OBJECTIFS!$I$22="dmt"),AND($D83=OBJECTIFS!$B$27,OBJECTIFS!$I$29="dmt"),AND($D83=OBJECTIFS!$B$34,OBJECTIFS!$I$36="dmt"),AND($D83=OBJECTIFS!$B$6,OBJECTIFS!$I$8="taux de chute"),AND($D83=OBJECTIFS!$B$13,OBJECTIFS!$I$15="taux de chute"),AND($D83=OBJECTIFS!$B$20,OBJECTIFS!$I$22="taux de chute"),AND($D83=OBJECTIFS!$B$27,OBJECTIFS!$I$29="taux de chute"),AND($D83=OBJECTIFS!$B$34,OBJECTIFS!$I$36="taux de chute")),IFERROR(AA83/Z83,""),IFERROR(Z83/AA83,""))</f>
        <v/>
      </c>
      <c r="AC83" s="95">
        <f>IFERROR(IF(OR(Z83="",AA83="",AB83=""),0,IF(AB83&lt;OBJECTIFS!$E$56,0,IF(AB83&lt;OBJECTIFS!$G$56,AC$8*OBJECTIFS!$F$60,IF(AB83&lt;OBJECTIFS!$I$56,AC$8*OBJECTIFS!$H$60,AC$8)))),0)</f>
        <v>0</v>
      </c>
      <c r="AD83" s="186"/>
      <c r="AE83" s="187"/>
      <c r="AF83" s="96">
        <f t="shared" ca="1" si="20"/>
        <v>0</v>
      </c>
      <c r="AG83" s="63"/>
      <c r="AH83" s="186"/>
      <c r="AI83" s="24"/>
      <c r="AJ83" s="24"/>
      <c r="AK83" s="24"/>
      <c r="AL83" s="24"/>
      <c r="AM83" s="79">
        <f t="shared" si="21"/>
        <v>0</v>
      </c>
      <c r="AN83" s="79">
        <v>22</v>
      </c>
      <c r="AO83" s="80">
        <f t="shared" si="22"/>
        <v>0</v>
      </c>
      <c r="AP83" s="81" t="str">
        <f t="shared" ca="1" si="23"/>
        <v/>
      </c>
      <c r="AQ83" s="82"/>
      <c r="AR83" s="97">
        <f>IFERROR(VLOOKUP(B83,OBJECTIFS!$C$76:$E$137,2,FALSE),0)</f>
        <v>0</v>
      </c>
      <c r="AS83" s="98">
        <f>IFERROR(VLOOKUP(B83,OBJECTIFS!$H$76:$J$137,2,FALSE),0)</f>
        <v>0</v>
      </c>
      <c r="AT83" s="98">
        <f>IFERROR(VLOOKUP(B83,OBJECTIFS!$C$142:$E$203,2,FALSE),0)</f>
        <v>0</v>
      </c>
      <c r="AU83" s="98">
        <f>IFERROR(VLOOKUP(B83,OBJECTIFS!$H$142:$J$203,2,FALSE),0)</f>
        <v>0</v>
      </c>
      <c r="AV83" s="98">
        <f>IFERROR(VLOOKUP(B83,OBJECTIFS!$F$208:$H$269,3,FALSE),0)</f>
        <v>0</v>
      </c>
      <c r="AW83" s="81">
        <f t="shared" si="24"/>
        <v>0</v>
      </c>
      <c r="AX83" s="82"/>
      <c r="AY83" s="99" t="str">
        <f t="shared" ca="1" si="25"/>
        <v/>
      </c>
      <c r="AZ83" s="63"/>
      <c r="BA83" s="100">
        <f t="shared" ca="1" si="26"/>
        <v>0</v>
      </c>
      <c r="BB83" s="64" t="str">
        <f t="shared" ca="1" si="27"/>
        <v/>
      </c>
      <c r="BC83" s="101" t="str">
        <f t="shared" ca="1" si="28"/>
        <v/>
      </c>
    </row>
    <row r="84" spans="1:55" x14ac:dyDescent="0.2">
      <c r="A84" s="21"/>
      <c r="B84" s="22"/>
      <c r="C84" s="22"/>
      <c r="D84" s="23"/>
      <c r="E84" s="24"/>
      <c r="F84" s="34"/>
      <c r="H84" s="89" t="str">
        <f>IF(OR(D84="",F84="",A84=""),"",IF(E84="oui",0,IF(D84=OBJECTIFS!$C$45,VLOOKUP(F84,OBJECTIFS!$C$9:$D$11,2,FALSE),IF(D84=OBJECTIFS!$C$46,VLOOKUP(F84,OBJECTIFS!$C$16:$D$18,2,FALSE),IF(D84=OBJECTIFS!$C$47,VLOOKUP(F84,OBJECTIFS!$C$23:$D$25,2,FALSE),IF(D84=OBJECTIFS!$C$48,VLOOKUP(F84,OBJECTIFS!$C$30:$D$32,2,FALSE),IF(D84=OBJECTIFS!$C$49,VLOOKUP(F84,OBJECTIFS!$C$37:$D$39,2,FALSE))))))))</f>
        <v/>
      </c>
      <c r="J84" s="25"/>
      <c r="K84" s="90" t="str">
        <f>IF(OR($A84="",$D84="",J84=""),"",SUMIFS(OBJECTIFS!E$9:E$39,OBJECTIFS!$A$9:$A$39,$D84,OBJECTIFS!$C$9:$C$39,$F84))</f>
        <v/>
      </c>
      <c r="L84" s="90" t="str">
        <f>IF(OR(AND($D84=OBJECTIFS!$B$6,OBJECTIFS!E$8="dmt"),AND($D84=OBJECTIFS!$B$13,OBJECTIFS!$E$15="dmt"),AND($D84=OBJECTIFS!$B$20,OBJECTIFS!$E$22="dmt"),AND($D84=OBJECTIFS!$B$27,OBJECTIFS!$E$29="dmt"),AND($D84=OBJECTIFS!$B$34,OBJECTIFS!$E$36="dmt"),AND($D84=OBJECTIFS!$B$6,OBJECTIFS!$E$8="taux de chute"),AND($D84=OBJECTIFS!$B$13,OBJECTIFS!$E$15="taux de chute"),AND($D84=OBJECTIFS!$B$20,OBJECTIFS!$E$22="taux de chute"),AND($D84=OBJECTIFS!$B$27,OBJECTIFS!$E$29="taux de chute"),AND($D84=OBJECTIFS!$B$34,OBJECTIFS!$E$36="taux de chute")),IFERROR(K84/J84,""),IFERROR(J84/K84,""))</f>
        <v/>
      </c>
      <c r="M84" s="91">
        <f>IFERROR(IF(OR(J84="",K84="",L84=""),0,IF(L84&lt;OBJECTIFS!$E$56,0,IF(L84&lt;OBJECTIFS!$G$56,M$8*OBJECTIFS!$F$60,IF(L84&lt;OBJECTIFS!$I$56,M$8*OBJECTIFS!$H$60,M$8)))),0)</f>
        <v>0</v>
      </c>
      <c r="N84" s="161"/>
      <c r="O84" s="92" t="str">
        <f>IF(OR($A84="",$D84="",N84=""),"",SUMIFS(OBJECTIFS!F$9:F$39,OBJECTIFS!$A$9:$A$39,$D84,OBJECTIFS!$C$9:$C$39,$F84))</f>
        <v/>
      </c>
      <c r="P84" s="90" t="str">
        <f>IF(OR(AND($D84=OBJECTIFS!$B$6,OBJECTIFS!$F$8="dmt"),AND($D84=OBJECTIFS!$B$13,OBJECTIFS!$F$15="dmt"),AND($D84=OBJECTIFS!$B$20,OBJECTIFS!$F$22="dmt"),AND($D84=OBJECTIFS!$B$27,OBJECTIFS!$F$29="dmt"),AND($D84=OBJECTIFS!$B$34,OBJECTIFS!$F$36="dmt"),AND($D84=OBJECTIFS!$B$6,OBJECTIFS!$F$8="taux de chute"),AND($D84=OBJECTIFS!$B$13,OBJECTIFS!$F$15="taux de chute"),AND($D84=OBJECTIFS!$B$20,OBJECTIFS!$F$22="taux de chute"),AND($D84=OBJECTIFS!$B$27,OBJECTIFS!$F$29="taux de chute"),AND($D84=OBJECTIFS!$B$34,OBJECTIFS!$F$36="taux de chute")),IFERROR(O84/N84,""),IFERROR(N84/O84,""))</f>
        <v/>
      </c>
      <c r="Q84" s="91">
        <f>IFERROR(IF(OR(N84="",O84="",P84=""),0,IF(P84&lt;OBJECTIFS!$E$56,0,IF(P84&lt;OBJECTIFS!$G$56,Q$8*OBJECTIFS!$F$60,IF(P84&lt;OBJECTIFS!$I$56,Q$8*OBJECTIFS!$H$60,Q$8)))),0)</f>
        <v>0</v>
      </c>
      <c r="R84" s="164"/>
      <c r="S84" s="93" t="str">
        <f>IF(OR($A84="",$D84="",R84=""),"",SUMIFS(OBJECTIFS!G$9:G$39,OBJECTIFS!$A$9:$A$39,$D84,OBJECTIFS!$C$9:$C$39,$F84))</f>
        <v/>
      </c>
      <c r="T84" s="90" t="str">
        <f>IF(OR(AND($D84=OBJECTIFS!$B$6,OBJECTIFS!G$8="dmt"),AND($D84=OBJECTIFS!$B$13,OBJECTIFS!$G$15="dmt"),AND($D84=OBJECTIFS!$B$20,OBJECTIFS!$G$22="dmt"),AND($D84=OBJECTIFS!$B$27,OBJECTIFS!$G$29="dmt"),AND($D84=OBJECTIFS!$B$34,OBJECTIFS!$G$36="dmt"),AND($D84=OBJECTIFS!$B$6,OBJECTIFS!$G$8="taux de chute"),AND($D84=OBJECTIFS!$B$13,OBJECTIFS!$G$15="taux de chute"),AND($D84=OBJECTIFS!$B$20,OBJECTIFS!$G$22="taux de chute"),AND($D84=OBJECTIFS!$B$27,OBJECTIFS!$G$29="taux de chute"),AND($D84=OBJECTIFS!$B$34,OBJECTIFS!$G$36="taux de chute")),IFERROR(S84/R84,""),IFERROR(R84/S84,""))</f>
        <v/>
      </c>
      <c r="U84" s="94">
        <f>IFERROR(IF(OR(R84="",S84="",T84=""),0,IF(T84&lt;OBJECTIFS!$E$56,0,IF(T84&lt;OBJECTIFS!$G$56,U$8*OBJECTIFS!$F$60,IF(T84&lt;OBJECTIFS!$I$56,U$8*OBJECTIFS!$H$60,U$8)))),0)</f>
        <v>0</v>
      </c>
      <c r="V84" s="25"/>
      <c r="W84" s="90" t="str">
        <f>IF(OR($A84="",$D84="",V84=""),"",SUMIFS(OBJECTIFS!H$9:H$39,OBJECTIFS!$A$9:$A$39,$D84,OBJECTIFS!$C$9:$C$39,$F84))</f>
        <v/>
      </c>
      <c r="X84" s="90" t="str">
        <f>IF(OR(AND($D84=OBJECTIFS!$B$6,OBJECTIFS!H$8="dmt"),AND($D84=OBJECTIFS!$B$13,OBJECTIFS!$H$15="dmt"),AND($D84=OBJECTIFS!$B$20,OBJECTIFS!$H$22="dmt"),AND($D84=OBJECTIFS!$B$27,OBJECTIFS!$H$29="dmt"),AND($D84=OBJECTIFS!$B$34,OBJECTIFS!$H$36="dmt"),AND($D84=OBJECTIFS!$B$6,OBJECTIFS!$H$8="taux de chute"),AND($D84=OBJECTIFS!$B$13,OBJECTIFS!$H$15="taux de chute"),AND($D84=OBJECTIFS!$B$20,OBJECTIFS!$H$22="taux de chute"),AND($D84=OBJECTIFS!$B$27,OBJECTIFS!$H$29="taux de chute"),AND($D84=OBJECTIFS!$B$34,OBJECTIFS!$H$36="taux de chute")),IFERROR(W84/V84,""),IFERROR(V84/W84,""))</f>
        <v/>
      </c>
      <c r="Y84" s="91">
        <f>IFERROR(IF(OR(V84="",W84="",X84=""),0,IF(X84&lt;OBJECTIFS!$E$56,0,IF(X84&lt;OBJECTIFS!$G$56,Y$8*OBJECTIFS!$F$60,IF(X84&lt;OBJECTIFS!$I$56,Y$8*OBJECTIFS!$H$60,Y$8)))),0)</f>
        <v>0</v>
      </c>
      <c r="Z84" s="167"/>
      <c r="AA84" s="90" t="str">
        <f>IF(OR($A84="",$D84="",Z84=""),"",SUMIFS(OBJECTIFS!I$9:I$39,OBJECTIFS!$A$9:$A$39,$D84,OBJECTIFS!$C$9:$C$39,$F84))</f>
        <v/>
      </c>
      <c r="AB84" s="90" t="str">
        <f>IF(OR(AND($D84=OBJECTIFS!$B$6,OBJECTIFS!I$8="dmt"),AND($D84=OBJECTIFS!$B$13,OBJECTIFS!$I$15="dmt"),AND($D84=OBJECTIFS!$B$20,OBJECTIFS!$I$22="dmt"),AND($D84=OBJECTIFS!$B$27,OBJECTIFS!$I$29="dmt"),AND($D84=OBJECTIFS!$B$34,OBJECTIFS!$I$36="dmt"),AND($D84=OBJECTIFS!$B$6,OBJECTIFS!$I$8="taux de chute"),AND($D84=OBJECTIFS!$B$13,OBJECTIFS!$I$15="taux de chute"),AND($D84=OBJECTIFS!$B$20,OBJECTIFS!$I$22="taux de chute"),AND($D84=OBJECTIFS!$B$27,OBJECTIFS!$I$29="taux de chute"),AND($D84=OBJECTIFS!$B$34,OBJECTIFS!$I$36="taux de chute")),IFERROR(AA84/Z84,""),IFERROR(Z84/AA84,""))</f>
        <v/>
      </c>
      <c r="AC84" s="95">
        <f>IFERROR(IF(OR(Z84="",AA84="",AB84=""),0,IF(AB84&lt;OBJECTIFS!$E$56,0,IF(AB84&lt;OBJECTIFS!$G$56,AC$8*OBJECTIFS!$F$60,IF(AB84&lt;OBJECTIFS!$I$56,AC$8*OBJECTIFS!$H$60,AC$8)))),0)</f>
        <v>0</v>
      </c>
      <c r="AD84" s="186"/>
      <c r="AE84" s="187"/>
      <c r="AF84" s="96">
        <f t="shared" ca="1" si="20"/>
        <v>0</v>
      </c>
      <c r="AG84" s="63"/>
      <c r="AH84" s="186"/>
      <c r="AI84" s="24"/>
      <c r="AJ84" s="24"/>
      <c r="AK84" s="24"/>
      <c r="AL84" s="24"/>
      <c r="AM84" s="79">
        <f t="shared" si="21"/>
        <v>0</v>
      </c>
      <c r="AN84" s="79">
        <v>22</v>
      </c>
      <c r="AO84" s="80">
        <f t="shared" si="22"/>
        <v>0</v>
      </c>
      <c r="AP84" s="81" t="str">
        <f t="shared" ca="1" si="23"/>
        <v/>
      </c>
      <c r="AQ84" s="82"/>
      <c r="AR84" s="97">
        <f>IFERROR(VLOOKUP(B84,OBJECTIFS!$C$76:$E$137,2,FALSE),0)</f>
        <v>0</v>
      </c>
      <c r="AS84" s="98">
        <f>IFERROR(VLOOKUP(B84,OBJECTIFS!$H$76:$J$137,2,FALSE),0)</f>
        <v>0</v>
      </c>
      <c r="AT84" s="98">
        <f>IFERROR(VLOOKUP(B84,OBJECTIFS!$C$142:$E$203,2,FALSE),0)</f>
        <v>0</v>
      </c>
      <c r="AU84" s="98">
        <f>IFERROR(VLOOKUP(B84,OBJECTIFS!$H$142:$J$203,2,FALSE),0)</f>
        <v>0</v>
      </c>
      <c r="AV84" s="98">
        <f>IFERROR(VLOOKUP(B84,OBJECTIFS!$F$208:$H$269,3,FALSE),0)</f>
        <v>0</v>
      </c>
      <c r="AW84" s="81">
        <f t="shared" si="24"/>
        <v>0</v>
      </c>
      <c r="AX84" s="82"/>
      <c r="AY84" s="99" t="str">
        <f t="shared" ca="1" si="25"/>
        <v/>
      </c>
      <c r="AZ84" s="63"/>
      <c r="BA84" s="100">
        <f t="shared" ca="1" si="26"/>
        <v>0</v>
      </c>
      <c r="BB84" s="64" t="str">
        <f t="shared" ca="1" si="27"/>
        <v/>
      </c>
      <c r="BC84" s="101" t="str">
        <f t="shared" ca="1" si="28"/>
        <v/>
      </c>
    </row>
    <row r="85" spans="1:55" x14ac:dyDescent="0.2">
      <c r="A85" s="21"/>
      <c r="B85" s="22"/>
      <c r="C85" s="22"/>
      <c r="D85" s="23"/>
      <c r="E85" s="24"/>
      <c r="F85" s="34"/>
      <c r="H85" s="89" t="str">
        <f>IF(OR(D85="",F85="",A85=""),"",IF(E85="oui",0,IF(D85=OBJECTIFS!$C$45,VLOOKUP(F85,OBJECTIFS!$C$9:$D$11,2,FALSE),IF(D85=OBJECTIFS!$C$46,VLOOKUP(F85,OBJECTIFS!$C$16:$D$18,2,FALSE),IF(D85=OBJECTIFS!$C$47,VLOOKUP(F85,OBJECTIFS!$C$23:$D$25,2,FALSE),IF(D85=OBJECTIFS!$C$48,VLOOKUP(F85,OBJECTIFS!$C$30:$D$32,2,FALSE),IF(D85=OBJECTIFS!$C$49,VLOOKUP(F85,OBJECTIFS!$C$37:$D$39,2,FALSE))))))))</f>
        <v/>
      </c>
      <c r="J85" s="25"/>
      <c r="K85" s="90" t="str">
        <f>IF(OR($A85="",$D85="",J85=""),"",SUMIFS(OBJECTIFS!E$9:E$39,OBJECTIFS!$A$9:$A$39,$D85,OBJECTIFS!$C$9:$C$39,$F85))</f>
        <v/>
      </c>
      <c r="L85" s="90" t="str">
        <f>IF(OR(AND($D85=OBJECTIFS!$B$6,OBJECTIFS!E$8="dmt"),AND($D85=OBJECTIFS!$B$13,OBJECTIFS!$E$15="dmt"),AND($D85=OBJECTIFS!$B$20,OBJECTIFS!$E$22="dmt"),AND($D85=OBJECTIFS!$B$27,OBJECTIFS!$E$29="dmt"),AND($D85=OBJECTIFS!$B$34,OBJECTIFS!$E$36="dmt"),AND($D85=OBJECTIFS!$B$6,OBJECTIFS!$E$8="taux de chute"),AND($D85=OBJECTIFS!$B$13,OBJECTIFS!$E$15="taux de chute"),AND($D85=OBJECTIFS!$B$20,OBJECTIFS!$E$22="taux de chute"),AND($D85=OBJECTIFS!$B$27,OBJECTIFS!$E$29="taux de chute"),AND($D85=OBJECTIFS!$B$34,OBJECTIFS!$E$36="taux de chute")),IFERROR(K85/J85,""),IFERROR(J85/K85,""))</f>
        <v/>
      </c>
      <c r="M85" s="91">
        <f>IFERROR(IF(OR(J85="",K85="",L85=""),0,IF(L85&lt;OBJECTIFS!$E$56,0,IF(L85&lt;OBJECTIFS!$G$56,M$8*OBJECTIFS!$F$60,IF(L85&lt;OBJECTIFS!$I$56,M$8*OBJECTIFS!$H$60,M$8)))),0)</f>
        <v>0</v>
      </c>
      <c r="N85" s="161"/>
      <c r="O85" s="92" t="str">
        <f>IF(OR($A85="",$D85="",N85=""),"",SUMIFS(OBJECTIFS!F$9:F$39,OBJECTIFS!$A$9:$A$39,$D85,OBJECTIFS!$C$9:$C$39,$F85))</f>
        <v/>
      </c>
      <c r="P85" s="90" t="str">
        <f>IF(OR(AND($D85=OBJECTIFS!$B$6,OBJECTIFS!$F$8="dmt"),AND($D85=OBJECTIFS!$B$13,OBJECTIFS!$F$15="dmt"),AND($D85=OBJECTIFS!$B$20,OBJECTIFS!$F$22="dmt"),AND($D85=OBJECTIFS!$B$27,OBJECTIFS!$F$29="dmt"),AND($D85=OBJECTIFS!$B$34,OBJECTIFS!$F$36="dmt"),AND($D85=OBJECTIFS!$B$6,OBJECTIFS!$F$8="taux de chute"),AND($D85=OBJECTIFS!$B$13,OBJECTIFS!$F$15="taux de chute"),AND($D85=OBJECTIFS!$B$20,OBJECTIFS!$F$22="taux de chute"),AND($D85=OBJECTIFS!$B$27,OBJECTIFS!$F$29="taux de chute"),AND($D85=OBJECTIFS!$B$34,OBJECTIFS!$F$36="taux de chute")),IFERROR(O85/N85,""),IFERROR(N85/O85,""))</f>
        <v/>
      </c>
      <c r="Q85" s="91">
        <f>IFERROR(IF(OR(N85="",O85="",P85=""),0,IF(P85&lt;OBJECTIFS!$E$56,0,IF(P85&lt;OBJECTIFS!$G$56,Q$8*OBJECTIFS!$F$60,IF(P85&lt;OBJECTIFS!$I$56,Q$8*OBJECTIFS!$H$60,Q$8)))),0)</f>
        <v>0</v>
      </c>
      <c r="R85" s="164"/>
      <c r="S85" s="93" t="str">
        <f>IF(OR($A85="",$D85="",R85=""),"",SUMIFS(OBJECTIFS!G$9:G$39,OBJECTIFS!$A$9:$A$39,$D85,OBJECTIFS!$C$9:$C$39,$F85))</f>
        <v/>
      </c>
      <c r="T85" s="90" t="str">
        <f>IF(OR(AND($D85=OBJECTIFS!$B$6,OBJECTIFS!G$8="dmt"),AND($D85=OBJECTIFS!$B$13,OBJECTIFS!$G$15="dmt"),AND($D85=OBJECTIFS!$B$20,OBJECTIFS!$G$22="dmt"),AND($D85=OBJECTIFS!$B$27,OBJECTIFS!$G$29="dmt"),AND($D85=OBJECTIFS!$B$34,OBJECTIFS!$G$36="dmt"),AND($D85=OBJECTIFS!$B$6,OBJECTIFS!$G$8="taux de chute"),AND($D85=OBJECTIFS!$B$13,OBJECTIFS!$G$15="taux de chute"),AND($D85=OBJECTIFS!$B$20,OBJECTIFS!$G$22="taux de chute"),AND($D85=OBJECTIFS!$B$27,OBJECTIFS!$G$29="taux de chute"),AND($D85=OBJECTIFS!$B$34,OBJECTIFS!$G$36="taux de chute")),IFERROR(S85/R85,""),IFERROR(R85/S85,""))</f>
        <v/>
      </c>
      <c r="U85" s="94">
        <f>IFERROR(IF(OR(R85="",S85="",T85=""),0,IF(T85&lt;OBJECTIFS!$E$56,0,IF(T85&lt;OBJECTIFS!$G$56,U$8*OBJECTIFS!$F$60,IF(T85&lt;OBJECTIFS!$I$56,U$8*OBJECTIFS!$H$60,U$8)))),0)</f>
        <v>0</v>
      </c>
      <c r="V85" s="25"/>
      <c r="W85" s="90" t="str">
        <f>IF(OR($A85="",$D85="",V85=""),"",SUMIFS(OBJECTIFS!H$9:H$39,OBJECTIFS!$A$9:$A$39,$D85,OBJECTIFS!$C$9:$C$39,$F85))</f>
        <v/>
      </c>
      <c r="X85" s="90" t="str">
        <f>IF(OR(AND($D85=OBJECTIFS!$B$6,OBJECTIFS!H$8="dmt"),AND($D85=OBJECTIFS!$B$13,OBJECTIFS!$H$15="dmt"),AND($D85=OBJECTIFS!$B$20,OBJECTIFS!$H$22="dmt"),AND($D85=OBJECTIFS!$B$27,OBJECTIFS!$H$29="dmt"),AND($D85=OBJECTIFS!$B$34,OBJECTIFS!$H$36="dmt"),AND($D85=OBJECTIFS!$B$6,OBJECTIFS!$H$8="taux de chute"),AND($D85=OBJECTIFS!$B$13,OBJECTIFS!$H$15="taux de chute"),AND($D85=OBJECTIFS!$B$20,OBJECTIFS!$H$22="taux de chute"),AND($D85=OBJECTIFS!$B$27,OBJECTIFS!$H$29="taux de chute"),AND($D85=OBJECTIFS!$B$34,OBJECTIFS!$H$36="taux de chute")),IFERROR(W85/V85,""),IFERROR(V85/W85,""))</f>
        <v/>
      </c>
      <c r="Y85" s="91">
        <f>IFERROR(IF(OR(V85="",W85="",X85=""),0,IF(X85&lt;OBJECTIFS!$E$56,0,IF(X85&lt;OBJECTIFS!$G$56,Y$8*OBJECTIFS!$F$60,IF(X85&lt;OBJECTIFS!$I$56,Y$8*OBJECTIFS!$H$60,Y$8)))),0)</f>
        <v>0</v>
      </c>
      <c r="Z85" s="167"/>
      <c r="AA85" s="90" t="str">
        <f>IF(OR($A85="",$D85="",Z85=""),"",SUMIFS(OBJECTIFS!I$9:I$39,OBJECTIFS!$A$9:$A$39,$D85,OBJECTIFS!$C$9:$C$39,$F85))</f>
        <v/>
      </c>
      <c r="AB85" s="90" t="str">
        <f>IF(OR(AND($D85=OBJECTIFS!$B$6,OBJECTIFS!I$8="dmt"),AND($D85=OBJECTIFS!$B$13,OBJECTIFS!$I$15="dmt"),AND($D85=OBJECTIFS!$B$20,OBJECTIFS!$I$22="dmt"),AND($D85=OBJECTIFS!$B$27,OBJECTIFS!$I$29="dmt"),AND($D85=OBJECTIFS!$B$34,OBJECTIFS!$I$36="dmt"),AND($D85=OBJECTIFS!$B$6,OBJECTIFS!$I$8="taux de chute"),AND($D85=OBJECTIFS!$B$13,OBJECTIFS!$I$15="taux de chute"),AND($D85=OBJECTIFS!$B$20,OBJECTIFS!$I$22="taux de chute"),AND($D85=OBJECTIFS!$B$27,OBJECTIFS!$I$29="taux de chute"),AND($D85=OBJECTIFS!$B$34,OBJECTIFS!$I$36="taux de chute")),IFERROR(AA85/Z85,""),IFERROR(Z85/AA85,""))</f>
        <v/>
      </c>
      <c r="AC85" s="95">
        <f>IFERROR(IF(OR(Z85="",AA85="",AB85=""),0,IF(AB85&lt;OBJECTIFS!$E$56,0,IF(AB85&lt;OBJECTIFS!$G$56,AC$8*OBJECTIFS!$F$60,IF(AB85&lt;OBJECTIFS!$I$56,AC$8*OBJECTIFS!$H$60,AC$8)))),0)</f>
        <v>0</v>
      </c>
      <c r="AD85" s="186"/>
      <c r="AE85" s="187"/>
      <c r="AF85" s="96">
        <f t="shared" ca="1" si="20"/>
        <v>0</v>
      </c>
      <c r="AG85" s="63"/>
      <c r="AH85" s="186"/>
      <c r="AI85" s="24"/>
      <c r="AJ85" s="24"/>
      <c r="AK85" s="24"/>
      <c r="AL85" s="24"/>
      <c r="AM85" s="79">
        <f t="shared" si="21"/>
        <v>0</v>
      </c>
      <c r="AN85" s="79">
        <v>22</v>
      </c>
      <c r="AO85" s="80">
        <f t="shared" si="22"/>
        <v>0</v>
      </c>
      <c r="AP85" s="81" t="str">
        <f t="shared" ca="1" si="23"/>
        <v/>
      </c>
      <c r="AQ85" s="82"/>
      <c r="AR85" s="97">
        <f>IFERROR(VLOOKUP(B85,OBJECTIFS!$C$76:$E$137,2,FALSE),0)</f>
        <v>0</v>
      </c>
      <c r="AS85" s="98">
        <f>IFERROR(VLOOKUP(B85,OBJECTIFS!$H$76:$J$137,2,FALSE),0)</f>
        <v>0</v>
      </c>
      <c r="AT85" s="98">
        <f>IFERROR(VLOOKUP(B85,OBJECTIFS!$C$142:$E$203,2,FALSE),0)</f>
        <v>0</v>
      </c>
      <c r="AU85" s="98">
        <f>IFERROR(VLOOKUP(B85,OBJECTIFS!$H$142:$J$203,2,FALSE),0)</f>
        <v>0</v>
      </c>
      <c r="AV85" s="98">
        <f>IFERROR(VLOOKUP(B85,OBJECTIFS!$F$208:$H$269,3,FALSE),0)</f>
        <v>0</v>
      </c>
      <c r="AW85" s="81">
        <f t="shared" si="24"/>
        <v>0</v>
      </c>
      <c r="AX85" s="82"/>
      <c r="AY85" s="99" t="str">
        <f t="shared" ca="1" si="25"/>
        <v/>
      </c>
      <c r="AZ85" s="63"/>
      <c r="BA85" s="100">
        <f t="shared" ca="1" si="26"/>
        <v>0</v>
      </c>
      <c r="BB85" s="64" t="str">
        <f t="shared" ca="1" si="27"/>
        <v/>
      </c>
      <c r="BC85" s="101" t="str">
        <f t="shared" ca="1" si="28"/>
        <v/>
      </c>
    </row>
    <row r="86" spans="1:55" x14ac:dyDescent="0.2">
      <c r="A86" s="21"/>
      <c r="B86" s="22"/>
      <c r="C86" s="22"/>
      <c r="D86" s="23"/>
      <c r="E86" s="24"/>
      <c r="F86" s="34"/>
      <c r="H86" s="89" t="str">
        <f>IF(OR(D86="",F86="",A86=""),"",IF(E86="oui",0,IF(D86=OBJECTIFS!$C$45,VLOOKUP(F86,OBJECTIFS!$C$9:$D$11,2,FALSE),IF(D86=OBJECTIFS!$C$46,VLOOKUP(F86,OBJECTIFS!$C$16:$D$18,2,FALSE),IF(D86=OBJECTIFS!$C$47,VLOOKUP(F86,OBJECTIFS!$C$23:$D$25,2,FALSE),IF(D86=OBJECTIFS!$C$48,VLOOKUP(F86,OBJECTIFS!$C$30:$D$32,2,FALSE),IF(D86=OBJECTIFS!$C$49,VLOOKUP(F86,OBJECTIFS!$C$37:$D$39,2,FALSE))))))))</f>
        <v/>
      </c>
      <c r="J86" s="25"/>
      <c r="K86" s="90" t="str">
        <f>IF(OR($A86="",$D86="",J86=""),"",SUMIFS(OBJECTIFS!E$9:E$39,OBJECTIFS!$A$9:$A$39,$D86,OBJECTIFS!$C$9:$C$39,$F86))</f>
        <v/>
      </c>
      <c r="L86" s="90" t="str">
        <f>IF(OR(AND($D86=OBJECTIFS!$B$6,OBJECTIFS!E$8="dmt"),AND($D86=OBJECTIFS!$B$13,OBJECTIFS!$E$15="dmt"),AND($D86=OBJECTIFS!$B$20,OBJECTIFS!$E$22="dmt"),AND($D86=OBJECTIFS!$B$27,OBJECTIFS!$E$29="dmt"),AND($D86=OBJECTIFS!$B$34,OBJECTIFS!$E$36="dmt"),AND($D86=OBJECTIFS!$B$6,OBJECTIFS!$E$8="taux de chute"),AND($D86=OBJECTIFS!$B$13,OBJECTIFS!$E$15="taux de chute"),AND($D86=OBJECTIFS!$B$20,OBJECTIFS!$E$22="taux de chute"),AND($D86=OBJECTIFS!$B$27,OBJECTIFS!$E$29="taux de chute"),AND($D86=OBJECTIFS!$B$34,OBJECTIFS!$E$36="taux de chute")),IFERROR(K86/J86,""),IFERROR(J86/K86,""))</f>
        <v/>
      </c>
      <c r="M86" s="91">
        <f>IFERROR(IF(OR(J86="",K86="",L86=""),0,IF(L86&lt;OBJECTIFS!$E$56,0,IF(L86&lt;OBJECTIFS!$G$56,M$8*OBJECTIFS!$F$60,IF(L86&lt;OBJECTIFS!$I$56,M$8*OBJECTIFS!$H$60,M$8)))),0)</f>
        <v>0</v>
      </c>
      <c r="N86" s="161"/>
      <c r="O86" s="92" t="str">
        <f>IF(OR($A86="",$D86="",N86=""),"",SUMIFS(OBJECTIFS!F$9:F$39,OBJECTIFS!$A$9:$A$39,$D86,OBJECTIFS!$C$9:$C$39,$F86))</f>
        <v/>
      </c>
      <c r="P86" s="90" t="str">
        <f>IF(OR(AND($D86=OBJECTIFS!$B$6,OBJECTIFS!$F$8="dmt"),AND($D86=OBJECTIFS!$B$13,OBJECTIFS!$F$15="dmt"),AND($D86=OBJECTIFS!$B$20,OBJECTIFS!$F$22="dmt"),AND($D86=OBJECTIFS!$B$27,OBJECTIFS!$F$29="dmt"),AND($D86=OBJECTIFS!$B$34,OBJECTIFS!$F$36="dmt"),AND($D86=OBJECTIFS!$B$6,OBJECTIFS!$F$8="taux de chute"),AND($D86=OBJECTIFS!$B$13,OBJECTIFS!$F$15="taux de chute"),AND($D86=OBJECTIFS!$B$20,OBJECTIFS!$F$22="taux de chute"),AND($D86=OBJECTIFS!$B$27,OBJECTIFS!$F$29="taux de chute"),AND($D86=OBJECTIFS!$B$34,OBJECTIFS!$F$36="taux de chute")),IFERROR(O86/N86,""),IFERROR(N86/O86,""))</f>
        <v/>
      </c>
      <c r="Q86" s="91">
        <f>IFERROR(IF(OR(N86="",O86="",P86=""),0,IF(P86&lt;OBJECTIFS!$E$56,0,IF(P86&lt;OBJECTIFS!$G$56,Q$8*OBJECTIFS!$F$60,IF(P86&lt;OBJECTIFS!$I$56,Q$8*OBJECTIFS!$H$60,Q$8)))),0)</f>
        <v>0</v>
      </c>
      <c r="R86" s="164"/>
      <c r="S86" s="93" t="str">
        <f>IF(OR($A86="",$D86="",R86=""),"",SUMIFS(OBJECTIFS!G$9:G$39,OBJECTIFS!$A$9:$A$39,$D86,OBJECTIFS!$C$9:$C$39,$F86))</f>
        <v/>
      </c>
      <c r="T86" s="90" t="str">
        <f>IF(OR(AND($D86=OBJECTIFS!$B$6,OBJECTIFS!G$8="dmt"),AND($D86=OBJECTIFS!$B$13,OBJECTIFS!$G$15="dmt"),AND($D86=OBJECTIFS!$B$20,OBJECTIFS!$G$22="dmt"),AND($D86=OBJECTIFS!$B$27,OBJECTIFS!$G$29="dmt"),AND($D86=OBJECTIFS!$B$34,OBJECTIFS!$G$36="dmt"),AND($D86=OBJECTIFS!$B$6,OBJECTIFS!$G$8="taux de chute"),AND($D86=OBJECTIFS!$B$13,OBJECTIFS!$G$15="taux de chute"),AND($D86=OBJECTIFS!$B$20,OBJECTIFS!$G$22="taux de chute"),AND($D86=OBJECTIFS!$B$27,OBJECTIFS!$G$29="taux de chute"),AND($D86=OBJECTIFS!$B$34,OBJECTIFS!$G$36="taux de chute")),IFERROR(S86/R86,""),IFERROR(R86/S86,""))</f>
        <v/>
      </c>
      <c r="U86" s="94">
        <f>IFERROR(IF(OR(R86="",S86="",T86=""),0,IF(T86&lt;OBJECTIFS!$E$56,0,IF(T86&lt;OBJECTIFS!$G$56,U$8*OBJECTIFS!$F$60,IF(T86&lt;OBJECTIFS!$I$56,U$8*OBJECTIFS!$H$60,U$8)))),0)</f>
        <v>0</v>
      </c>
      <c r="V86" s="25"/>
      <c r="W86" s="90" t="str">
        <f>IF(OR($A86="",$D86="",V86=""),"",SUMIFS(OBJECTIFS!H$9:H$39,OBJECTIFS!$A$9:$A$39,$D86,OBJECTIFS!$C$9:$C$39,$F86))</f>
        <v/>
      </c>
      <c r="X86" s="90" t="str">
        <f>IF(OR(AND($D86=OBJECTIFS!$B$6,OBJECTIFS!H$8="dmt"),AND($D86=OBJECTIFS!$B$13,OBJECTIFS!$H$15="dmt"),AND($D86=OBJECTIFS!$B$20,OBJECTIFS!$H$22="dmt"),AND($D86=OBJECTIFS!$B$27,OBJECTIFS!$H$29="dmt"),AND($D86=OBJECTIFS!$B$34,OBJECTIFS!$H$36="dmt"),AND($D86=OBJECTIFS!$B$6,OBJECTIFS!$H$8="taux de chute"),AND($D86=OBJECTIFS!$B$13,OBJECTIFS!$H$15="taux de chute"),AND($D86=OBJECTIFS!$B$20,OBJECTIFS!$H$22="taux de chute"),AND($D86=OBJECTIFS!$B$27,OBJECTIFS!$H$29="taux de chute"),AND($D86=OBJECTIFS!$B$34,OBJECTIFS!$H$36="taux de chute")),IFERROR(W86/V86,""),IFERROR(V86/W86,""))</f>
        <v/>
      </c>
      <c r="Y86" s="91">
        <f>IFERROR(IF(OR(V86="",W86="",X86=""),0,IF(X86&lt;OBJECTIFS!$E$56,0,IF(X86&lt;OBJECTIFS!$G$56,Y$8*OBJECTIFS!$F$60,IF(X86&lt;OBJECTIFS!$I$56,Y$8*OBJECTIFS!$H$60,Y$8)))),0)</f>
        <v>0</v>
      </c>
      <c r="Z86" s="167"/>
      <c r="AA86" s="90" t="str">
        <f>IF(OR($A86="",$D86="",Z86=""),"",SUMIFS(OBJECTIFS!I$9:I$39,OBJECTIFS!$A$9:$A$39,$D86,OBJECTIFS!$C$9:$C$39,$F86))</f>
        <v/>
      </c>
      <c r="AB86" s="90" t="str">
        <f>IF(OR(AND($D86=OBJECTIFS!$B$6,OBJECTIFS!I$8="dmt"),AND($D86=OBJECTIFS!$B$13,OBJECTIFS!$I$15="dmt"),AND($D86=OBJECTIFS!$B$20,OBJECTIFS!$I$22="dmt"),AND($D86=OBJECTIFS!$B$27,OBJECTIFS!$I$29="dmt"),AND($D86=OBJECTIFS!$B$34,OBJECTIFS!$I$36="dmt"),AND($D86=OBJECTIFS!$B$6,OBJECTIFS!$I$8="taux de chute"),AND($D86=OBJECTIFS!$B$13,OBJECTIFS!$I$15="taux de chute"),AND($D86=OBJECTIFS!$B$20,OBJECTIFS!$I$22="taux de chute"),AND($D86=OBJECTIFS!$B$27,OBJECTIFS!$I$29="taux de chute"),AND($D86=OBJECTIFS!$B$34,OBJECTIFS!$I$36="taux de chute")),IFERROR(AA86/Z86,""),IFERROR(Z86/AA86,""))</f>
        <v/>
      </c>
      <c r="AC86" s="95">
        <f>IFERROR(IF(OR(Z86="",AA86="",AB86=""),0,IF(AB86&lt;OBJECTIFS!$E$56,0,IF(AB86&lt;OBJECTIFS!$G$56,AC$8*OBJECTIFS!$F$60,IF(AB86&lt;OBJECTIFS!$I$56,AC$8*OBJECTIFS!$H$60,AC$8)))),0)</f>
        <v>0</v>
      </c>
      <c r="AD86" s="186"/>
      <c r="AE86" s="187"/>
      <c r="AF86" s="96">
        <f t="shared" ca="1" si="20"/>
        <v>0</v>
      </c>
      <c r="AG86" s="63"/>
      <c r="AH86" s="186"/>
      <c r="AI86" s="24"/>
      <c r="AJ86" s="24"/>
      <c r="AK86" s="24"/>
      <c r="AL86" s="24"/>
      <c r="AM86" s="79">
        <f t="shared" si="21"/>
        <v>0</v>
      </c>
      <c r="AN86" s="79">
        <v>22</v>
      </c>
      <c r="AO86" s="80">
        <f t="shared" si="22"/>
        <v>0</v>
      </c>
      <c r="AP86" s="81" t="str">
        <f t="shared" ca="1" si="23"/>
        <v/>
      </c>
      <c r="AQ86" s="82"/>
      <c r="AR86" s="97">
        <f>IFERROR(VLOOKUP(B86,OBJECTIFS!$C$76:$E$137,2,FALSE),0)</f>
        <v>0</v>
      </c>
      <c r="AS86" s="98">
        <f>IFERROR(VLOOKUP(B86,OBJECTIFS!$H$76:$J$137,2,FALSE),0)</f>
        <v>0</v>
      </c>
      <c r="AT86" s="98">
        <f>IFERROR(VLOOKUP(B86,OBJECTIFS!$C$142:$E$203,2,FALSE),0)</f>
        <v>0</v>
      </c>
      <c r="AU86" s="98">
        <f>IFERROR(VLOOKUP(B86,OBJECTIFS!$H$142:$J$203,2,FALSE),0)</f>
        <v>0</v>
      </c>
      <c r="AV86" s="98">
        <f>IFERROR(VLOOKUP(B86,OBJECTIFS!$F$208:$H$269,3,FALSE),0)</f>
        <v>0</v>
      </c>
      <c r="AW86" s="81">
        <f t="shared" si="24"/>
        <v>0</v>
      </c>
      <c r="AX86" s="82"/>
      <c r="AY86" s="99" t="str">
        <f t="shared" ca="1" si="25"/>
        <v/>
      </c>
      <c r="AZ86" s="63"/>
      <c r="BA86" s="100">
        <f t="shared" ca="1" si="26"/>
        <v>0</v>
      </c>
      <c r="BB86" s="64" t="str">
        <f t="shared" ca="1" si="27"/>
        <v/>
      </c>
      <c r="BC86" s="101" t="str">
        <f t="shared" ca="1" si="28"/>
        <v/>
      </c>
    </row>
    <row r="87" spans="1:55" x14ac:dyDescent="0.2">
      <c r="A87" s="21"/>
      <c r="B87" s="22"/>
      <c r="C87" s="22"/>
      <c r="D87" s="23"/>
      <c r="E87" s="24"/>
      <c r="F87" s="34"/>
      <c r="H87" s="89" t="str">
        <f>IF(OR(D87="",F87="",A87=""),"",IF(E87="oui",0,IF(D87=OBJECTIFS!$C$45,VLOOKUP(F87,OBJECTIFS!$C$9:$D$11,2,FALSE),IF(D87=OBJECTIFS!$C$46,VLOOKUP(F87,OBJECTIFS!$C$16:$D$18,2,FALSE),IF(D87=OBJECTIFS!$C$47,VLOOKUP(F87,OBJECTIFS!$C$23:$D$25,2,FALSE),IF(D87=OBJECTIFS!$C$48,VLOOKUP(F87,OBJECTIFS!$C$30:$D$32,2,FALSE),IF(D87=OBJECTIFS!$C$49,VLOOKUP(F87,OBJECTIFS!$C$37:$D$39,2,FALSE))))))))</f>
        <v/>
      </c>
      <c r="J87" s="25"/>
      <c r="K87" s="90" t="str">
        <f>IF(OR($A87="",$D87="",J87=""),"",SUMIFS(OBJECTIFS!E$9:E$39,OBJECTIFS!$A$9:$A$39,$D87,OBJECTIFS!$C$9:$C$39,$F87))</f>
        <v/>
      </c>
      <c r="L87" s="90" t="str">
        <f>IF(OR(AND($D87=OBJECTIFS!$B$6,OBJECTIFS!E$8="dmt"),AND($D87=OBJECTIFS!$B$13,OBJECTIFS!$E$15="dmt"),AND($D87=OBJECTIFS!$B$20,OBJECTIFS!$E$22="dmt"),AND($D87=OBJECTIFS!$B$27,OBJECTIFS!$E$29="dmt"),AND($D87=OBJECTIFS!$B$34,OBJECTIFS!$E$36="dmt"),AND($D87=OBJECTIFS!$B$6,OBJECTIFS!$E$8="taux de chute"),AND($D87=OBJECTIFS!$B$13,OBJECTIFS!$E$15="taux de chute"),AND($D87=OBJECTIFS!$B$20,OBJECTIFS!$E$22="taux de chute"),AND($D87=OBJECTIFS!$B$27,OBJECTIFS!$E$29="taux de chute"),AND($D87=OBJECTIFS!$B$34,OBJECTIFS!$E$36="taux de chute")),IFERROR(K87/J87,""),IFERROR(J87/K87,""))</f>
        <v/>
      </c>
      <c r="M87" s="91">
        <f>IFERROR(IF(OR(J87="",K87="",L87=""),0,IF(L87&lt;OBJECTIFS!$E$56,0,IF(L87&lt;OBJECTIFS!$G$56,M$8*OBJECTIFS!$F$60,IF(L87&lt;OBJECTIFS!$I$56,M$8*OBJECTIFS!$H$60,M$8)))),0)</f>
        <v>0</v>
      </c>
      <c r="N87" s="161"/>
      <c r="O87" s="92" t="str">
        <f>IF(OR($A87="",$D87="",N87=""),"",SUMIFS(OBJECTIFS!F$9:F$39,OBJECTIFS!$A$9:$A$39,$D87,OBJECTIFS!$C$9:$C$39,$F87))</f>
        <v/>
      </c>
      <c r="P87" s="90" t="str">
        <f>IF(OR(AND($D87=OBJECTIFS!$B$6,OBJECTIFS!$F$8="dmt"),AND($D87=OBJECTIFS!$B$13,OBJECTIFS!$F$15="dmt"),AND($D87=OBJECTIFS!$B$20,OBJECTIFS!$F$22="dmt"),AND($D87=OBJECTIFS!$B$27,OBJECTIFS!$F$29="dmt"),AND($D87=OBJECTIFS!$B$34,OBJECTIFS!$F$36="dmt"),AND($D87=OBJECTIFS!$B$6,OBJECTIFS!$F$8="taux de chute"),AND($D87=OBJECTIFS!$B$13,OBJECTIFS!$F$15="taux de chute"),AND($D87=OBJECTIFS!$B$20,OBJECTIFS!$F$22="taux de chute"),AND($D87=OBJECTIFS!$B$27,OBJECTIFS!$F$29="taux de chute"),AND($D87=OBJECTIFS!$B$34,OBJECTIFS!$F$36="taux de chute")),IFERROR(O87/N87,""),IFERROR(N87/O87,""))</f>
        <v/>
      </c>
      <c r="Q87" s="91">
        <f>IFERROR(IF(OR(N87="",O87="",P87=""),0,IF(P87&lt;OBJECTIFS!$E$56,0,IF(P87&lt;OBJECTIFS!$G$56,Q$8*OBJECTIFS!$F$60,IF(P87&lt;OBJECTIFS!$I$56,Q$8*OBJECTIFS!$H$60,Q$8)))),0)</f>
        <v>0</v>
      </c>
      <c r="R87" s="164"/>
      <c r="S87" s="93" t="str">
        <f>IF(OR($A87="",$D87="",R87=""),"",SUMIFS(OBJECTIFS!G$9:G$39,OBJECTIFS!$A$9:$A$39,$D87,OBJECTIFS!$C$9:$C$39,$F87))</f>
        <v/>
      </c>
      <c r="T87" s="90" t="str">
        <f>IF(OR(AND($D87=OBJECTIFS!$B$6,OBJECTIFS!G$8="dmt"),AND($D87=OBJECTIFS!$B$13,OBJECTIFS!$G$15="dmt"),AND($D87=OBJECTIFS!$B$20,OBJECTIFS!$G$22="dmt"),AND($D87=OBJECTIFS!$B$27,OBJECTIFS!$G$29="dmt"),AND($D87=OBJECTIFS!$B$34,OBJECTIFS!$G$36="dmt"),AND($D87=OBJECTIFS!$B$6,OBJECTIFS!$G$8="taux de chute"),AND($D87=OBJECTIFS!$B$13,OBJECTIFS!$G$15="taux de chute"),AND($D87=OBJECTIFS!$B$20,OBJECTIFS!$G$22="taux de chute"),AND($D87=OBJECTIFS!$B$27,OBJECTIFS!$G$29="taux de chute"),AND($D87=OBJECTIFS!$B$34,OBJECTIFS!$G$36="taux de chute")),IFERROR(S87/R87,""),IFERROR(R87/S87,""))</f>
        <v/>
      </c>
      <c r="U87" s="94">
        <f>IFERROR(IF(OR(R87="",S87="",T87=""),0,IF(T87&lt;OBJECTIFS!$E$56,0,IF(T87&lt;OBJECTIFS!$G$56,U$8*OBJECTIFS!$F$60,IF(T87&lt;OBJECTIFS!$I$56,U$8*OBJECTIFS!$H$60,U$8)))),0)</f>
        <v>0</v>
      </c>
      <c r="V87" s="25"/>
      <c r="W87" s="90" t="str">
        <f>IF(OR($A87="",$D87="",V87=""),"",SUMIFS(OBJECTIFS!H$9:H$39,OBJECTIFS!$A$9:$A$39,$D87,OBJECTIFS!$C$9:$C$39,$F87))</f>
        <v/>
      </c>
      <c r="X87" s="90" t="str">
        <f>IF(OR(AND($D87=OBJECTIFS!$B$6,OBJECTIFS!H$8="dmt"),AND($D87=OBJECTIFS!$B$13,OBJECTIFS!$H$15="dmt"),AND($D87=OBJECTIFS!$B$20,OBJECTIFS!$H$22="dmt"),AND($D87=OBJECTIFS!$B$27,OBJECTIFS!$H$29="dmt"),AND($D87=OBJECTIFS!$B$34,OBJECTIFS!$H$36="dmt"),AND($D87=OBJECTIFS!$B$6,OBJECTIFS!$H$8="taux de chute"),AND($D87=OBJECTIFS!$B$13,OBJECTIFS!$H$15="taux de chute"),AND($D87=OBJECTIFS!$B$20,OBJECTIFS!$H$22="taux de chute"),AND($D87=OBJECTIFS!$B$27,OBJECTIFS!$H$29="taux de chute"),AND($D87=OBJECTIFS!$B$34,OBJECTIFS!$H$36="taux de chute")),IFERROR(W87/V87,""),IFERROR(V87/W87,""))</f>
        <v/>
      </c>
      <c r="Y87" s="91">
        <f>IFERROR(IF(OR(V87="",W87="",X87=""),0,IF(X87&lt;OBJECTIFS!$E$56,0,IF(X87&lt;OBJECTIFS!$G$56,Y$8*OBJECTIFS!$F$60,IF(X87&lt;OBJECTIFS!$I$56,Y$8*OBJECTIFS!$H$60,Y$8)))),0)</f>
        <v>0</v>
      </c>
      <c r="Z87" s="167"/>
      <c r="AA87" s="90" t="str">
        <f>IF(OR($A87="",$D87="",Z87=""),"",SUMIFS(OBJECTIFS!I$9:I$39,OBJECTIFS!$A$9:$A$39,$D87,OBJECTIFS!$C$9:$C$39,$F87))</f>
        <v/>
      </c>
      <c r="AB87" s="90" t="str">
        <f>IF(OR(AND($D87=OBJECTIFS!$B$6,OBJECTIFS!I$8="dmt"),AND($D87=OBJECTIFS!$B$13,OBJECTIFS!$I$15="dmt"),AND($D87=OBJECTIFS!$B$20,OBJECTIFS!$I$22="dmt"),AND($D87=OBJECTIFS!$B$27,OBJECTIFS!$I$29="dmt"),AND($D87=OBJECTIFS!$B$34,OBJECTIFS!$I$36="dmt"),AND($D87=OBJECTIFS!$B$6,OBJECTIFS!$I$8="taux de chute"),AND($D87=OBJECTIFS!$B$13,OBJECTIFS!$I$15="taux de chute"),AND($D87=OBJECTIFS!$B$20,OBJECTIFS!$I$22="taux de chute"),AND($D87=OBJECTIFS!$B$27,OBJECTIFS!$I$29="taux de chute"),AND($D87=OBJECTIFS!$B$34,OBJECTIFS!$I$36="taux de chute")),IFERROR(AA87/Z87,""),IFERROR(Z87/AA87,""))</f>
        <v/>
      </c>
      <c r="AC87" s="95">
        <f>IFERROR(IF(OR(Z87="",AA87="",AB87=""),0,IF(AB87&lt;OBJECTIFS!$E$56,0,IF(AB87&lt;OBJECTIFS!$G$56,AC$8*OBJECTIFS!$F$60,IF(AB87&lt;OBJECTIFS!$I$56,AC$8*OBJECTIFS!$H$60,AC$8)))),0)</f>
        <v>0</v>
      </c>
      <c r="AD87" s="186"/>
      <c r="AE87" s="187"/>
      <c r="AF87" s="96">
        <f t="shared" ca="1" si="20"/>
        <v>0</v>
      </c>
      <c r="AG87" s="63"/>
      <c r="AH87" s="186"/>
      <c r="AI87" s="24"/>
      <c r="AJ87" s="24"/>
      <c r="AK87" s="24"/>
      <c r="AL87" s="24"/>
      <c r="AM87" s="79">
        <f t="shared" si="21"/>
        <v>0</v>
      </c>
      <c r="AN87" s="79">
        <v>22</v>
      </c>
      <c r="AO87" s="80">
        <f t="shared" si="22"/>
        <v>0</v>
      </c>
      <c r="AP87" s="81" t="str">
        <f t="shared" ca="1" si="23"/>
        <v/>
      </c>
      <c r="AQ87" s="82"/>
      <c r="AR87" s="97">
        <f>IFERROR(VLOOKUP(B87,OBJECTIFS!$C$76:$E$137,2,FALSE),0)</f>
        <v>0</v>
      </c>
      <c r="AS87" s="98">
        <f>IFERROR(VLOOKUP(B87,OBJECTIFS!$H$76:$J$137,2,FALSE),0)</f>
        <v>0</v>
      </c>
      <c r="AT87" s="98">
        <f>IFERROR(VLOOKUP(B87,OBJECTIFS!$C$142:$E$203,2,FALSE),0)</f>
        <v>0</v>
      </c>
      <c r="AU87" s="98">
        <f>IFERROR(VLOOKUP(B87,OBJECTIFS!$H$142:$J$203,2,FALSE),0)</f>
        <v>0</v>
      </c>
      <c r="AV87" s="98">
        <f>IFERROR(VLOOKUP(B87,OBJECTIFS!$F$208:$H$269,3,FALSE),0)</f>
        <v>0</v>
      </c>
      <c r="AW87" s="81">
        <f t="shared" si="24"/>
        <v>0</v>
      </c>
      <c r="AX87" s="82"/>
      <c r="AY87" s="99" t="str">
        <f t="shared" ca="1" si="25"/>
        <v/>
      </c>
      <c r="AZ87" s="63"/>
      <c r="BA87" s="100">
        <f t="shared" ca="1" si="26"/>
        <v>0</v>
      </c>
      <c r="BB87" s="64" t="str">
        <f t="shared" ca="1" si="27"/>
        <v/>
      </c>
      <c r="BC87" s="101" t="str">
        <f t="shared" ca="1" si="28"/>
        <v/>
      </c>
    </row>
    <row r="88" spans="1:55" x14ac:dyDescent="0.2">
      <c r="A88" s="21"/>
      <c r="B88" s="22"/>
      <c r="C88" s="22"/>
      <c r="D88" s="23"/>
      <c r="E88" s="24"/>
      <c r="F88" s="34"/>
      <c r="H88" s="89" t="str">
        <f>IF(OR(D88="",F88="",A88=""),"",IF(E88="oui",0,IF(D88=OBJECTIFS!$C$45,VLOOKUP(F88,OBJECTIFS!$C$9:$D$11,2,FALSE),IF(D88=OBJECTIFS!$C$46,VLOOKUP(F88,OBJECTIFS!$C$16:$D$18,2,FALSE),IF(D88=OBJECTIFS!$C$47,VLOOKUP(F88,OBJECTIFS!$C$23:$D$25,2,FALSE),IF(D88=OBJECTIFS!$C$48,VLOOKUP(F88,OBJECTIFS!$C$30:$D$32,2,FALSE),IF(D88=OBJECTIFS!$C$49,VLOOKUP(F88,OBJECTIFS!$C$37:$D$39,2,FALSE))))))))</f>
        <v/>
      </c>
      <c r="J88" s="25"/>
      <c r="K88" s="90" t="str">
        <f>IF(OR($A88="",$D88="",J88=""),"",SUMIFS(OBJECTIFS!E$9:E$39,OBJECTIFS!$A$9:$A$39,$D88,OBJECTIFS!$C$9:$C$39,$F88))</f>
        <v/>
      </c>
      <c r="L88" s="90" t="str">
        <f>IF(OR(AND($D88=OBJECTIFS!$B$6,OBJECTIFS!E$8="dmt"),AND($D88=OBJECTIFS!$B$13,OBJECTIFS!$E$15="dmt"),AND($D88=OBJECTIFS!$B$20,OBJECTIFS!$E$22="dmt"),AND($D88=OBJECTIFS!$B$27,OBJECTIFS!$E$29="dmt"),AND($D88=OBJECTIFS!$B$34,OBJECTIFS!$E$36="dmt"),AND($D88=OBJECTIFS!$B$6,OBJECTIFS!$E$8="taux de chute"),AND($D88=OBJECTIFS!$B$13,OBJECTIFS!$E$15="taux de chute"),AND($D88=OBJECTIFS!$B$20,OBJECTIFS!$E$22="taux de chute"),AND($D88=OBJECTIFS!$B$27,OBJECTIFS!$E$29="taux de chute"),AND($D88=OBJECTIFS!$B$34,OBJECTIFS!$E$36="taux de chute")),IFERROR(K88/J88,""),IFERROR(J88/K88,""))</f>
        <v/>
      </c>
      <c r="M88" s="91">
        <f>IFERROR(IF(OR(J88="",K88="",L88=""),0,IF(L88&lt;OBJECTIFS!$E$56,0,IF(L88&lt;OBJECTIFS!$G$56,M$8*OBJECTIFS!$F$60,IF(L88&lt;OBJECTIFS!$I$56,M$8*OBJECTIFS!$H$60,M$8)))),0)</f>
        <v>0</v>
      </c>
      <c r="N88" s="161"/>
      <c r="O88" s="92" t="str">
        <f>IF(OR($A88="",$D88="",N88=""),"",SUMIFS(OBJECTIFS!F$9:F$39,OBJECTIFS!$A$9:$A$39,$D88,OBJECTIFS!$C$9:$C$39,$F88))</f>
        <v/>
      </c>
      <c r="P88" s="90" t="str">
        <f>IF(OR(AND($D88=OBJECTIFS!$B$6,OBJECTIFS!$F$8="dmt"),AND($D88=OBJECTIFS!$B$13,OBJECTIFS!$F$15="dmt"),AND($D88=OBJECTIFS!$B$20,OBJECTIFS!$F$22="dmt"),AND($D88=OBJECTIFS!$B$27,OBJECTIFS!$F$29="dmt"),AND($D88=OBJECTIFS!$B$34,OBJECTIFS!$F$36="dmt"),AND($D88=OBJECTIFS!$B$6,OBJECTIFS!$F$8="taux de chute"),AND($D88=OBJECTIFS!$B$13,OBJECTIFS!$F$15="taux de chute"),AND($D88=OBJECTIFS!$B$20,OBJECTIFS!$F$22="taux de chute"),AND($D88=OBJECTIFS!$B$27,OBJECTIFS!$F$29="taux de chute"),AND($D88=OBJECTIFS!$B$34,OBJECTIFS!$F$36="taux de chute")),IFERROR(O88/N88,""),IFERROR(N88/O88,""))</f>
        <v/>
      </c>
      <c r="Q88" s="91">
        <f>IFERROR(IF(OR(N88="",O88="",P88=""),0,IF(P88&lt;OBJECTIFS!$E$56,0,IF(P88&lt;OBJECTIFS!$G$56,Q$8*OBJECTIFS!$F$60,IF(P88&lt;OBJECTIFS!$I$56,Q$8*OBJECTIFS!$H$60,Q$8)))),0)</f>
        <v>0</v>
      </c>
      <c r="R88" s="164"/>
      <c r="S88" s="93" t="str">
        <f>IF(OR($A88="",$D88="",R88=""),"",SUMIFS(OBJECTIFS!G$9:G$39,OBJECTIFS!$A$9:$A$39,$D88,OBJECTIFS!$C$9:$C$39,$F88))</f>
        <v/>
      </c>
      <c r="T88" s="90" t="str">
        <f>IF(OR(AND($D88=OBJECTIFS!$B$6,OBJECTIFS!G$8="dmt"),AND($D88=OBJECTIFS!$B$13,OBJECTIFS!$G$15="dmt"),AND($D88=OBJECTIFS!$B$20,OBJECTIFS!$G$22="dmt"),AND($D88=OBJECTIFS!$B$27,OBJECTIFS!$G$29="dmt"),AND($D88=OBJECTIFS!$B$34,OBJECTIFS!$G$36="dmt"),AND($D88=OBJECTIFS!$B$6,OBJECTIFS!$G$8="taux de chute"),AND($D88=OBJECTIFS!$B$13,OBJECTIFS!$G$15="taux de chute"),AND($D88=OBJECTIFS!$B$20,OBJECTIFS!$G$22="taux de chute"),AND($D88=OBJECTIFS!$B$27,OBJECTIFS!$G$29="taux de chute"),AND($D88=OBJECTIFS!$B$34,OBJECTIFS!$G$36="taux de chute")),IFERROR(S88/R88,""),IFERROR(R88/S88,""))</f>
        <v/>
      </c>
      <c r="U88" s="94">
        <f>IFERROR(IF(OR(R88="",S88="",T88=""),0,IF(T88&lt;OBJECTIFS!$E$56,0,IF(T88&lt;OBJECTIFS!$G$56,U$8*OBJECTIFS!$F$60,IF(T88&lt;OBJECTIFS!$I$56,U$8*OBJECTIFS!$H$60,U$8)))),0)</f>
        <v>0</v>
      </c>
      <c r="V88" s="25"/>
      <c r="W88" s="90" t="str">
        <f>IF(OR($A88="",$D88="",V88=""),"",SUMIFS(OBJECTIFS!H$9:H$39,OBJECTIFS!$A$9:$A$39,$D88,OBJECTIFS!$C$9:$C$39,$F88))</f>
        <v/>
      </c>
      <c r="X88" s="90" t="str">
        <f>IF(OR(AND($D88=OBJECTIFS!$B$6,OBJECTIFS!H$8="dmt"),AND($D88=OBJECTIFS!$B$13,OBJECTIFS!$H$15="dmt"),AND($D88=OBJECTIFS!$B$20,OBJECTIFS!$H$22="dmt"),AND($D88=OBJECTIFS!$B$27,OBJECTIFS!$H$29="dmt"),AND($D88=OBJECTIFS!$B$34,OBJECTIFS!$H$36="dmt"),AND($D88=OBJECTIFS!$B$6,OBJECTIFS!$H$8="taux de chute"),AND($D88=OBJECTIFS!$B$13,OBJECTIFS!$H$15="taux de chute"),AND($D88=OBJECTIFS!$B$20,OBJECTIFS!$H$22="taux de chute"),AND($D88=OBJECTIFS!$B$27,OBJECTIFS!$H$29="taux de chute"),AND($D88=OBJECTIFS!$B$34,OBJECTIFS!$H$36="taux de chute")),IFERROR(W88/V88,""),IFERROR(V88/W88,""))</f>
        <v/>
      </c>
      <c r="Y88" s="91">
        <f>IFERROR(IF(OR(V88="",W88="",X88=""),0,IF(X88&lt;OBJECTIFS!$E$56,0,IF(X88&lt;OBJECTIFS!$G$56,Y$8*OBJECTIFS!$F$60,IF(X88&lt;OBJECTIFS!$I$56,Y$8*OBJECTIFS!$H$60,Y$8)))),0)</f>
        <v>0</v>
      </c>
      <c r="Z88" s="167"/>
      <c r="AA88" s="90" t="str">
        <f>IF(OR($A88="",$D88="",Z88=""),"",SUMIFS(OBJECTIFS!I$9:I$39,OBJECTIFS!$A$9:$A$39,$D88,OBJECTIFS!$C$9:$C$39,$F88))</f>
        <v/>
      </c>
      <c r="AB88" s="90" t="str">
        <f>IF(OR(AND($D88=OBJECTIFS!$B$6,OBJECTIFS!I$8="dmt"),AND($D88=OBJECTIFS!$B$13,OBJECTIFS!$I$15="dmt"),AND($D88=OBJECTIFS!$B$20,OBJECTIFS!$I$22="dmt"),AND($D88=OBJECTIFS!$B$27,OBJECTIFS!$I$29="dmt"),AND($D88=OBJECTIFS!$B$34,OBJECTIFS!$I$36="dmt"),AND($D88=OBJECTIFS!$B$6,OBJECTIFS!$I$8="taux de chute"),AND($D88=OBJECTIFS!$B$13,OBJECTIFS!$I$15="taux de chute"),AND($D88=OBJECTIFS!$B$20,OBJECTIFS!$I$22="taux de chute"),AND($D88=OBJECTIFS!$B$27,OBJECTIFS!$I$29="taux de chute"),AND($D88=OBJECTIFS!$B$34,OBJECTIFS!$I$36="taux de chute")),IFERROR(AA88/Z88,""),IFERROR(Z88/AA88,""))</f>
        <v/>
      </c>
      <c r="AC88" s="95">
        <f>IFERROR(IF(OR(Z88="",AA88="",AB88=""),0,IF(AB88&lt;OBJECTIFS!$E$56,0,IF(AB88&lt;OBJECTIFS!$G$56,AC$8*OBJECTIFS!$F$60,IF(AB88&lt;OBJECTIFS!$I$56,AC$8*OBJECTIFS!$H$60,AC$8)))),0)</f>
        <v>0</v>
      </c>
      <c r="AD88" s="186"/>
      <c r="AE88" s="187"/>
      <c r="AF88" s="96">
        <f t="shared" ca="1" si="20"/>
        <v>0</v>
      </c>
      <c r="AG88" s="63"/>
      <c r="AH88" s="186"/>
      <c r="AI88" s="24"/>
      <c r="AJ88" s="24"/>
      <c r="AK88" s="24"/>
      <c r="AL88" s="24"/>
      <c r="AM88" s="79">
        <f t="shared" si="21"/>
        <v>0</v>
      </c>
      <c r="AN88" s="79">
        <v>22</v>
      </c>
      <c r="AO88" s="80">
        <f t="shared" si="22"/>
        <v>0</v>
      </c>
      <c r="AP88" s="81" t="str">
        <f t="shared" ca="1" si="23"/>
        <v/>
      </c>
      <c r="AQ88" s="82"/>
      <c r="AR88" s="97">
        <f>IFERROR(VLOOKUP(B88,OBJECTIFS!$C$76:$E$137,2,FALSE),0)</f>
        <v>0</v>
      </c>
      <c r="AS88" s="98">
        <f>IFERROR(VLOOKUP(B88,OBJECTIFS!$H$76:$J$137,2,FALSE),0)</f>
        <v>0</v>
      </c>
      <c r="AT88" s="98">
        <f>IFERROR(VLOOKUP(B88,OBJECTIFS!$C$142:$E$203,2,FALSE),0)</f>
        <v>0</v>
      </c>
      <c r="AU88" s="98">
        <f>IFERROR(VLOOKUP(B88,OBJECTIFS!$H$142:$J$203,2,FALSE),0)</f>
        <v>0</v>
      </c>
      <c r="AV88" s="98">
        <f>IFERROR(VLOOKUP(B88,OBJECTIFS!$F$208:$H$269,3,FALSE),0)</f>
        <v>0</v>
      </c>
      <c r="AW88" s="81">
        <f t="shared" si="24"/>
        <v>0</v>
      </c>
      <c r="AX88" s="82"/>
      <c r="AY88" s="99" t="str">
        <f t="shared" ca="1" si="25"/>
        <v/>
      </c>
      <c r="AZ88" s="63"/>
      <c r="BA88" s="100">
        <f t="shared" ca="1" si="26"/>
        <v>0</v>
      </c>
      <c r="BB88" s="64" t="str">
        <f t="shared" ca="1" si="27"/>
        <v/>
      </c>
      <c r="BC88" s="101" t="str">
        <f t="shared" ca="1" si="28"/>
        <v/>
      </c>
    </row>
    <row r="89" spans="1:55" x14ac:dyDescent="0.2">
      <c r="A89" s="21"/>
      <c r="B89" s="22"/>
      <c r="C89" s="22"/>
      <c r="D89" s="23"/>
      <c r="E89" s="24"/>
      <c r="F89" s="34"/>
      <c r="H89" s="89" t="str">
        <f>IF(OR(D89="",F89="",A89=""),"",IF(E89="oui",0,IF(D89=OBJECTIFS!$C$45,VLOOKUP(F89,OBJECTIFS!$C$9:$D$11,2,FALSE),IF(D89=OBJECTIFS!$C$46,VLOOKUP(F89,OBJECTIFS!$C$16:$D$18,2,FALSE),IF(D89=OBJECTIFS!$C$47,VLOOKUP(F89,OBJECTIFS!$C$23:$D$25,2,FALSE),IF(D89=OBJECTIFS!$C$48,VLOOKUP(F89,OBJECTIFS!$C$30:$D$32,2,FALSE),IF(D89=OBJECTIFS!$C$49,VLOOKUP(F89,OBJECTIFS!$C$37:$D$39,2,FALSE))))))))</f>
        <v/>
      </c>
      <c r="J89" s="25"/>
      <c r="K89" s="90" t="str">
        <f>IF(OR($A89="",$D89="",J89=""),"",SUMIFS(OBJECTIFS!E$9:E$39,OBJECTIFS!$A$9:$A$39,$D89,OBJECTIFS!$C$9:$C$39,$F89))</f>
        <v/>
      </c>
      <c r="L89" s="90" t="str">
        <f>IF(OR(AND($D89=OBJECTIFS!$B$6,OBJECTIFS!E$8="dmt"),AND($D89=OBJECTIFS!$B$13,OBJECTIFS!$E$15="dmt"),AND($D89=OBJECTIFS!$B$20,OBJECTIFS!$E$22="dmt"),AND($D89=OBJECTIFS!$B$27,OBJECTIFS!$E$29="dmt"),AND($D89=OBJECTIFS!$B$34,OBJECTIFS!$E$36="dmt"),AND($D89=OBJECTIFS!$B$6,OBJECTIFS!$E$8="taux de chute"),AND($D89=OBJECTIFS!$B$13,OBJECTIFS!$E$15="taux de chute"),AND($D89=OBJECTIFS!$B$20,OBJECTIFS!$E$22="taux de chute"),AND($D89=OBJECTIFS!$B$27,OBJECTIFS!$E$29="taux de chute"),AND($D89=OBJECTIFS!$B$34,OBJECTIFS!$E$36="taux de chute")),IFERROR(K89/J89,""),IFERROR(J89/K89,""))</f>
        <v/>
      </c>
      <c r="M89" s="91">
        <f>IFERROR(IF(OR(J89="",K89="",L89=""),0,IF(L89&lt;OBJECTIFS!$E$56,0,IF(L89&lt;OBJECTIFS!$G$56,M$8*OBJECTIFS!$F$60,IF(L89&lt;OBJECTIFS!$I$56,M$8*OBJECTIFS!$H$60,M$8)))),0)</f>
        <v>0</v>
      </c>
      <c r="N89" s="161"/>
      <c r="O89" s="92" t="str">
        <f>IF(OR($A89="",$D89="",N89=""),"",SUMIFS(OBJECTIFS!F$9:F$39,OBJECTIFS!$A$9:$A$39,$D89,OBJECTIFS!$C$9:$C$39,$F89))</f>
        <v/>
      </c>
      <c r="P89" s="90" t="str">
        <f>IF(OR(AND($D89=OBJECTIFS!$B$6,OBJECTIFS!$F$8="dmt"),AND($D89=OBJECTIFS!$B$13,OBJECTIFS!$F$15="dmt"),AND($D89=OBJECTIFS!$B$20,OBJECTIFS!$F$22="dmt"),AND($D89=OBJECTIFS!$B$27,OBJECTIFS!$F$29="dmt"),AND($D89=OBJECTIFS!$B$34,OBJECTIFS!$F$36="dmt"),AND($D89=OBJECTIFS!$B$6,OBJECTIFS!$F$8="taux de chute"),AND($D89=OBJECTIFS!$B$13,OBJECTIFS!$F$15="taux de chute"),AND($D89=OBJECTIFS!$B$20,OBJECTIFS!$F$22="taux de chute"),AND($D89=OBJECTIFS!$B$27,OBJECTIFS!$F$29="taux de chute"),AND($D89=OBJECTIFS!$B$34,OBJECTIFS!$F$36="taux de chute")),IFERROR(O89/N89,""),IFERROR(N89/O89,""))</f>
        <v/>
      </c>
      <c r="Q89" s="91">
        <f>IFERROR(IF(OR(N89="",O89="",P89=""),0,IF(P89&lt;OBJECTIFS!$E$56,0,IF(P89&lt;OBJECTIFS!$G$56,Q$8*OBJECTIFS!$F$60,IF(P89&lt;OBJECTIFS!$I$56,Q$8*OBJECTIFS!$H$60,Q$8)))),0)</f>
        <v>0</v>
      </c>
      <c r="R89" s="164"/>
      <c r="S89" s="93" t="str">
        <f>IF(OR($A89="",$D89="",R89=""),"",SUMIFS(OBJECTIFS!G$9:G$39,OBJECTIFS!$A$9:$A$39,$D89,OBJECTIFS!$C$9:$C$39,$F89))</f>
        <v/>
      </c>
      <c r="T89" s="90" t="str">
        <f>IF(OR(AND($D89=OBJECTIFS!$B$6,OBJECTIFS!G$8="dmt"),AND($D89=OBJECTIFS!$B$13,OBJECTIFS!$G$15="dmt"),AND($D89=OBJECTIFS!$B$20,OBJECTIFS!$G$22="dmt"),AND($D89=OBJECTIFS!$B$27,OBJECTIFS!$G$29="dmt"),AND($D89=OBJECTIFS!$B$34,OBJECTIFS!$G$36="dmt"),AND($D89=OBJECTIFS!$B$6,OBJECTIFS!$G$8="taux de chute"),AND($D89=OBJECTIFS!$B$13,OBJECTIFS!$G$15="taux de chute"),AND($D89=OBJECTIFS!$B$20,OBJECTIFS!$G$22="taux de chute"),AND($D89=OBJECTIFS!$B$27,OBJECTIFS!$G$29="taux de chute"),AND($D89=OBJECTIFS!$B$34,OBJECTIFS!$G$36="taux de chute")),IFERROR(S89/R89,""),IFERROR(R89/S89,""))</f>
        <v/>
      </c>
      <c r="U89" s="94">
        <f>IFERROR(IF(OR(R89="",S89="",T89=""),0,IF(T89&lt;OBJECTIFS!$E$56,0,IF(T89&lt;OBJECTIFS!$G$56,U$8*OBJECTIFS!$F$60,IF(T89&lt;OBJECTIFS!$I$56,U$8*OBJECTIFS!$H$60,U$8)))),0)</f>
        <v>0</v>
      </c>
      <c r="V89" s="25"/>
      <c r="W89" s="90" t="str">
        <f>IF(OR($A89="",$D89="",V89=""),"",SUMIFS(OBJECTIFS!H$9:H$39,OBJECTIFS!$A$9:$A$39,$D89,OBJECTIFS!$C$9:$C$39,$F89))</f>
        <v/>
      </c>
      <c r="X89" s="90" t="str">
        <f>IF(OR(AND($D89=OBJECTIFS!$B$6,OBJECTIFS!H$8="dmt"),AND($D89=OBJECTIFS!$B$13,OBJECTIFS!$H$15="dmt"),AND($D89=OBJECTIFS!$B$20,OBJECTIFS!$H$22="dmt"),AND($D89=OBJECTIFS!$B$27,OBJECTIFS!$H$29="dmt"),AND($D89=OBJECTIFS!$B$34,OBJECTIFS!$H$36="dmt"),AND($D89=OBJECTIFS!$B$6,OBJECTIFS!$H$8="taux de chute"),AND($D89=OBJECTIFS!$B$13,OBJECTIFS!$H$15="taux de chute"),AND($D89=OBJECTIFS!$B$20,OBJECTIFS!$H$22="taux de chute"),AND($D89=OBJECTIFS!$B$27,OBJECTIFS!$H$29="taux de chute"),AND($D89=OBJECTIFS!$B$34,OBJECTIFS!$H$36="taux de chute")),IFERROR(W89/V89,""),IFERROR(V89/W89,""))</f>
        <v/>
      </c>
      <c r="Y89" s="91">
        <f>IFERROR(IF(OR(V89="",W89="",X89=""),0,IF(X89&lt;OBJECTIFS!$E$56,0,IF(X89&lt;OBJECTIFS!$G$56,Y$8*OBJECTIFS!$F$60,IF(X89&lt;OBJECTIFS!$I$56,Y$8*OBJECTIFS!$H$60,Y$8)))),0)</f>
        <v>0</v>
      </c>
      <c r="Z89" s="167"/>
      <c r="AA89" s="90" t="str">
        <f>IF(OR($A89="",$D89="",Z89=""),"",SUMIFS(OBJECTIFS!I$9:I$39,OBJECTIFS!$A$9:$A$39,$D89,OBJECTIFS!$C$9:$C$39,$F89))</f>
        <v/>
      </c>
      <c r="AB89" s="90" t="str">
        <f>IF(OR(AND($D89=OBJECTIFS!$B$6,OBJECTIFS!I$8="dmt"),AND($D89=OBJECTIFS!$B$13,OBJECTIFS!$I$15="dmt"),AND($D89=OBJECTIFS!$B$20,OBJECTIFS!$I$22="dmt"),AND($D89=OBJECTIFS!$B$27,OBJECTIFS!$I$29="dmt"),AND($D89=OBJECTIFS!$B$34,OBJECTIFS!$I$36="dmt"),AND($D89=OBJECTIFS!$B$6,OBJECTIFS!$I$8="taux de chute"),AND($D89=OBJECTIFS!$B$13,OBJECTIFS!$I$15="taux de chute"),AND($D89=OBJECTIFS!$B$20,OBJECTIFS!$I$22="taux de chute"),AND($D89=OBJECTIFS!$B$27,OBJECTIFS!$I$29="taux de chute"),AND($D89=OBJECTIFS!$B$34,OBJECTIFS!$I$36="taux de chute")),IFERROR(AA89/Z89,""),IFERROR(Z89/AA89,""))</f>
        <v/>
      </c>
      <c r="AC89" s="95">
        <f>IFERROR(IF(OR(Z89="",AA89="",AB89=""),0,IF(AB89&lt;OBJECTIFS!$E$56,0,IF(AB89&lt;OBJECTIFS!$G$56,AC$8*OBJECTIFS!$F$60,IF(AB89&lt;OBJECTIFS!$I$56,AC$8*OBJECTIFS!$H$60,AC$8)))),0)</f>
        <v>0</v>
      </c>
      <c r="AD89" s="186"/>
      <c r="AE89" s="187"/>
      <c r="AF89" s="96">
        <f t="shared" ca="1" si="20"/>
        <v>0</v>
      </c>
      <c r="AG89" s="63"/>
      <c r="AH89" s="186"/>
      <c r="AI89" s="24"/>
      <c r="AJ89" s="24"/>
      <c r="AK89" s="24"/>
      <c r="AL89" s="24"/>
      <c r="AM89" s="79">
        <f t="shared" si="21"/>
        <v>0</v>
      </c>
      <c r="AN89" s="79">
        <v>22</v>
      </c>
      <c r="AO89" s="80">
        <f t="shared" si="22"/>
        <v>0</v>
      </c>
      <c r="AP89" s="81" t="str">
        <f t="shared" ca="1" si="23"/>
        <v/>
      </c>
      <c r="AQ89" s="82"/>
      <c r="AR89" s="97">
        <f>IFERROR(VLOOKUP(B89,OBJECTIFS!$C$76:$E$137,2,FALSE),0)</f>
        <v>0</v>
      </c>
      <c r="AS89" s="98">
        <f>IFERROR(VLOOKUP(B89,OBJECTIFS!$H$76:$J$137,2,FALSE),0)</f>
        <v>0</v>
      </c>
      <c r="AT89" s="98">
        <f>IFERROR(VLOOKUP(B89,OBJECTIFS!$C$142:$E$203,2,FALSE),0)</f>
        <v>0</v>
      </c>
      <c r="AU89" s="98">
        <f>IFERROR(VLOOKUP(B89,OBJECTIFS!$H$142:$J$203,2,FALSE),0)</f>
        <v>0</v>
      </c>
      <c r="AV89" s="98">
        <f>IFERROR(VLOOKUP(B89,OBJECTIFS!$F$208:$H$269,3,FALSE),0)</f>
        <v>0</v>
      </c>
      <c r="AW89" s="81">
        <f t="shared" si="24"/>
        <v>0</v>
      </c>
      <c r="AX89" s="82"/>
      <c r="AY89" s="99" t="str">
        <f t="shared" ca="1" si="25"/>
        <v/>
      </c>
      <c r="AZ89" s="63"/>
      <c r="BA89" s="100">
        <f t="shared" ca="1" si="26"/>
        <v>0</v>
      </c>
      <c r="BB89" s="64" t="str">
        <f t="shared" ca="1" si="27"/>
        <v/>
      </c>
      <c r="BC89" s="101" t="str">
        <f t="shared" ca="1" si="28"/>
        <v/>
      </c>
    </row>
    <row r="90" spans="1:55" x14ac:dyDescent="0.2">
      <c r="A90" s="21"/>
      <c r="B90" s="22"/>
      <c r="C90" s="22"/>
      <c r="D90" s="23"/>
      <c r="E90" s="24"/>
      <c r="F90" s="34"/>
      <c r="H90" s="89" t="str">
        <f>IF(OR(D90="",F90="",A90=""),"",IF(E90="oui",0,IF(D90=OBJECTIFS!$C$45,VLOOKUP(F90,OBJECTIFS!$C$9:$D$11,2,FALSE),IF(D90=OBJECTIFS!$C$46,VLOOKUP(F90,OBJECTIFS!$C$16:$D$18,2,FALSE),IF(D90=OBJECTIFS!$C$47,VLOOKUP(F90,OBJECTIFS!$C$23:$D$25,2,FALSE),IF(D90=OBJECTIFS!$C$48,VLOOKUP(F90,OBJECTIFS!$C$30:$D$32,2,FALSE),IF(D90=OBJECTIFS!$C$49,VLOOKUP(F90,OBJECTIFS!$C$37:$D$39,2,FALSE))))))))</f>
        <v/>
      </c>
      <c r="J90" s="25"/>
      <c r="K90" s="90" t="str">
        <f>IF(OR($A90="",$D90="",J90=""),"",SUMIFS(OBJECTIFS!E$9:E$39,OBJECTIFS!$A$9:$A$39,$D90,OBJECTIFS!$C$9:$C$39,$F90))</f>
        <v/>
      </c>
      <c r="L90" s="90" t="str">
        <f>IF(OR(AND($D90=OBJECTIFS!$B$6,OBJECTIFS!E$8="dmt"),AND($D90=OBJECTIFS!$B$13,OBJECTIFS!$E$15="dmt"),AND($D90=OBJECTIFS!$B$20,OBJECTIFS!$E$22="dmt"),AND($D90=OBJECTIFS!$B$27,OBJECTIFS!$E$29="dmt"),AND($D90=OBJECTIFS!$B$34,OBJECTIFS!$E$36="dmt"),AND($D90=OBJECTIFS!$B$6,OBJECTIFS!$E$8="taux de chute"),AND($D90=OBJECTIFS!$B$13,OBJECTIFS!$E$15="taux de chute"),AND($D90=OBJECTIFS!$B$20,OBJECTIFS!$E$22="taux de chute"),AND($D90=OBJECTIFS!$B$27,OBJECTIFS!$E$29="taux de chute"),AND($D90=OBJECTIFS!$B$34,OBJECTIFS!$E$36="taux de chute")),IFERROR(K90/J90,""),IFERROR(J90/K90,""))</f>
        <v/>
      </c>
      <c r="M90" s="91">
        <f>IFERROR(IF(OR(J90="",K90="",L90=""),0,IF(L90&lt;OBJECTIFS!$E$56,0,IF(L90&lt;OBJECTIFS!$G$56,M$8*OBJECTIFS!$F$60,IF(L90&lt;OBJECTIFS!$I$56,M$8*OBJECTIFS!$H$60,M$8)))),0)</f>
        <v>0</v>
      </c>
      <c r="N90" s="161"/>
      <c r="O90" s="92" t="str">
        <f>IF(OR($A90="",$D90="",N90=""),"",SUMIFS(OBJECTIFS!F$9:F$39,OBJECTIFS!$A$9:$A$39,$D90,OBJECTIFS!$C$9:$C$39,$F90))</f>
        <v/>
      </c>
      <c r="P90" s="90" t="str">
        <f>IF(OR(AND($D90=OBJECTIFS!$B$6,OBJECTIFS!$F$8="dmt"),AND($D90=OBJECTIFS!$B$13,OBJECTIFS!$F$15="dmt"),AND($D90=OBJECTIFS!$B$20,OBJECTIFS!$F$22="dmt"),AND($D90=OBJECTIFS!$B$27,OBJECTIFS!$F$29="dmt"),AND($D90=OBJECTIFS!$B$34,OBJECTIFS!$F$36="dmt"),AND($D90=OBJECTIFS!$B$6,OBJECTIFS!$F$8="taux de chute"),AND($D90=OBJECTIFS!$B$13,OBJECTIFS!$F$15="taux de chute"),AND($D90=OBJECTIFS!$B$20,OBJECTIFS!$F$22="taux de chute"),AND($D90=OBJECTIFS!$B$27,OBJECTIFS!$F$29="taux de chute"),AND($D90=OBJECTIFS!$B$34,OBJECTIFS!$F$36="taux de chute")),IFERROR(O90/N90,""),IFERROR(N90/O90,""))</f>
        <v/>
      </c>
      <c r="Q90" s="91">
        <f>IFERROR(IF(OR(N90="",O90="",P90=""),0,IF(P90&lt;OBJECTIFS!$E$56,0,IF(P90&lt;OBJECTIFS!$G$56,Q$8*OBJECTIFS!$F$60,IF(P90&lt;OBJECTIFS!$I$56,Q$8*OBJECTIFS!$H$60,Q$8)))),0)</f>
        <v>0</v>
      </c>
      <c r="R90" s="164"/>
      <c r="S90" s="93" t="str">
        <f>IF(OR($A90="",$D90="",R90=""),"",SUMIFS(OBJECTIFS!G$9:G$39,OBJECTIFS!$A$9:$A$39,$D90,OBJECTIFS!$C$9:$C$39,$F90))</f>
        <v/>
      </c>
      <c r="T90" s="90" t="str">
        <f>IF(OR(AND($D90=OBJECTIFS!$B$6,OBJECTIFS!G$8="dmt"),AND($D90=OBJECTIFS!$B$13,OBJECTIFS!$G$15="dmt"),AND($D90=OBJECTIFS!$B$20,OBJECTIFS!$G$22="dmt"),AND($D90=OBJECTIFS!$B$27,OBJECTIFS!$G$29="dmt"),AND($D90=OBJECTIFS!$B$34,OBJECTIFS!$G$36="dmt"),AND($D90=OBJECTIFS!$B$6,OBJECTIFS!$G$8="taux de chute"),AND($D90=OBJECTIFS!$B$13,OBJECTIFS!$G$15="taux de chute"),AND($D90=OBJECTIFS!$B$20,OBJECTIFS!$G$22="taux de chute"),AND($D90=OBJECTIFS!$B$27,OBJECTIFS!$G$29="taux de chute"),AND($D90=OBJECTIFS!$B$34,OBJECTIFS!$G$36="taux de chute")),IFERROR(S90/R90,""),IFERROR(R90/S90,""))</f>
        <v/>
      </c>
      <c r="U90" s="94">
        <f>IFERROR(IF(OR(R90="",S90="",T90=""),0,IF(T90&lt;OBJECTIFS!$E$56,0,IF(T90&lt;OBJECTIFS!$G$56,U$8*OBJECTIFS!$F$60,IF(T90&lt;OBJECTIFS!$I$56,U$8*OBJECTIFS!$H$60,U$8)))),0)</f>
        <v>0</v>
      </c>
      <c r="V90" s="25"/>
      <c r="W90" s="90" t="str">
        <f>IF(OR($A90="",$D90="",V90=""),"",SUMIFS(OBJECTIFS!H$9:H$39,OBJECTIFS!$A$9:$A$39,$D90,OBJECTIFS!$C$9:$C$39,$F90))</f>
        <v/>
      </c>
      <c r="X90" s="90" t="str">
        <f>IF(OR(AND($D90=OBJECTIFS!$B$6,OBJECTIFS!H$8="dmt"),AND($D90=OBJECTIFS!$B$13,OBJECTIFS!$H$15="dmt"),AND($D90=OBJECTIFS!$B$20,OBJECTIFS!$H$22="dmt"),AND($D90=OBJECTIFS!$B$27,OBJECTIFS!$H$29="dmt"),AND($D90=OBJECTIFS!$B$34,OBJECTIFS!$H$36="dmt"),AND($D90=OBJECTIFS!$B$6,OBJECTIFS!$H$8="taux de chute"),AND($D90=OBJECTIFS!$B$13,OBJECTIFS!$H$15="taux de chute"),AND($D90=OBJECTIFS!$B$20,OBJECTIFS!$H$22="taux de chute"),AND($D90=OBJECTIFS!$B$27,OBJECTIFS!$H$29="taux de chute"),AND($D90=OBJECTIFS!$B$34,OBJECTIFS!$H$36="taux de chute")),IFERROR(W90/V90,""),IFERROR(V90/W90,""))</f>
        <v/>
      </c>
      <c r="Y90" s="91">
        <f>IFERROR(IF(OR(V90="",W90="",X90=""),0,IF(X90&lt;OBJECTIFS!$E$56,0,IF(X90&lt;OBJECTIFS!$G$56,Y$8*OBJECTIFS!$F$60,IF(X90&lt;OBJECTIFS!$I$56,Y$8*OBJECTIFS!$H$60,Y$8)))),0)</f>
        <v>0</v>
      </c>
      <c r="Z90" s="167"/>
      <c r="AA90" s="90" t="str">
        <f>IF(OR($A90="",$D90="",Z90=""),"",SUMIFS(OBJECTIFS!I$9:I$39,OBJECTIFS!$A$9:$A$39,$D90,OBJECTIFS!$C$9:$C$39,$F90))</f>
        <v/>
      </c>
      <c r="AB90" s="90" t="str">
        <f>IF(OR(AND($D90=OBJECTIFS!$B$6,OBJECTIFS!I$8="dmt"),AND($D90=OBJECTIFS!$B$13,OBJECTIFS!$I$15="dmt"),AND($D90=OBJECTIFS!$B$20,OBJECTIFS!$I$22="dmt"),AND($D90=OBJECTIFS!$B$27,OBJECTIFS!$I$29="dmt"),AND($D90=OBJECTIFS!$B$34,OBJECTIFS!$I$36="dmt"),AND($D90=OBJECTIFS!$B$6,OBJECTIFS!$I$8="taux de chute"),AND($D90=OBJECTIFS!$B$13,OBJECTIFS!$I$15="taux de chute"),AND($D90=OBJECTIFS!$B$20,OBJECTIFS!$I$22="taux de chute"),AND($D90=OBJECTIFS!$B$27,OBJECTIFS!$I$29="taux de chute"),AND($D90=OBJECTIFS!$B$34,OBJECTIFS!$I$36="taux de chute")),IFERROR(AA90/Z90,""),IFERROR(Z90/AA90,""))</f>
        <v/>
      </c>
      <c r="AC90" s="95">
        <f>IFERROR(IF(OR(Z90="",AA90="",AB90=""),0,IF(AB90&lt;OBJECTIFS!$E$56,0,IF(AB90&lt;OBJECTIFS!$G$56,AC$8*OBJECTIFS!$F$60,IF(AB90&lt;OBJECTIFS!$I$56,AC$8*OBJECTIFS!$H$60,AC$8)))),0)</f>
        <v>0</v>
      </c>
      <c r="AD90" s="186"/>
      <c r="AE90" s="187"/>
      <c r="AF90" s="96">
        <f t="shared" ca="1" si="20"/>
        <v>0</v>
      </c>
      <c r="AG90" s="63"/>
      <c r="AH90" s="186"/>
      <c r="AI90" s="24"/>
      <c r="AJ90" s="24"/>
      <c r="AK90" s="24"/>
      <c r="AL90" s="24"/>
      <c r="AM90" s="79">
        <f t="shared" si="21"/>
        <v>0</v>
      </c>
      <c r="AN90" s="79">
        <v>22</v>
      </c>
      <c r="AO90" s="80">
        <f t="shared" si="22"/>
        <v>0</v>
      </c>
      <c r="AP90" s="81" t="str">
        <f t="shared" ca="1" si="23"/>
        <v/>
      </c>
      <c r="AQ90" s="82"/>
      <c r="AR90" s="97">
        <f>IFERROR(VLOOKUP(B90,OBJECTIFS!$C$76:$E$137,2,FALSE),0)</f>
        <v>0</v>
      </c>
      <c r="AS90" s="98">
        <f>IFERROR(VLOOKUP(B90,OBJECTIFS!$H$76:$J$137,2,FALSE),0)</f>
        <v>0</v>
      </c>
      <c r="AT90" s="98">
        <f>IFERROR(VLOOKUP(B90,OBJECTIFS!$C$142:$E$203,2,FALSE),0)</f>
        <v>0</v>
      </c>
      <c r="AU90" s="98">
        <f>IFERROR(VLOOKUP(B90,OBJECTIFS!$H$142:$J$203,2,FALSE),0)</f>
        <v>0</v>
      </c>
      <c r="AV90" s="98">
        <f>IFERROR(VLOOKUP(B90,OBJECTIFS!$F$208:$H$269,3,FALSE),0)</f>
        <v>0</v>
      </c>
      <c r="AW90" s="81">
        <f t="shared" si="24"/>
        <v>0</v>
      </c>
      <c r="AX90" s="82"/>
      <c r="AY90" s="99" t="str">
        <f t="shared" ca="1" si="25"/>
        <v/>
      </c>
      <c r="AZ90" s="63"/>
      <c r="BA90" s="100">
        <f t="shared" ca="1" si="26"/>
        <v>0</v>
      </c>
      <c r="BB90" s="64" t="str">
        <f t="shared" ca="1" si="27"/>
        <v/>
      </c>
      <c r="BC90" s="101" t="str">
        <f t="shared" ca="1" si="28"/>
        <v/>
      </c>
    </row>
    <row r="91" spans="1:55" x14ac:dyDescent="0.2">
      <c r="A91" s="21"/>
      <c r="B91" s="22"/>
      <c r="C91" s="22"/>
      <c r="D91" s="23"/>
      <c r="E91" s="24"/>
      <c r="F91" s="34"/>
      <c r="H91" s="89" t="str">
        <f>IF(OR(D91="",F91="",A91=""),"",IF(E91="oui",0,IF(D91=OBJECTIFS!$C$45,VLOOKUP(F91,OBJECTIFS!$C$9:$D$11,2,FALSE),IF(D91=OBJECTIFS!$C$46,VLOOKUP(F91,OBJECTIFS!$C$16:$D$18,2,FALSE),IF(D91=OBJECTIFS!$C$47,VLOOKUP(F91,OBJECTIFS!$C$23:$D$25,2,FALSE),IF(D91=OBJECTIFS!$C$48,VLOOKUP(F91,OBJECTIFS!$C$30:$D$32,2,FALSE),IF(D91=OBJECTIFS!$C$49,VLOOKUP(F91,OBJECTIFS!$C$37:$D$39,2,FALSE))))))))</f>
        <v/>
      </c>
      <c r="J91" s="25"/>
      <c r="K91" s="90" t="str">
        <f>IF(OR($A91="",$D91="",J91=""),"",SUMIFS(OBJECTIFS!E$9:E$39,OBJECTIFS!$A$9:$A$39,$D91,OBJECTIFS!$C$9:$C$39,$F91))</f>
        <v/>
      </c>
      <c r="L91" s="90" t="str">
        <f>IF(OR(AND($D91=OBJECTIFS!$B$6,OBJECTIFS!E$8="dmt"),AND($D91=OBJECTIFS!$B$13,OBJECTIFS!$E$15="dmt"),AND($D91=OBJECTIFS!$B$20,OBJECTIFS!$E$22="dmt"),AND($D91=OBJECTIFS!$B$27,OBJECTIFS!$E$29="dmt"),AND($D91=OBJECTIFS!$B$34,OBJECTIFS!$E$36="dmt"),AND($D91=OBJECTIFS!$B$6,OBJECTIFS!$E$8="taux de chute"),AND($D91=OBJECTIFS!$B$13,OBJECTIFS!$E$15="taux de chute"),AND($D91=OBJECTIFS!$B$20,OBJECTIFS!$E$22="taux de chute"),AND($D91=OBJECTIFS!$B$27,OBJECTIFS!$E$29="taux de chute"),AND($D91=OBJECTIFS!$B$34,OBJECTIFS!$E$36="taux de chute")),IFERROR(K91/J91,""),IFERROR(J91/K91,""))</f>
        <v/>
      </c>
      <c r="M91" s="91">
        <f>IFERROR(IF(OR(J91="",K91="",L91=""),0,IF(L91&lt;OBJECTIFS!$E$56,0,IF(L91&lt;OBJECTIFS!$G$56,M$8*OBJECTIFS!$F$60,IF(L91&lt;OBJECTIFS!$I$56,M$8*OBJECTIFS!$H$60,M$8)))),0)</f>
        <v>0</v>
      </c>
      <c r="N91" s="161"/>
      <c r="O91" s="92" t="str">
        <f>IF(OR($A91="",$D91="",N91=""),"",SUMIFS(OBJECTIFS!F$9:F$39,OBJECTIFS!$A$9:$A$39,$D91,OBJECTIFS!$C$9:$C$39,$F91))</f>
        <v/>
      </c>
      <c r="P91" s="90" t="str">
        <f>IF(OR(AND($D91=OBJECTIFS!$B$6,OBJECTIFS!$F$8="dmt"),AND($D91=OBJECTIFS!$B$13,OBJECTIFS!$F$15="dmt"),AND($D91=OBJECTIFS!$B$20,OBJECTIFS!$F$22="dmt"),AND($D91=OBJECTIFS!$B$27,OBJECTIFS!$F$29="dmt"),AND($D91=OBJECTIFS!$B$34,OBJECTIFS!$F$36="dmt"),AND($D91=OBJECTIFS!$B$6,OBJECTIFS!$F$8="taux de chute"),AND($D91=OBJECTIFS!$B$13,OBJECTIFS!$F$15="taux de chute"),AND($D91=OBJECTIFS!$B$20,OBJECTIFS!$F$22="taux de chute"),AND($D91=OBJECTIFS!$B$27,OBJECTIFS!$F$29="taux de chute"),AND($D91=OBJECTIFS!$B$34,OBJECTIFS!$F$36="taux de chute")),IFERROR(O91/N91,""),IFERROR(N91/O91,""))</f>
        <v/>
      </c>
      <c r="Q91" s="91">
        <f>IFERROR(IF(OR(N91="",O91="",P91=""),0,IF(P91&lt;OBJECTIFS!$E$56,0,IF(P91&lt;OBJECTIFS!$G$56,Q$8*OBJECTIFS!$F$60,IF(P91&lt;OBJECTIFS!$I$56,Q$8*OBJECTIFS!$H$60,Q$8)))),0)</f>
        <v>0</v>
      </c>
      <c r="R91" s="164"/>
      <c r="S91" s="93" t="str">
        <f>IF(OR($A91="",$D91="",R91=""),"",SUMIFS(OBJECTIFS!G$9:G$39,OBJECTIFS!$A$9:$A$39,$D91,OBJECTIFS!$C$9:$C$39,$F91))</f>
        <v/>
      </c>
      <c r="T91" s="90" t="str">
        <f>IF(OR(AND($D91=OBJECTIFS!$B$6,OBJECTIFS!G$8="dmt"),AND($D91=OBJECTIFS!$B$13,OBJECTIFS!$G$15="dmt"),AND($D91=OBJECTIFS!$B$20,OBJECTIFS!$G$22="dmt"),AND($D91=OBJECTIFS!$B$27,OBJECTIFS!$G$29="dmt"),AND($D91=OBJECTIFS!$B$34,OBJECTIFS!$G$36="dmt"),AND($D91=OBJECTIFS!$B$6,OBJECTIFS!$G$8="taux de chute"),AND($D91=OBJECTIFS!$B$13,OBJECTIFS!$G$15="taux de chute"),AND($D91=OBJECTIFS!$B$20,OBJECTIFS!$G$22="taux de chute"),AND($D91=OBJECTIFS!$B$27,OBJECTIFS!$G$29="taux de chute"),AND($D91=OBJECTIFS!$B$34,OBJECTIFS!$G$36="taux de chute")),IFERROR(S91/R91,""),IFERROR(R91/S91,""))</f>
        <v/>
      </c>
      <c r="U91" s="94">
        <f>IFERROR(IF(OR(R91="",S91="",T91=""),0,IF(T91&lt;OBJECTIFS!$E$56,0,IF(T91&lt;OBJECTIFS!$G$56,U$8*OBJECTIFS!$F$60,IF(T91&lt;OBJECTIFS!$I$56,U$8*OBJECTIFS!$H$60,U$8)))),0)</f>
        <v>0</v>
      </c>
      <c r="V91" s="25"/>
      <c r="W91" s="90" t="str">
        <f>IF(OR($A91="",$D91="",V91=""),"",SUMIFS(OBJECTIFS!H$9:H$39,OBJECTIFS!$A$9:$A$39,$D91,OBJECTIFS!$C$9:$C$39,$F91))</f>
        <v/>
      </c>
      <c r="X91" s="90" t="str">
        <f>IF(OR(AND($D91=OBJECTIFS!$B$6,OBJECTIFS!H$8="dmt"),AND($D91=OBJECTIFS!$B$13,OBJECTIFS!$H$15="dmt"),AND($D91=OBJECTIFS!$B$20,OBJECTIFS!$H$22="dmt"),AND($D91=OBJECTIFS!$B$27,OBJECTIFS!$H$29="dmt"),AND($D91=OBJECTIFS!$B$34,OBJECTIFS!$H$36="dmt"),AND($D91=OBJECTIFS!$B$6,OBJECTIFS!$H$8="taux de chute"),AND($D91=OBJECTIFS!$B$13,OBJECTIFS!$H$15="taux de chute"),AND($D91=OBJECTIFS!$B$20,OBJECTIFS!$H$22="taux de chute"),AND($D91=OBJECTIFS!$B$27,OBJECTIFS!$H$29="taux de chute"),AND($D91=OBJECTIFS!$B$34,OBJECTIFS!$H$36="taux de chute")),IFERROR(W91/V91,""),IFERROR(V91/W91,""))</f>
        <v/>
      </c>
      <c r="Y91" s="91">
        <f>IFERROR(IF(OR(V91="",W91="",X91=""),0,IF(X91&lt;OBJECTIFS!$E$56,0,IF(X91&lt;OBJECTIFS!$G$56,Y$8*OBJECTIFS!$F$60,IF(X91&lt;OBJECTIFS!$I$56,Y$8*OBJECTIFS!$H$60,Y$8)))),0)</f>
        <v>0</v>
      </c>
      <c r="Z91" s="167"/>
      <c r="AA91" s="90" t="str">
        <f>IF(OR($A91="",$D91="",Z91=""),"",SUMIFS(OBJECTIFS!I$9:I$39,OBJECTIFS!$A$9:$A$39,$D91,OBJECTIFS!$C$9:$C$39,$F91))</f>
        <v/>
      </c>
      <c r="AB91" s="90" t="str">
        <f>IF(OR(AND($D91=OBJECTIFS!$B$6,OBJECTIFS!I$8="dmt"),AND($D91=OBJECTIFS!$B$13,OBJECTIFS!$I$15="dmt"),AND($D91=OBJECTIFS!$B$20,OBJECTIFS!$I$22="dmt"),AND($D91=OBJECTIFS!$B$27,OBJECTIFS!$I$29="dmt"),AND($D91=OBJECTIFS!$B$34,OBJECTIFS!$I$36="dmt"),AND($D91=OBJECTIFS!$B$6,OBJECTIFS!$I$8="taux de chute"),AND($D91=OBJECTIFS!$B$13,OBJECTIFS!$I$15="taux de chute"),AND($D91=OBJECTIFS!$B$20,OBJECTIFS!$I$22="taux de chute"),AND($D91=OBJECTIFS!$B$27,OBJECTIFS!$I$29="taux de chute"),AND($D91=OBJECTIFS!$B$34,OBJECTIFS!$I$36="taux de chute")),IFERROR(AA91/Z91,""),IFERROR(Z91/AA91,""))</f>
        <v/>
      </c>
      <c r="AC91" s="95">
        <f>IFERROR(IF(OR(Z91="",AA91="",AB91=""),0,IF(AB91&lt;OBJECTIFS!$E$56,0,IF(AB91&lt;OBJECTIFS!$G$56,AC$8*OBJECTIFS!$F$60,IF(AB91&lt;OBJECTIFS!$I$56,AC$8*OBJECTIFS!$H$60,AC$8)))),0)</f>
        <v>0</v>
      </c>
      <c r="AD91" s="186"/>
      <c r="AE91" s="187"/>
      <c r="AF91" s="96">
        <f t="shared" ca="1" si="20"/>
        <v>0</v>
      </c>
      <c r="AG91" s="63"/>
      <c r="AH91" s="186"/>
      <c r="AI91" s="24"/>
      <c r="AJ91" s="24"/>
      <c r="AK91" s="24"/>
      <c r="AL91" s="24"/>
      <c r="AM91" s="79">
        <f t="shared" si="21"/>
        <v>0</v>
      </c>
      <c r="AN91" s="79">
        <v>22</v>
      </c>
      <c r="AO91" s="80">
        <f t="shared" si="22"/>
        <v>0</v>
      </c>
      <c r="AP91" s="81" t="str">
        <f t="shared" ca="1" si="23"/>
        <v/>
      </c>
      <c r="AQ91" s="82"/>
      <c r="AR91" s="97">
        <f>IFERROR(VLOOKUP(B91,OBJECTIFS!$C$76:$E$137,2,FALSE),0)</f>
        <v>0</v>
      </c>
      <c r="AS91" s="98">
        <f>IFERROR(VLOOKUP(B91,OBJECTIFS!$H$76:$J$137,2,FALSE),0)</f>
        <v>0</v>
      </c>
      <c r="AT91" s="98">
        <f>IFERROR(VLOOKUP(B91,OBJECTIFS!$C$142:$E$203,2,FALSE),0)</f>
        <v>0</v>
      </c>
      <c r="AU91" s="98">
        <f>IFERROR(VLOOKUP(B91,OBJECTIFS!$H$142:$J$203,2,FALSE),0)</f>
        <v>0</v>
      </c>
      <c r="AV91" s="98">
        <f>IFERROR(VLOOKUP(B91,OBJECTIFS!$F$208:$H$269,3,FALSE),0)</f>
        <v>0</v>
      </c>
      <c r="AW91" s="81">
        <f t="shared" si="24"/>
        <v>0</v>
      </c>
      <c r="AX91" s="82"/>
      <c r="AY91" s="99" t="str">
        <f t="shared" ca="1" si="25"/>
        <v/>
      </c>
      <c r="AZ91" s="63"/>
      <c r="BA91" s="100">
        <f t="shared" ca="1" si="26"/>
        <v>0</v>
      </c>
      <c r="BB91" s="64" t="str">
        <f t="shared" ca="1" si="27"/>
        <v/>
      </c>
      <c r="BC91" s="101" t="str">
        <f t="shared" ca="1" si="28"/>
        <v/>
      </c>
    </row>
    <row r="92" spans="1:55" x14ac:dyDescent="0.2">
      <c r="A92" s="21"/>
      <c r="B92" s="22"/>
      <c r="C92" s="22"/>
      <c r="D92" s="23"/>
      <c r="E92" s="24"/>
      <c r="F92" s="34"/>
      <c r="H92" s="89" t="str">
        <f>IF(OR(D92="",F92="",A92=""),"",IF(E92="oui",0,IF(D92=OBJECTIFS!$C$45,VLOOKUP(F92,OBJECTIFS!$C$9:$D$11,2,FALSE),IF(D92=OBJECTIFS!$C$46,VLOOKUP(F92,OBJECTIFS!$C$16:$D$18,2,FALSE),IF(D92=OBJECTIFS!$C$47,VLOOKUP(F92,OBJECTIFS!$C$23:$D$25,2,FALSE),IF(D92=OBJECTIFS!$C$48,VLOOKUP(F92,OBJECTIFS!$C$30:$D$32,2,FALSE),IF(D92=OBJECTIFS!$C$49,VLOOKUP(F92,OBJECTIFS!$C$37:$D$39,2,FALSE))))))))</f>
        <v/>
      </c>
      <c r="J92" s="25"/>
      <c r="K92" s="90" t="str">
        <f>IF(OR($A92="",$D92="",J92=""),"",SUMIFS(OBJECTIFS!E$9:E$39,OBJECTIFS!$A$9:$A$39,$D92,OBJECTIFS!$C$9:$C$39,$F92))</f>
        <v/>
      </c>
      <c r="L92" s="90" t="str">
        <f>IF(OR(AND($D92=OBJECTIFS!$B$6,OBJECTIFS!E$8="dmt"),AND($D92=OBJECTIFS!$B$13,OBJECTIFS!$E$15="dmt"),AND($D92=OBJECTIFS!$B$20,OBJECTIFS!$E$22="dmt"),AND($D92=OBJECTIFS!$B$27,OBJECTIFS!$E$29="dmt"),AND($D92=OBJECTIFS!$B$34,OBJECTIFS!$E$36="dmt"),AND($D92=OBJECTIFS!$B$6,OBJECTIFS!$E$8="taux de chute"),AND($D92=OBJECTIFS!$B$13,OBJECTIFS!$E$15="taux de chute"),AND($D92=OBJECTIFS!$B$20,OBJECTIFS!$E$22="taux de chute"),AND($D92=OBJECTIFS!$B$27,OBJECTIFS!$E$29="taux de chute"),AND($D92=OBJECTIFS!$B$34,OBJECTIFS!$E$36="taux de chute")),IFERROR(K92/J92,""),IFERROR(J92/K92,""))</f>
        <v/>
      </c>
      <c r="M92" s="91">
        <f>IFERROR(IF(OR(J92="",K92="",L92=""),0,IF(L92&lt;OBJECTIFS!$E$56,0,IF(L92&lt;OBJECTIFS!$G$56,M$8*OBJECTIFS!$F$60,IF(L92&lt;OBJECTIFS!$I$56,M$8*OBJECTIFS!$H$60,M$8)))),0)</f>
        <v>0</v>
      </c>
      <c r="N92" s="161"/>
      <c r="O92" s="92" t="str">
        <f>IF(OR($A92="",$D92="",N92=""),"",SUMIFS(OBJECTIFS!F$9:F$39,OBJECTIFS!$A$9:$A$39,$D92,OBJECTIFS!$C$9:$C$39,$F92))</f>
        <v/>
      </c>
      <c r="P92" s="90" t="str">
        <f>IF(OR(AND($D92=OBJECTIFS!$B$6,OBJECTIFS!$F$8="dmt"),AND($D92=OBJECTIFS!$B$13,OBJECTIFS!$F$15="dmt"),AND($D92=OBJECTIFS!$B$20,OBJECTIFS!$F$22="dmt"),AND($D92=OBJECTIFS!$B$27,OBJECTIFS!$F$29="dmt"),AND($D92=OBJECTIFS!$B$34,OBJECTIFS!$F$36="dmt"),AND($D92=OBJECTIFS!$B$6,OBJECTIFS!$F$8="taux de chute"),AND($D92=OBJECTIFS!$B$13,OBJECTIFS!$F$15="taux de chute"),AND($D92=OBJECTIFS!$B$20,OBJECTIFS!$F$22="taux de chute"),AND($D92=OBJECTIFS!$B$27,OBJECTIFS!$F$29="taux de chute"),AND($D92=OBJECTIFS!$B$34,OBJECTIFS!$F$36="taux de chute")),IFERROR(O92/N92,""),IFERROR(N92/O92,""))</f>
        <v/>
      </c>
      <c r="Q92" s="91">
        <f>IFERROR(IF(OR(N92="",O92="",P92=""),0,IF(P92&lt;OBJECTIFS!$E$56,0,IF(P92&lt;OBJECTIFS!$G$56,Q$8*OBJECTIFS!$F$60,IF(P92&lt;OBJECTIFS!$I$56,Q$8*OBJECTIFS!$H$60,Q$8)))),0)</f>
        <v>0</v>
      </c>
      <c r="R92" s="164"/>
      <c r="S92" s="93" t="str">
        <f>IF(OR($A92="",$D92="",R92=""),"",SUMIFS(OBJECTIFS!G$9:G$39,OBJECTIFS!$A$9:$A$39,$D92,OBJECTIFS!$C$9:$C$39,$F92))</f>
        <v/>
      </c>
      <c r="T92" s="90" t="str">
        <f>IF(OR(AND($D92=OBJECTIFS!$B$6,OBJECTIFS!G$8="dmt"),AND($D92=OBJECTIFS!$B$13,OBJECTIFS!$G$15="dmt"),AND($D92=OBJECTIFS!$B$20,OBJECTIFS!$G$22="dmt"),AND($D92=OBJECTIFS!$B$27,OBJECTIFS!$G$29="dmt"),AND($D92=OBJECTIFS!$B$34,OBJECTIFS!$G$36="dmt"),AND($D92=OBJECTIFS!$B$6,OBJECTIFS!$G$8="taux de chute"),AND($D92=OBJECTIFS!$B$13,OBJECTIFS!$G$15="taux de chute"),AND($D92=OBJECTIFS!$B$20,OBJECTIFS!$G$22="taux de chute"),AND($D92=OBJECTIFS!$B$27,OBJECTIFS!$G$29="taux de chute"),AND($D92=OBJECTIFS!$B$34,OBJECTIFS!$G$36="taux de chute")),IFERROR(S92/R92,""),IFERROR(R92/S92,""))</f>
        <v/>
      </c>
      <c r="U92" s="94">
        <f>IFERROR(IF(OR(R92="",S92="",T92=""),0,IF(T92&lt;OBJECTIFS!$E$56,0,IF(T92&lt;OBJECTIFS!$G$56,U$8*OBJECTIFS!$F$60,IF(T92&lt;OBJECTIFS!$I$56,U$8*OBJECTIFS!$H$60,U$8)))),0)</f>
        <v>0</v>
      </c>
      <c r="V92" s="25"/>
      <c r="W92" s="90" t="str">
        <f>IF(OR($A92="",$D92="",V92=""),"",SUMIFS(OBJECTIFS!H$9:H$39,OBJECTIFS!$A$9:$A$39,$D92,OBJECTIFS!$C$9:$C$39,$F92))</f>
        <v/>
      </c>
      <c r="X92" s="90" t="str">
        <f>IF(OR(AND($D92=OBJECTIFS!$B$6,OBJECTIFS!H$8="dmt"),AND($D92=OBJECTIFS!$B$13,OBJECTIFS!$H$15="dmt"),AND($D92=OBJECTIFS!$B$20,OBJECTIFS!$H$22="dmt"),AND($D92=OBJECTIFS!$B$27,OBJECTIFS!$H$29="dmt"),AND($D92=OBJECTIFS!$B$34,OBJECTIFS!$H$36="dmt"),AND($D92=OBJECTIFS!$B$6,OBJECTIFS!$H$8="taux de chute"),AND($D92=OBJECTIFS!$B$13,OBJECTIFS!$H$15="taux de chute"),AND($D92=OBJECTIFS!$B$20,OBJECTIFS!$H$22="taux de chute"),AND($D92=OBJECTIFS!$B$27,OBJECTIFS!$H$29="taux de chute"),AND($D92=OBJECTIFS!$B$34,OBJECTIFS!$H$36="taux de chute")),IFERROR(W92/V92,""),IFERROR(V92/W92,""))</f>
        <v/>
      </c>
      <c r="Y92" s="91">
        <f>IFERROR(IF(OR(V92="",W92="",X92=""),0,IF(X92&lt;OBJECTIFS!$E$56,0,IF(X92&lt;OBJECTIFS!$G$56,Y$8*OBJECTIFS!$F$60,IF(X92&lt;OBJECTIFS!$I$56,Y$8*OBJECTIFS!$H$60,Y$8)))),0)</f>
        <v>0</v>
      </c>
      <c r="Z92" s="167"/>
      <c r="AA92" s="90" t="str">
        <f>IF(OR($A92="",$D92="",Z92=""),"",SUMIFS(OBJECTIFS!I$9:I$39,OBJECTIFS!$A$9:$A$39,$D92,OBJECTIFS!$C$9:$C$39,$F92))</f>
        <v/>
      </c>
      <c r="AB92" s="90" t="str">
        <f>IF(OR(AND($D92=OBJECTIFS!$B$6,OBJECTIFS!I$8="dmt"),AND($D92=OBJECTIFS!$B$13,OBJECTIFS!$I$15="dmt"),AND($D92=OBJECTIFS!$B$20,OBJECTIFS!$I$22="dmt"),AND($D92=OBJECTIFS!$B$27,OBJECTIFS!$I$29="dmt"),AND($D92=OBJECTIFS!$B$34,OBJECTIFS!$I$36="dmt"),AND($D92=OBJECTIFS!$B$6,OBJECTIFS!$I$8="taux de chute"),AND($D92=OBJECTIFS!$B$13,OBJECTIFS!$I$15="taux de chute"),AND($D92=OBJECTIFS!$B$20,OBJECTIFS!$I$22="taux de chute"),AND($D92=OBJECTIFS!$B$27,OBJECTIFS!$I$29="taux de chute"),AND($D92=OBJECTIFS!$B$34,OBJECTIFS!$I$36="taux de chute")),IFERROR(AA92/Z92,""),IFERROR(Z92/AA92,""))</f>
        <v/>
      </c>
      <c r="AC92" s="95">
        <f>IFERROR(IF(OR(Z92="",AA92="",AB92=""),0,IF(AB92&lt;OBJECTIFS!$E$56,0,IF(AB92&lt;OBJECTIFS!$G$56,AC$8*OBJECTIFS!$F$60,IF(AB92&lt;OBJECTIFS!$I$56,AC$8*OBJECTIFS!$H$60,AC$8)))),0)</f>
        <v>0</v>
      </c>
      <c r="AD92" s="186"/>
      <c r="AE92" s="187"/>
      <c r="AF92" s="96">
        <f t="shared" ca="1" si="20"/>
        <v>0</v>
      </c>
      <c r="AG92" s="63"/>
      <c r="AH92" s="186"/>
      <c r="AI92" s="24"/>
      <c r="AJ92" s="24"/>
      <c r="AK92" s="24"/>
      <c r="AL92" s="24"/>
      <c r="AM92" s="79">
        <f t="shared" si="21"/>
        <v>0</v>
      </c>
      <c r="AN92" s="79">
        <v>22</v>
      </c>
      <c r="AO92" s="80">
        <f t="shared" si="22"/>
        <v>0</v>
      </c>
      <c r="AP92" s="81" t="str">
        <f t="shared" ca="1" si="23"/>
        <v/>
      </c>
      <c r="AQ92" s="82"/>
      <c r="AR92" s="97">
        <f>IFERROR(VLOOKUP(B92,OBJECTIFS!$C$76:$E$137,2,FALSE),0)</f>
        <v>0</v>
      </c>
      <c r="AS92" s="98">
        <f>IFERROR(VLOOKUP(B92,OBJECTIFS!$H$76:$J$137,2,FALSE),0)</f>
        <v>0</v>
      </c>
      <c r="AT92" s="98">
        <f>IFERROR(VLOOKUP(B92,OBJECTIFS!$C$142:$E$203,2,FALSE),0)</f>
        <v>0</v>
      </c>
      <c r="AU92" s="98">
        <f>IFERROR(VLOOKUP(B92,OBJECTIFS!$H$142:$J$203,2,FALSE),0)</f>
        <v>0</v>
      </c>
      <c r="AV92" s="98">
        <f>IFERROR(VLOOKUP(B92,OBJECTIFS!$F$208:$H$269,3,FALSE),0)</f>
        <v>0</v>
      </c>
      <c r="AW92" s="81">
        <f t="shared" si="24"/>
        <v>0</v>
      </c>
      <c r="AX92" s="82"/>
      <c r="AY92" s="99" t="str">
        <f t="shared" ca="1" si="25"/>
        <v/>
      </c>
      <c r="AZ92" s="63"/>
      <c r="BA92" s="100">
        <f t="shared" ca="1" si="26"/>
        <v>0</v>
      </c>
      <c r="BB92" s="64" t="str">
        <f t="shared" ca="1" si="27"/>
        <v/>
      </c>
      <c r="BC92" s="101" t="str">
        <f t="shared" ca="1" si="28"/>
        <v/>
      </c>
    </row>
    <row r="93" spans="1:55" x14ac:dyDescent="0.2">
      <c r="A93" s="21"/>
      <c r="B93" s="22"/>
      <c r="C93" s="22"/>
      <c r="D93" s="23"/>
      <c r="E93" s="24"/>
      <c r="F93" s="34"/>
      <c r="H93" s="89" t="str">
        <f>IF(OR(D93="",F93="",A93=""),"",IF(E93="oui",0,IF(D93=OBJECTIFS!$C$45,VLOOKUP(F93,OBJECTIFS!$C$9:$D$11,2,FALSE),IF(D93=OBJECTIFS!$C$46,VLOOKUP(F93,OBJECTIFS!$C$16:$D$18,2,FALSE),IF(D93=OBJECTIFS!$C$47,VLOOKUP(F93,OBJECTIFS!$C$23:$D$25,2,FALSE),IF(D93=OBJECTIFS!$C$48,VLOOKUP(F93,OBJECTIFS!$C$30:$D$32,2,FALSE),IF(D93=OBJECTIFS!$C$49,VLOOKUP(F93,OBJECTIFS!$C$37:$D$39,2,FALSE))))))))</f>
        <v/>
      </c>
      <c r="J93" s="25"/>
      <c r="K93" s="90" t="str">
        <f>IF(OR($A93="",$D93="",J93=""),"",SUMIFS(OBJECTIFS!E$9:E$39,OBJECTIFS!$A$9:$A$39,$D93,OBJECTIFS!$C$9:$C$39,$F93))</f>
        <v/>
      </c>
      <c r="L93" s="90" t="str">
        <f>IF(OR(AND($D93=OBJECTIFS!$B$6,OBJECTIFS!E$8="dmt"),AND($D93=OBJECTIFS!$B$13,OBJECTIFS!$E$15="dmt"),AND($D93=OBJECTIFS!$B$20,OBJECTIFS!$E$22="dmt"),AND($D93=OBJECTIFS!$B$27,OBJECTIFS!$E$29="dmt"),AND($D93=OBJECTIFS!$B$34,OBJECTIFS!$E$36="dmt"),AND($D93=OBJECTIFS!$B$6,OBJECTIFS!$E$8="taux de chute"),AND($D93=OBJECTIFS!$B$13,OBJECTIFS!$E$15="taux de chute"),AND($D93=OBJECTIFS!$B$20,OBJECTIFS!$E$22="taux de chute"),AND($D93=OBJECTIFS!$B$27,OBJECTIFS!$E$29="taux de chute"),AND($D93=OBJECTIFS!$B$34,OBJECTIFS!$E$36="taux de chute")),IFERROR(K93/J93,""),IFERROR(J93/K93,""))</f>
        <v/>
      </c>
      <c r="M93" s="91">
        <f>IFERROR(IF(OR(J93="",K93="",L93=""),0,IF(L93&lt;OBJECTIFS!$E$56,0,IF(L93&lt;OBJECTIFS!$G$56,M$8*OBJECTIFS!$F$60,IF(L93&lt;OBJECTIFS!$I$56,M$8*OBJECTIFS!$H$60,M$8)))),0)</f>
        <v>0</v>
      </c>
      <c r="N93" s="161"/>
      <c r="O93" s="92" t="str">
        <f>IF(OR($A93="",$D93="",N93=""),"",SUMIFS(OBJECTIFS!F$9:F$39,OBJECTIFS!$A$9:$A$39,$D93,OBJECTIFS!$C$9:$C$39,$F93))</f>
        <v/>
      </c>
      <c r="P93" s="90" t="str">
        <f>IF(OR(AND($D93=OBJECTIFS!$B$6,OBJECTIFS!$F$8="dmt"),AND($D93=OBJECTIFS!$B$13,OBJECTIFS!$F$15="dmt"),AND($D93=OBJECTIFS!$B$20,OBJECTIFS!$F$22="dmt"),AND($D93=OBJECTIFS!$B$27,OBJECTIFS!$F$29="dmt"),AND($D93=OBJECTIFS!$B$34,OBJECTIFS!$F$36="dmt"),AND($D93=OBJECTIFS!$B$6,OBJECTIFS!$F$8="taux de chute"),AND($D93=OBJECTIFS!$B$13,OBJECTIFS!$F$15="taux de chute"),AND($D93=OBJECTIFS!$B$20,OBJECTIFS!$F$22="taux de chute"),AND($D93=OBJECTIFS!$B$27,OBJECTIFS!$F$29="taux de chute"),AND($D93=OBJECTIFS!$B$34,OBJECTIFS!$F$36="taux de chute")),IFERROR(O93/N93,""),IFERROR(N93/O93,""))</f>
        <v/>
      </c>
      <c r="Q93" s="91">
        <f>IFERROR(IF(OR(N93="",O93="",P93=""),0,IF(P93&lt;OBJECTIFS!$E$56,0,IF(P93&lt;OBJECTIFS!$G$56,Q$8*OBJECTIFS!$F$60,IF(P93&lt;OBJECTIFS!$I$56,Q$8*OBJECTIFS!$H$60,Q$8)))),0)</f>
        <v>0</v>
      </c>
      <c r="R93" s="164"/>
      <c r="S93" s="93" t="str">
        <f>IF(OR($A93="",$D93="",R93=""),"",SUMIFS(OBJECTIFS!G$9:G$39,OBJECTIFS!$A$9:$A$39,$D93,OBJECTIFS!$C$9:$C$39,$F93))</f>
        <v/>
      </c>
      <c r="T93" s="90" t="str">
        <f>IF(OR(AND($D93=OBJECTIFS!$B$6,OBJECTIFS!G$8="dmt"),AND($D93=OBJECTIFS!$B$13,OBJECTIFS!$G$15="dmt"),AND($D93=OBJECTIFS!$B$20,OBJECTIFS!$G$22="dmt"),AND($D93=OBJECTIFS!$B$27,OBJECTIFS!$G$29="dmt"),AND($D93=OBJECTIFS!$B$34,OBJECTIFS!$G$36="dmt"),AND($D93=OBJECTIFS!$B$6,OBJECTIFS!$G$8="taux de chute"),AND($D93=OBJECTIFS!$B$13,OBJECTIFS!$G$15="taux de chute"),AND($D93=OBJECTIFS!$B$20,OBJECTIFS!$G$22="taux de chute"),AND($D93=OBJECTIFS!$B$27,OBJECTIFS!$G$29="taux de chute"),AND($D93=OBJECTIFS!$B$34,OBJECTIFS!$G$36="taux de chute")),IFERROR(S93/R93,""),IFERROR(R93/S93,""))</f>
        <v/>
      </c>
      <c r="U93" s="94">
        <f>IFERROR(IF(OR(R93="",S93="",T93=""),0,IF(T93&lt;OBJECTIFS!$E$56,0,IF(T93&lt;OBJECTIFS!$G$56,U$8*OBJECTIFS!$F$60,IF(T93&lt;OBJECTIFS!$I$56,U$8*OBJECTIFS!$H$60,U$8)))),0)</f>
        <v>0</v>
      </c>
      <c r="V93" s="25"/>
      <c r="W93" s="90" t="str">
        <f>IF(OR($A93="",$D93="",V93=""),"",SUMIFS(OBJECTIFS!H$9:H$39,OBJECTIFS!$A$9:$A$39,$D93,OBJECTIFS!$C$9:$C$39,$F93))</f>
        <v/>
      </c>
      <c r="X93" s="90" t="str">
        <f>IF(OR(AND($D93=OBJECTIFS!$B$6,OBJECTIFS!H$8="dmt"),AND($D93=OBJECTIFS!$B$13,OBJECTIFS!$H$15="dmt"),AND($D93=OBJECTIFS!$B$20,OBJECTIFS!$H$22="dmt"),AND($D93=OBJECTIFS!$B$27,OBJECTIFS!$H$29="dmt"),AND($D93=OBJECTIFS!$B$34,OBJECTIFS!$H$36="dmt"),AND($D93=OBJECTIFS!$B$6,OBJECTIFS!$H$8="taux de chute"),AND($D93=OBJECTIFS!$B$13,OBJECTIFS!$H$15="taux de chute"),AND($D93=OBJECTIFS!$B$20,OBJECTIFS!$H$22="taux de chute"),AND($D93=OBJECTIFS!$B$27,OBJECTIFS!$H$29="taux de chute"),AND($D93=OBJECTIFS!$B$34,OBJECTIFS!$H$36="taux de chute")),IFERROR(W93/V93,""),IFERROR(V93/W93,""))</f>
        <v/>
      </c>
      <c r="Y93" s="91">
        <f>IFERROR(IF(OR(V93="",W93="",X93=""),0,IF(X93&lt;OBJECTIFS!$E$56,0,IF(X93&lt;OBJECTIFS!$G$56,Y$8*OBJECTIFS!$F$60,IF(X93&lt;OBJECTIFS!$I$56,Y$8*OBJECTIFS!$H$60,Y$8)))),0)</f>
        <v>0</v>
      </c>
      <c r="Z93" s="167"/>
      <c r="AA93" s="90" t="str">
        <f>IF(OR($A93="",$D93="",Z93=""),"",SUMIFS(OBJECTIFS!I$9:I$39,OBJECTIFS!$A$9:$A$39,$D93,OBJECTIFS!$C$9:$C$39,$F93))</f>
        <v/>
      </c>
      <c r="AB93" s="90" t="str">
        <f>IF(OR(AND($D93=OBJECTIFS!$B$6,OBJECTIFS!I$8="dmt"),AND($D93=OBJECTIFS!$B$13,OBJECTIFS!$I$15="dmt"),AND($D93=OBJECTIFS!$B$20,OBJECTIFS!$I$22="dmt"),AND($D93=OBJECTIFS!$B$27,OBJECTIFS!$I$29="dmt"),AND($D93=OBJECTIFS!$B$34,OBJECTIFS!$I$36="dmt"),AND($D93=OBJECTIFS!$B$6,OBJECTIFS!$I$8="taux de chute"),AND($D93=OBJECTIFS!$B$13,OBJECTIFS!$I$15="taux de chute"),AND($D93=OBJECTIFS!$B$20,OBJECTIFS!$I$22="taux de chute"),AND($D93=OBJECTIFS!$B$27,OBJECTIFS!$I$29="taux de chute"),AND($D93=OBJECTIFS!$B$34,OBJECTIFS!$I$36="taux de chute")),IFERROR(AA93/Z93,""),IFERROR(Z93/AA93,""))</f>
        <v/>
      </c>
      <c r="AC93" s="95">
        <f>IFERROR(IF(OR(Z93="",AA93="",AB93=""),0,IF(AB93&lt;OBJECTIFS!$E$56,0,IF(AB93&lt;OBJECTIFS!$G$56,AC$8*OBJECTIFS!$F$60,IF(AB93&lt;OBJECTIFS!$I$56,AC$8*OBJECTIFS!$H$60,AC$8)))),0)</f>
        <v>0</v>
      </c>
      <c r="AD93" s="186"/>
      <c r="AE93" s="187"/>
      <c r="AF93" s="96">
        <f t="shared" ca="1" si="20"/>
        <v>0</v>
      </c>
      <c r="AG93" s="63"/>
      <c r="AH93" s="186"/>
      <c r="AI93" s="24"/>
      <c r="AJ93" s="24"/>
      <c r="AK93" s="24"/>
      <c r="AL93" s="24"/>
      <c r="AM93" s="79">
        <f t="shared" si="21"/>
        <v>0</v>
      </c>
      <c r="AN93" s="79">
        <v>22</v>
      </c>
      <c r="AO93" s="80">
        <f t="shared" si="22"/>
        <v>0</v>
      </c>
      <c r="AP93" s="81" t="str">
        <f t="shared" ca="1" si="23"/>
        <v/>
      </c>
      <c r="AQ93" s="82"/>
      <c r="AR93" s="97">
        <f>IFERROR(VLOOKUP(B93,OBJECTIFS!$C$76:$E$137,2,FALSE),0)</f>
        <v>0</v>
      </c>
      <c r="AS93" s="98">
        <f>IFERROR(VLOOKUP(B93,OBJECTIFS!$H$76:$J$137,2,FALSE),0)</f>
        <v>0</v>
      </c>
      <c r="AT93" s="98">
        <f>IFERROR(VLOOKUP(B93,OBJECTIFS!$C$142:$E$203,2,FALSE),0)</f>
        <v>0</v>
      </c>
      <c r="AU93" s="98">
        <f>IFERROR(VLOOKUP(B93,OBJECTIFS!$H$142:$J$203,2,FALSE),0)</f>
        <v>0</v>
      </c>
      <c r="AV93" s="98">
        <f>IFERROR(VLOOKUP(B93,OBJECTIFS!$F$208:$H$269,3,FALSE),0)</f>
        <v>0</v>
      </c>
      <c r="AW93" s="81">
        <f t="shared" si="24"/>
        <v>0</v>
      </c>
      <c r="AX93" s="82"/>
      <c r="AY93" s="99" t="str">
        <f t="shared" ca="1" si="25"/>
        <v/>
      </c>
      <c r="AZ93" s="63"/>
      <c r="BA93" s="100">
        <f t="shared" ca="1" si="26"/>
        <v>0</v>
      </c>
      <c r="BB93" s="64" t="str">
        <f t="shared" ca="1" si="27"/>
        <v/>
      </c>
      <c r="BC93" s="101" t="str">
        <f t="shared" ca="1" si="28"/>
        <v/>
      </c>
    </row>
    <row r="94" spans="1:55" x14ac:dyDescent="0.2">
      <c r="A94" s="21"/>
      <c r="B94" s="22"/>
      <c r="C94" s="22"/>
      <c r="D94" s="23"/>
      <c r="E94" s="24"/>
      <c r="F94" s="34"/>
      <c r="H94" s="89" t="str">
        <f>IF(OR(D94="",F94="",A94=""),"",IF(E94="oui",0,IF(D94=OBJECTIFS!$C$45,VLOOKUP(F94,OBJECTIFS!$C$9:$D$11,2,FALSE),IF(D94=OBJECTIFS!$C$46,VLOOKUP(F94,OBJECTIFS!$C$16:$D$18,2,FALSE),IF(D94=OBJECTIFS!$C$47,VLOOKUP(F94,OBJECTIFS!$C$23:$D$25,2,FALSE),IF(D94=OBJECTIFS!$C$48,VLOOKUP(F94,OBJECTIFS!$C$30:$D$32,2,FALSE),IF(D94=OBJECTIFS!$C$49,VLOOKUP(F94,OBJECTIFS!$C$37:$D$39,2,FALSE))))))))</f>
        <v/>
      </c>
      <c r="J94" s="25"/>
      <c r="K94" s="90" t="str">
        <f>IF(OR($A94="",$D94="",J94=""),"",SUMIFS(OBJECTIFS!E$9:E$39,OBJECTIFS!$A$9:$A$39,$D94,OBJECTIFS!$C$9:$C$39,$F94))</f>
        <v/>
      </c>
      <c r="L94" s="90" t="str">
        <f>IF(OR(AND($D94=OBJECTIFS!$B$6,OBJECTIFS!E$8="dmt"),AND($D94=OBJECTIFS!$B$13,OBJECTIFS!$E$15="dmt"),AND($D94=OBJECTIFS!$B$20,OBJECTIFS!$E$22="dmt"),AND($D94=OBJECTIFS!$B$27,OBJECTIFS!$E$29="dmt"),AND($D94=OBJECTIFS!$B$34,OBJECTIFS!$E$36="dmt"),AND($D94=OBJECTIFS!$B$6,OBJECTIFS!$E$8="taux de chute"),AND($D94=OBJECTIFS!$B$13,OBJECTIFS!$E$15="taux de chute"),AND($D94=OBJECTIFS!$B$20,OBJECTIFS!$E$22="taux de chute"),AND($D94=OBJECTIFS!$B$27,OBJECTIFS!$E$29="taux de chute"),AND($D94=OBJECTIFS!$B$34,OBJECTIFS!$E$36="taux de chute")),IFERROR(K94/J94,""),IFERROR(J94/K94,""))</f>
        <v/>
      </c>
      <c r="M94" s="91">
        <f>IFERROR(IF(OR(J94="",K94="",L94=""),0,IF(L94&lt;OBJECTIFS!$E$56,0,IF(L94&lt;OBJECTIFS!$G$56,M$8*OBJECTIFS!$F$60,IF(L94&lt;OBJECTIFS!$I$56,M$8*OBJECTIFS!$H$60,M$8)))),0)</f>
        <v>0</v>
      </c>
      <c r="N94" s="161"/>
      <c r="O94" s="92" t="str">
        <f>IF(OR($A94="",$D94="",N94=""),"",SUMIFS(OBJECTIFS!F$9:F$39,OBJECTIFS!$A$9:$A$39,$D94,OBJECTIFS!$C$9:$C$39,$F94))</f>
        <v/>
      </c>
      <c r="P94" s="90" t="str">
        <f>IF(OR(AND($D94=OBJECTIFS!$B$6,OBJECTIFS!$F$8="dmt"),AND($D94=OBJECTIFS!$B$13,OBJECTIFS!$F$15="dmt"),AND($D94=OBJECTIFS!$B$20,OBJECTIFS!$F$22="dmt"),AND($D94=OBJECTIFS!$B$27,OBJECTIFS!$F$29="dmt"),AND($D94=OBJECTIFS!$B$34,OBJECTIFS!$F$36="dmt"),AND($D94=OBJECTIFS!$B$6,OBJECTIFS!$F$8="taux de chute"),AND($D94=OBJECTIFS!$B$13,OBJECTIFS!$F$15="taux de chute"),AND($D94=OBJECTIFS!$B$20,OBJECTIFS!$F$22="taux de chute"),AND($D94=OBJECTIFS!$B$27,OBJECTIFS!$F$29="taux de chute"),AND($D94=OBJECTIFS!$B$34,OBJECTIFS!$F$36="taux de chute")),IFERROR(O94/N94,""),IFERROR(N94/O94,""))</f>
        <v/>
      </c>
      <c r="Q94" s="91">
        <f>IFERROR(IF(OR(N94="",O94="",P94=""),0,IF(P94&lt;OBJECTIFS!$E$56,0,IF(P94&lt;OBJECTIFS!$G$56,Q$8*OBJECTIFS!$F$60,IF(P94&lt;OBJECTIFS!$I$56,Q$8*OBJECTIFS!$H$60,Q$8)))),0)</f>
        <v>0</v>
      </c>
      <c r="R94" s="164"/>
      <c r="S94" s="93" t="str">
        <f>IF(OR($A94="",$D94="",R94=""),"",SUMIFS(OBJECTIFS!G$9:G$39,OBJECTIFS!$A$9:$A$39,$D94,OBJECTIFS!$C$9:$C$39,$F94))</f>
        <v/>
      </c>
      <c r="T94" s="90" t="str">
        <f>IF(OR(AND($D94=OBJECTIFS!$B$6,OBJECTIFS!G$8="dmt"),AND($D94=OBJECTIFS!$B$13,OBJECTIFS!$G$15="dmt"),AND($D94=OBJECTIFS!$B$20,OBJECTIFS!$G$22="dmt"),AND($D94=OBJECTIFS!$B$27,OBJECTIFS!$G$29="dmt"),AND($D94=OBJECTIFS!$B$34,OBJECTIFS!$G$36="dmt"),AND($D94=OBJECTIFS!$B$6,OBJECTIFS!$G$8="taux de chute"),AND($D94=OBJECTIFS!$B$13,OBJECTIFS!$G$15="taux de chute"),AND($D94=OBJECTIFS!$B$20,OBJECTIFS!$G$22="taux de chute"),AND($D94=OBJECTIFS!$B$27,OBJECTIFS!$G$29="taux de chute"),AND($D94=OBJECTIFS!$B$34,OBJECTIFS!$G$36="taux de chute")),IFERROR(S94/R94,""),IFERROR(R94/S94,""))</f>
        <v/>
      </c>
      <c r="U94" s="94">
        <f>IFERROR(IF(OR(R94="",S94="",T94=""),0,IF(T94&lt;OBJECTIFS!$E$56,0,IF(T94&lt;OBJECTIFS!$G$56,U$8*OBJECTIFS!$F$60,IF(T94&lt;OBJECTIFS!$I$56,U$8*OBJECTIFS!$H$60,U$8)))),0)</f>
        <v>0</v>
      </c>
      <c r="V94" s="25"/>
      <c r="W94" s="90" t="str">
        <f>IF(OR($A94="",$D94="",V94=""),"",SUMIFS(OBJECTIFS!H$9:H$39,OBJECTIFS!$A$9:$A$39,$D94,OBJECTIFS!$C$9:$C$39,$F94))</f>
        <v/>
      </c>
      <c r="X94" s="90" t="str">
        <f>IF(OR(AND($D94=OBJECTIFS!$B$6,OBJECTIFS!H$8="dmt"),AND($D94=OBJECTIFS!$B$13,OBJECTIFS!$H$15="dmt"),AND($D94=OBJECTIFS!$B$20,OBJECTIFS!$H$22="dmt"),AND($D94=OBJECTIFS!$B$27,OBJECTIFS!$H$29="dmt"),AND($D94=OBJECTIFS!$B$34,OBJECTIFS!$H$36="dmt"),AND($D94=OBJECTIFS!$B$6,OBJECTIFS!$H$8="taux de chute"),AND($D94=OBJECTIFS!$B$13,OBJECTIFS!$H$15="taux de chute"),AND($D94=OBJECTIFS!$B$20,OBJECTIFS!$H$22="taux de chute"),AND($D94=OBJECTIFS!$B$27,OBJECTIFS!$H$29="taux de chute"),AND($D94=OBJECTIFS!$B$34,OBJECTIFS!$H$36="taux de chute")),IFERROR(W94/V94,""),IFERROR(V94/W94,""))</f>
        <v/>
      </c>
      <c r="Y94" s="91">
        <f>IFERROR(IF(OR(V94="",W94="",X94=""),0,IF(X94&lt;OBJECTIFS!$E$56,0,IF(X94&lt;OBJECTIFS!$G$56,Y$8*OBJECTIFS!$F$60,IF(X94&lt;OBJECTIFS!$I$56,Y$8*OBJECTIFS!$H$60,Y$8)))),0)</f>
        <v>0</v>
      </c>
      <c r="Z94" s="167"/>
      <c r="AA94" s="90" t="str">
        <f>IF(OR($A94="",$D94="",Z94=""),"",SUMIFS(OBJECTIFS!I$9:I$39,OBJECTIFS!$A$9:$A$39,$D94,OBJECTIFS!$C$9:$C$39,$F94))</f>
        <v/>
      </c>
      <c r="AB94" s="90" t="str">
        <f>IF(OR(AND($D94=OBJECTIFS!$B$6,OBJECTIFS!I$8="dmt"),AND($D94=OBJECTIFS!$B$13,OBJECTIFS!$I$15="dmt"),AND($D94=OBJECTIFS!$B$20,OBJECTIFS!$I$22="dmt"),AND($D94=OBJECTIFS!$B$27,OBJECTIFS!$I$29="dmt"),AND($D94=OBJECTIFS!$B$34,OBJECTIFS!$I$36="dmt"),AND($D94=OBJECTIFS!$B$6,OBJECTIFS!$I$8="taux de chute"),AND($D94=OBJECTIFS!$B$13,OBJECTIFS!$I$15="taux de chute"),AND($D94=OBJECTIFS!$B$20,OBJECTIFS!$I$22="taux de chute"),AND($D94=OBJECTIFS!$B$27,OBJECTIFS!$I$29="taux de chute"),AND($D94=OBJECTIFS!$B$34,OBJECTIFS!$I$36="taux de chute")),IFERROR(AA94/Z94,""),IFERROR(Z94/AA94,""))</f>
        <v/>
      </c>
      <c r="AC94" s="95">
        <f>IFERROR(IF(OR(Z94="",AA94="",AB94=""),0,IF(AB94&lt;OBJECTIFS!$E$56,0,IF(AB94&lt;OBJECTIFS!$G$56,AC$8*OBJECTIFS!$F$60,IF(AB94&lt;OBJECTIFS!$I$56,AC$8*OBJECTIFS!$H$60,AC$8)))),0)</f>
        <v>0</v>
      </c>
      <c r="AD94" s="186"/>
      <c r="AE94" s="187"/>
      <c r="AF94" s="96">
        <f t="shared" ca="1" si="20"/>
        <v>0</v>
      </c>
      <c r="AG94" s="63"/>
      <c r="AH94" s="186"/>
      <c r="AI94" s="24"/>
      <c r="AJ94" s="24"/>
      <c r="AK94" s="24"/>
      <c r="AL94" s="24"/>
      <c r="AM94" s="79">
        <f t="shared" si="21"/>
        <v>0</v>
      </c>
      <c r="AN94" s="79">
        <v>22</v>
      </c>
      <c r="AO94" s="80">
        <f t="shared" si="22"/>
        <v>0</v>
      </c>
      <c r="AP94" s="81" t="str">
        <f t="shared" ca="1" si="23"/>
        <v/>
      </c>
      <c r="AQ94" s="82"/>
      <c r="AR94" s="97">
        <f>IFERROR(VLOOKUP(B94,OBJECTIFS!$C$76:$E$137,2,FALSE),0)</f>
        <v>0</v>
      </c>
      <c r="AS94" s="98">
        <f>IFERROR(VLOOKUP(B94,OBJECTIFS!$H$76:$J$137,2,FALSE),0)</f>
        <v>0</v>
      </c>
      <c r="AT94" s="98">
        <f>IFERROR(VLOOKUP(B94,OBJECTIFS!$C$142:$E$203,2,FALSE),0)</f>
        <v>0</v>
      </c>
      <c r="AU94" s="98">
        <f>IFERROR(VLOOKUP(B94,OBJECTIFS!$H$142:$J$203,2,FALSE),0)</f>
        <v>0</v>
      </c>
      <c r="AV94" s="98">
        <f>IFERROR(VLOOKUP(B94,OBJECTIFS!$F$208:$H$269,3,FALSE),0)</f>
        <v>0</v>
      </c>
      <c r="AW94" s="81">
        <f t="shared" si="24"/>
        <v>0</v>
      </c>
      <c r="AX94" s="82"/>
      <c r="AY94" s="99" t="str">
        <f t="shared" ca="1" si="25"/>
        <v/>
      </c>
      <c r="AZ94" s="63"/>
      <c r="BA94" s="100">
        <f t="shared" ca="1" si="26"/>
        <v>0</v>
      </c>
      <c r="BB94" s="64" t="str">
        <f t="shared" ca="1" si="27"/>
        <v/>
      </c>
      <c r="BC94" s="101" t="str">
        <f t="shared" ca="1" si="28"/>
        <v/>
      </c>
    </row>
    <row r="95" spans="1:55" x14ac:dyDescent="0.2">
      <c r="A95" s="21"/>
      <c r="B95" s="22"/>
      <c r="C95" s="22"/>
      <c r="D95" s="23"/>
      <c r="E95" s="24"/>
      <c r="F95" s="34"/>
      <c r="H95" s="89" t="str">
        <f>IF(OR(D95="",F95="",A95=""),"",IF(E95="oui",0,IF(D95=OBJECTIFS!$C$45,VLOOKUP(F95,OBJECTIFS!$C$9:$D$11,2,FALSE),IF(D95=OBJECTIFS!$C$46,VLOOKUP(F95,OBJECTIFS!$C$16:$D$18,2,FALSE),IF(D95=OBJECTIFS!$C$47,VLOOKUP(F95,OBJECTIFS!$C$23:$D$25,2,FALSE),IF(D95=OBJECTIFS!$C$48,VLOOKUP(F95,OBJECTIFS!$C$30:$D$32,2,FALSE),IF(D95=OBJECTIFS!$C$49,VLOOKUP(F95,OBJECTIFS!$C$37:$D$39,2,FALSE))))))))</f>
        <v/>
      </c>
      <c r="J95" s="25"/>
      <c r="K95" s="90" t="str">
        <f>IF(OR($A95="",$D95="",J95=""),"",SUMIFS(OBJECTIFS!E$9:E$39,OBJECTIFS!$A$9:$A$39,$D95,OBJECTIFS!$C$9:$C$39,$F95))</f>
        <v/>
      </c>
      <c r="L95" s="90" t="str">
        <f>IF(OR(AND($D95=OBJECTIFS!$B$6,OBJECTIFS!E$8="dmt"),AND($D95=OBJECTIFS!$B$13,OBJECTIFS!$E$15="dmt"),AND($D95=OBJECTIFS!$B$20,OBJECTIFS!$E$22="dmt"),AND($D95=OBJECTIFS!$B$27,OBJECTIFS!$E$29="dmt"),AND($D95=OBJECTIFS!$B$34,OBJECTIFS!$E$36="dmt"),AND($D95=OBJECTIFS!$B$6,OBJECTIFS!$E$8="taux de chute"),AND($D95=OBJECTIFS!$B$13,OBJECTIFS!$E$15="taux de chute"),AND($D95=OBJECTIFS!$B$20,OBJECTIFS!$E$22="taux de chute"),AND($D95=OBJECTIFS!$B$27,OBJECTIFS!$E$29="taux de chute"),AND($D95=OBJECTIFS!$B$34,OBJECTIFS!$E$36="taux de chute")),IFERROR(K95/J95,""),IFERROR(J95/K95,""))</f>
        <v/>
      </c>
      <c r="M95" s="91">
        <f>IFERROR(IF(OR(J95="",K95="",L95=""),0,IF(L95&lt;OBJECTIFS!$E$56,0,IF(L95&lt;OBJECTIFS!$G$56,M$8*OBJECTIFS!$F$60,IF(L95&lt;OBJECTIFS!$I$56,M$8*OBJECTIFS!$H$60,M$8)))),0)</f>
        <v>0</v>
      </c>
      <c r="N95" s="161"/>
      <c r="O95" s="92" t="str">
        <f>IF(OR($A95="",$D95="",N95=""),"",SUMIFS(OBJECTIFS!F$9:F$39,OBJECTIFS!$A$9:$A$39,$D95,OBJECTIFS!$C$9:$C$39,$F95))</f>
        <v/>
      </c>
      <c r="P95" s="90" t="str">
        <f>IF(OR(AND($D95=OBJECTIFS!$B$6,OBJECTIFS!$F$8="dmt"),AND($D95=OBJECTIFS!$B$13,OBJECTIFS!$F$15="dmt"),AND($D95=OBJECTIFS!$B$20,OBJECTIFS!$F$22="dmt"),AND($D95=OBJECTIFS!$B$27,OBJECTIFS!$F$29="dmt"),AND($D95=OBJECTIFS!$B$34,OBJECTIFS!$F$36="dmt"),AND($D95=OBJECTIFS!$B$6,OBJECTIFS!$F$8="taux de chute"),AND($D95=OBJECTIFS!$B$13,OBJECTIFS!$F$15="taux de chute"),AND($D95=OBJECTIFS!$B$20,OBJECTIFS!$F$22="taux de chute"),AND($D95=OBJECTIFS!$B$27,OBJECTIFS!$F$29="taux de chute"),AND($D95=OBJECTIFS!$B$34,OBJECTIFS!$F$36="taux de chute")),IFERROR(O95/N95,""),IFERROR(N95/O95,""))</f>
        <v/>
      </c>
      <c r="Q95" s="91">
        <f>IFERROR(IF(OR(N95="",O95="",P95=""),0,IF(P95&lt;OBJECTIFS!$E$56,0,IF(P95&lt;OBJECTIFS!$G$56,Q$8*OBJECTIFS!$F$60,IF(P95&lt;OBJECTIFS!$I$56,Q$8*OBJECTIFS!$H$60,Q$8)))),0)</f>
        <v>0</v>
      </c>
      <c r="R95" s="164"/>
      <c r="S95" s="93" t="str">
        <f>IF(OR($A95="",$D95="",R95=""),"",SUMIFS(OBJECTIFS!G$9:G$39,OBJECTIFS!$A$9:$A$39,$D95,OBJECTIFS!$C$9:$C$39,$F95))</f>
        <v/>
      </c>
      <c r="T95" s="90" t="str">
        <f>IF(OR(AND($D95=OBJECTIFS!$B$6,OBJECTIFS!G$8="dmt"),AND($D95=OBJECTIFS!$B$13,OBJECTIFS!$G$15="dmt"),AND($D95=OBJECTIFS!$B$20,OBJECTIFS!$G$22="dmt"),AND($D95=OBJECTIFS!$B$27,OBJECTIFS!$G$29="dmt"),AND($D95=OBJECTIFS!$B$34,OBJECTIFS!$G$36="dmt"),AND($D95=OBJECTIFS!$B$6,OBJECTIFS!$G$8="taux de chute"),AND($D95=OBJECTIFS!$B$13,OBJECTIFS!$G$15="taux de chute"),AND($D95=OBJECTIFS!$B$20,OBJECTIFS!$G$22="taux de chute"),AND($D95=OBJECTIFS!$B$27,OBJECTIFS!$G$29="taux de chute"),AND($D95=OBJECTIFS!$B$34,OBJECTIFS!$G$36="taux de chute")),IFERROR(S95/R95,""),IFERROR(R95/S95,""))</f>
        <v/>
      </c>
      <c r="U95" s="94">
        <f>IFERROR(IF(OR(R95="",S95="",T95=""),0,IF(T95&lt;OBJECTIFS!$E$56,0,IF(T95&lt;OBJECTIFS!$G$56,U$8*OBJECTIFS!$F$60,IF(T95&lt;OBJECTIFS!$I$56,U$8*OBJECTIFS!$H$60,U$8)))),0)</f>
        <v>0</v>
      </c>
      <c r="V95" s="25"/>
      <c r="W95" s="90" t="str">
        <f>IF(OR($A95="",$D95="",V95=""),"",SUMIFS(OBJECTIFS!H$9:H$39,OBJECTIFS!$A$9:$A$39,$D95,OBJECTIFS!$C$9:$C$39,$F95))</f>
        <v/>
      </c>
      <c r="X95" s="90" t="str">
        <f>IF(OR(AND($D95=OBJECTIFS!$B$6,OBJECTIFS!H$8="dmt"),AND($D95=OBJECTIFS!$B$13,OBJECTIFS!$H$15="dmt"),AND($D95=OBJECTIFS!$B$20,OBJECTIFS!$H$22="dmt"),AND($D95=OBJECTIFS!$B$27,OBJECTIFS!$H$29="dmt"),AND($D95=OBJECTIFS!$B$34,OBJECTIFS!$H$36="dmt"),AND($D95=OBJECTIFS!$B$6,OBJECTIFS!$H$8="taux de chute"),AND($D95=OBJECTIFS!$B$13,OBJECTIFS!$H$15="taux de chute"),AND($D95=OBJECTIFS!$B$20,OBJECTIFS!$H$22="taux de chute"),AND($D95=OBJECTIFS!$B$27,OBJECTIFS!$H$29="taux de chute"),AND($D95=OBJECTIFS!$B$34,OBJECTIFS!$H$36="taux de chute")),IFERROR(W95/V95,""),IFERROR(V95/W95,""))</f>
        <v/>
      </c>
      <c r="Y95" s="91">
        <f>IFERROR(IF(OR(V95="",W95="",X95=""),0,IF(X95&lt;OBJECTIFS!$E$56,0,IF(X95&lt;OBJECTIFS!$G$56,Y$8*OBJECTIFS!$F$60,IF(X95&lt;OBJECTIFS!$I$56,Y$8*OBJECTIFS!$H$60,Y$8)))),0)</f>
        <v>0</v>
      </c>
      <c r="Z95" s="167"/>
      <c r="AA95" s="90" t="str">
        <f>IF(OR($A95="",$D95="",Z95=""),"",SUMIFS(OBJECTIFS!I$9:I$39,OBJECTIFS!$A$9:$A$39,$D95,OBJECTIFS!$C$9:$C$39,$F95))</f>
        <v/>
      </c>
      <c r="AB95" s="90" t="str">
        <f>IF(OR(AND($D95=OBJECTIFS!$B$6,OBJECTIFS!I$8="dmt"),AND($D95=OBJECTIFS!$B$13,OBJECTIFS!$I$15="dmt"),AND($D95=OBJECTIFS!$B$20,OBJECTIFS!$I$22="dmt"),AND($D95=OBJECTIFS!$B$27,OBJECTIFS!$I$29="dmt"),AND($D95=OBJECTIFS!$B$34,OBJECTIFS!$I$36="dmt"),AND($D95=OBJECTIFS!$B$6,OBJECTIFS!$I$8="taux de chute"),AND($D95=OBJECTIFS!$B$13,OBJECTIFS!$I$15="taux de chute"),AND($D95=OBJECTIFS!$B$20,OBJECTIFS!$I$22="taux de chute"),AND($D95=OBJECTIFS!$B$27,OBJECTIFS!$I$29="taux de chute"),AND($D95=OBJECTIFS!$B$34,OBJECTIFS!$I$36="taux de chute")),IFERROR(AA95/Z95,""),IFERROR(Z95/AA95,""))</f>
        <v/>
      </c>
      <c r="AC95" s="95">
        <f>IFERROR(IF(OR(Z95="",AA95="",AB95=""),0,IF(AB95&lt;OBJECTIFS!$E$56,0,IF(AB95&lt;OBJECTIFS!$G$56,AC$8*OBJECTIFS!$F$60,IF(AB95&lt;OBJECTIFS!$I$56,AC$8*OBJECTIFS!$H$60,AC$8)))),0)</f>
        <v>0</v>
      </c>
      <c r="AD95" s="186"/>
      <c r="AE95" s="187"/>
      <c r="AF95" s="96">
        <f t="shared" ca="1" si="20"/>
        <v>0</v>
      </c>
      <c r="AG95" s="63"/>
      <c r="AH95" s="186"/>
      <c r="AI95" s="24"/>
      <c r="AJ95" s="24"/>
      <c r="AK95" s="24"/>
      <c r="AL95" s="24"/>
      <c r="AM95" s="79">
        <f t="shared" si="21"/>
        <v>0</v>
      </c>
      <c r="AN95" s="79">
        <v>22</v>
      </c>
      <c r="AO95" s="80">
        <f t="shared" si="22"/>
        <v>0</v>
      </c>
      <c r="AP95" s="81" t="str">
        <f t="shared" ca="1" si="23"/>
        <v/>
      </c>
      <c r="AQ95" s="82"/>
      <c r="AR95" s="97">
        <f>IFERROR(VLOOKUP(B95,OBJECTIFS!$C$76:$E$137,2,FALSE),0)</f>
        <v>0</v>
      </c>
      <c r="AS95" s="98">
        <f>IFERROR(VLOOKUP(B95,OBJECTIFS!$H$76:$J$137,2,FALSE),0)</f>
        <v>0</v>
      </c>
      <c r="AT95" s="98">
        <f>IFERROR(VLOOKUP(B95,OBJECTIFS!$C$142:$E$203,2,FALSE),0)</f>
        <v>0</v>
      </c>
      <c r="AU95" s="98">
        <f>IFERROR(VLOOKUP(B95,OBJECTIFS!$H$142:$J$203,2,FALSE),0)</f>
        <v>0</v>
      </c>
      <c r="AV95" s="98">
        <f>IFERROR(VLOOKUP(B95,OBJECTIFS!$F$208:$H$269,3,FALSE),0)</f>
        <v>0</v>
      </c>
      <c r="AW95" s="81">
        <f t="shared" si="24"/>
        <v>0</v>
      </c>
      <c r="AX95" s="82"/>
      <c r="AY95" s="99" t="str">
        <f t="shared" ca="1" si="25"/>
        <v/>
      </c>
      <c r="AZ95" s="63"/>
      <c r="BA95" s="100">
        <f t="shared" ca="1" si="26"/>
        <v>0</v>
      </c>
      <c r="BB95" s="64" t="str">
        <f t="shared" ca="1" si="27"/>
        <v/>
      </c>
      <c r="BC95" s="101" t="str">
        <f t="shared" ca="1" si="28"/>
        <v/>
      </c>
    </row>
    <row r="96" spans="1:55" x14ac:dyDescent="0.2">
      <c r="A96" s="21"/>
      <c r="B96" s="22"/>
      <c r="C96" s="22"/>
      <c r="D96" s="23"/>
      <c r="E96" s="24"/>
      <c r="F96" s="34"/>
      <c r="H96" s="89" t="str">
        <f>IF(OR(D96="",F96="",A96=""),"",IF(E96="oui",0,IF(D96=OBJECTIFS!$C$45,VLOOKUP(F96,OBJECTIFS!$C$9:$D$11,2,FALSE),IF(D96=OBJECTIFS!$C$46,VLOOKUP(F96,OBJECTIFS!$C$16:$D$18,2,FALSE),IF(D96=OBJECTIFS!$C$47,VLOOKUP(F96,OBJECTIFS!$C$23:$D$25,2,FALSE),IF(D96=OBJECTIFS!$C$48,VLOOKUP(F96,OBJECTIFS!$C$30:$D$32,2,FALSE),IF(D96=OBJECTIFS!$C$49,VLOOKUP(F96,OBJECTIFS!$C$37:$D$39,2,FALSE))))))))</f>
        <v/>
      </c>
      <c r="J96" s="25"/>
      <c r="K96" s="90" t="str">
        <f>IF(OR($A96="",$D96="",J96=""),"",SUMIFS(OBJECTIFS!E$9:E$39,OBJECTIFS!$A$9:$A$39,$D96,OBJECTIFS!$C$9:$C$39,$F96))</f>
        <v/>
      </c>
      <c r="L96" s="90" t="str">
        <f>IF(OR(AND($D96=OBJECTIFS!$B$6,OBJECTIFS!E$8="dmt"),AND($D96=OBJECTIFS!$B$13,OBJECTIFS!$E$15="dmt"),AND($D96=OBJECTIFS!$B$20,OBJECTIFS!$E$22="dmt"),AND($D96=OBJECTIFS!$B$27,OBJECTIFS!$E$29="dmt"),AND($D96=OBJECTIFS!$B$34,OBJECTIFS!$E$36="dmt"),AND($D96=OBJECTIFS!$B$6,OBJECTIFS!$E$8="taux de chute"),AND($D96=OBJECTIFS!$B$13,OBJECTIFS!$E$15="taux de chute"),AND($D96=OBJECTIFS!$B$20,OBJECTIFS!$E$22="taux de chute"),AND($D96=OBJECTIFS!$B$27,OBJECTIFS!$E$29="taux de chute"),AND($D96=OBJECTIFS!$B$34,OBJECTIFS!$E$36="taux de chute")),IFERROR(K96/J96,""),IFERROR(J96/K96,""))</f>
        <v/>
      </c>
      <c r="M96" s="91">
        <f>IFERROR(IF(OR(J96="",K96="",L96=""),0,IF(L96&lt;OBJECTIFS!$E$56,0,IF(L96&lt;OBJECTIFS!$G$56,M$8*OBJECTIFS!$F$60,IF(L96&lt;OBJECTIFS!$I$56,M$8*OBJECTIFS!$H$60,M$8)))),0)</f>
        <v>0</v>
      </c>
      <c r="N96" s="161"/>
      <c r="O96" s="92" t="str">
        <f>IF(OR($A96="",$D96="",N96=""),"",SUMIFS(OBJECTIFS!F$9:F$39,OBJECTIFS!$A$9:$A$39,$D96,OBJECTIFS!$C$9:$C$39,$F96))</f>
        <v/>
      </c>
      <c r="P96" s="90" t="str">
        <f>IF(OR(AND($D96=OBJECTIFS!$B$6,OBJECTIFS!$F$8="dmt"),AND($D96=OBJECTIFS!$B$13,OBJECTIFS!$F$15="dmt"),AND($D96=OBJECTIFS!$B$20,OBJECTIFS!$F$22="dmt"),AND($D96=OBJECTIFS!$B$27,OBJECTIFS!$F$29="dmt"),AND($D96=OBJECTIFS!$B$34,OBJECTIFS!$F$36="dmt"),AND($D96=OBJECTIFS!$B$6,OBJECTIFS!$F$8="taux de chute"),AND($D96=OBJECTIFS!$B$13,OBJECTIFS!$F$15="taux de chute"),AND($D96=OBJECTIFS!$B$20,OBJECTIFS!$F$22="taux de chute"),AND($D96=OBJECTIFS!$B$27,OBJECTIFS!$F$29="taux de chute"),AND($D96=OBJECTIFS!$B$34,OBJECTIFS!$F$36="taux de chute")),IFERROR(O96/N96,""),IFERROR(N96/O96,""))</f>
        <v/>
      </c>
      <c r="Q96" s="91">
        <f>IFERROR(IF(OR(N96="",O96="",P96=""),0,IF(P96&lt;OBJECTIFS!$E$56,0,IF(P96&lt;OBJECTIFS!$G$56,Q$8*OBJECTIFS!$F$60,IF(P96&lt;OBJECTIFS!$I$56,Q$8*OBJECTIFS!$H$60,Q$8)))),0)</f>
        <v>0</v>
      </c>
      <c r="R96" s="164"/>
      <c r="S96" s="93" t="str">
        <f>IF(OR($A96="",$D96="",R96=""),"",SUMIFS(OBJECTIFS!G$9:G$39,OBJECTIFS!$A$9:$A$39,$D96,OBJECTIFS!$C$9:$C$39,$F96))</f>
        <v/>
      </c>
      <c r="T96" s="90" t="str">
        <f>IF(OR(AND($D96=OBJECTIFS!$B$6,OBJECTIFS!G$8="dmt"),AND($D96=OBJECTIFS!$B$13,OBJECTIFS!$G$15="dmt"),AND($D96=OBJECTIFS!$B$20,OBJECTIFS!$G$22="dmt"),AND($D96=OBJECTIFS!$B$27,OBJECTIFS!$G$29="dmt"),AND($D96=OBJECTIFS!$B$34,OBJECTIFS!$G$36="dmt"),AND($D96=OBJECTIFS!$B$6,OBJECTIFS!$G$8="taux de chute"),AND($D96=OBJECTIFS!$B$13,OBJECTIFS!$G$15="taux de chute"),AND($D96=OBJECTIFS!$B$20,OBJECTIFS!$G$22="taux de chute"),AND($D96=OBJECTIFS!$B$27,OBJECTIFS!$G$29="taux de chute"),AND($D96=OBJECTIFS!$B$34,OBJECTIFS!$G$36="taux de chute")),IFERROR(S96/R96,""),IFERROR(R96/S96,""))</f>
        <v/>
      </c>
      <c r="U96" s="94">
        <f>IFERROR(IF(OR(R96="",S96="",T96=""),0,IF(T96&lt;OBJECTIFS!$E$56,0,IF(T96&lt;OBJECTIFS!$G$56,U$8*OBJECTIFS!$F$60,IF(T96&lt;OBJECTIFS!$I$56,U$8*OBJECTIFS!$H$60,U$8)))),0)</f>
        <v>0</v>
      </c>
      <c r="V96" s="25"/>
      <c r="W96" s="90" t="str">
        <f>IF(OR($A96="",$D96="",V96=""),"",SUMIFS(OBJECTIFS!H$9:H$39,OBJECTIFS!$A$9:$A$39,$D96,OBJECTIFS!$C$9:$C$39,$F96))</f>
        <v/>
      </c>
      <c r="X96" s="90" t="str">
        <f>IF(OR(AND($D96=OBJECTIFS!$B$6,OBJECTIFS!H$8="dmt"),AND($D96=OBJECTIFS!$B$13,OBJECTIFS!$H$15="dmt"),AND($D96=OBJECTIFS!$B$20,OBJECTIFS!$H$22="dmt"),AND($D96=OBJECTIFS!$B$27,OBJECTIFS!$H$29="dmt"),AND($D96=OBJECTIFS!$B$34,OBJECTIFS!$H$36="dmt"),AND($D96=OBJECTIFS!$B$6,OBJECTIFS!$H$8="taux de chute"),AND($D96=OBJECTIFS!$B$13,OBJECTIFS!$H$15="taux de chute"),AND($D96=OBJECTIFS!$B$20,OBJECTIFS!$H$22="taux de chute"),AND($D96=OBJECTIFS!$B$27,OBJECTIFS!$H$29="taux de chute"),AND($D96=OBJECTIFS!$B$34,OBJECTIFS!$H$36="taux de chute")),IFERROR(W96/V96,""),IFERROR(V96/W96,""))</f>
        <v/>
      </c>
      <c r="Y96" s="91">
        <f>IFERROR(IF(OR(V96="",W96="",X96=""),0,IF(X96&lt;OBJECTIFS!$E$56,0,IF(X96&lt;OBJECTIFS!$G$56,Y$8*OBJECTIFS!$F$60,IF(X96&lt;OBJECTIFS!$I$56,Y$8*OBJECTIFS!$H$60,Y$8)))),0)</f>
        <v>0</v>
      </c>
      <c r="Z96" s="167"/>
      <c r="AA96" s="90" t="str">
        <f>IF(OR($A96="",$D96="",Z96=""),"",SUMIFS(OBJECTIFS!I$9:I$39,OBJECTIFS!$A$9:$A$39,$D96,OBJECTIFS!$C$9:$C$39,$F96))</f>
        <v/>
      </c>
      <c r="AB96" s="90" t="str">
        <f>IF(OR(AND($D96=OBJECTIFS!$B$6,OBJECTIFS!I$8="dmt"),AND($D96=OBJECTIFS!$B$13,OBJECTIFS!$I$15="dmt"),AND($D96=OBJECTIFS!$B$20,OBJECTIFS!$I$22="dmt"),AND($D96=OBJECTIFS!$B$27,OBJECTIFS!$I$29="dmt"),AND($D96=OBJECTIFS!$B$34,OBJECTIFS!$I$36="dmt"),AND($D96=OBJECTIFS!$B$6,OBJECTIFS!$I$8="taux de chute"),AND($D96=OBJECTIFS!$B$13,OBJECTIFS!$I$15="taux de chute"),AND($D96=OBJECTIFS!$B$20,OBJECTIFS!$I$22="taux de chute"),AND($D96=OBJECTIFS!$B$27,OBJECTIFS!$I$29="taux de chute"),AND($D96=OBJECTIFS!$B$34,OBJECTIFS!$I$36="taux de chute")),IFERROR(AA96/Z96,""),IFERROR(Z96/AA96,""))</f>
        <v/>
      </c>
      <c r="AC96" s="95">
        <f>IFERROR(IF(OR(Z96="",AA96="",AB96=""),0,IF(AB96&lt;OBJECTIFS!$E$56,0,IF(AB96&lt;OBJECTIFS!$G$56,AC$8*OBJECTIFS!$F$60,IF(AB96&lt;OBJECTIFS!$I$56,AC$8*OBJECTIFS!$H$60,AC$8)))),0)</f>
        <v>0</v>
      </c>
      <c r="AD96" s="186"/>
      <c r="AE96" s="187"/>
      <c r="AF96" s="96">
        <f t="shared" ca="1" si="20"/>
        <v>0</v>
      </c>
      <c r="AG96" s="63"/>
      <c r="AH96" s="186"/>
      <c r="AI96" s="24"/>
      <c r="AJ96" s="24"/>
      <c r="AK96" s="24"/>
      <c r="AL96" s="24"/>
      <c r="AM96" s="79">
        <f t="shared" si="21"/>
        <v>0</v>
      </c>
      <c r="AN96" s="79">
        <v>22</v>
      </c>
      <c r="AO96" s="80">
        <f t="shared" si="22"/>
        <v>0</v>
      </c>
      <c r="AP96" s="81" t="str">
        <f t="shared" ca="1" si="23"/>
        <v/>
      </c>
      <c r="AQ96" s="82"/>
      <c r="AR96" s="97">
        <f>IFERROR(VLOOKUP(B96,OBJECTIFS!$C$76:$E$137,2,FALSE),0)</f>
        <v>0</v>
      </c>
      <c r="AS96" s="98">
        <f>IFERROR(VLOOKUP(B96,OBJECTIFS!$H$76:$J$137,2,FALSE),0)</f>
        <v>0</v>
      </c>
      <c r="AT96" s="98">
        <f>IFERROR(VLOOKUP(B96,OBJECTIFS!$C$142:$E$203,2,FALSE),0)</f>
        <v>0</v>
      </c>
      <c r="AU96" s="98">
        <f>IFERROR(VLOOKUP(B96,OBJECTIFS!$H$142:$J$203,2,FALSE),0)</f>
        <v>0</v>
      </c>
      <c r="AV96" s="98">
        <f>IFERROR(VLOOKUP(B96,OBJECTIFS!$F$208:$H$269,3,FALSE),0)</f>
        <v>0</v>
      </c>
      <c r="AW96" s="81">
        <f t="shared" si="24"/>
        <v>0</v>
      </c>
      <c r="AX96" s="82"/>
      <c r="AY96" s="99" t="str">
        <f t="shared" ca="1" si="25"/>
        <v/>
      </c>
      <c r="AZ96" s="63"/>
      <c r="BA96" s="100">
        <f t="shared" ca="1" si="26"/>
        <v>0</v>
      </c>
      <c r="BB96" s="64" t="str">
        <f t="shared" ca="1" si="27"/>
        <v/>
      </c>
      <c r="BC96" s="101" t="str">
        <f t="shared" ca="1" si="28"/>
        <v/>
      </c>
    </row>
    <row r="97" spans="1:55" x14ac:dyDescent="0.2">
      <c r="A97" s="21"/>
      <c r="B97" s="22"/>
      <c r="C97" s="22"/>
      <c r="D97" s="23"/>
      <c r="E97" s="24"/>
      <c r="F97" s="34"/>
      <c r="H97" s="89" t="str">
        <f>IF(OR(D97="",F97="",A97=""),"",IF(E97="oui",0,IF(D97=OBJECTIFS!$C$45,VLOOKUP(F97,OBJECTIFS!$C$9:$D$11,2,FALSE),IF(D97=OBJECTIFS!$C$46,VLOOKUP(F97,OBJECTIFS!$C$16:$D$18,2,FALSE),IF(D97=OBJECTIFS!$C$47,VLOOKUP(F97,OBJECTIFS!$C$23:$D$25,2,FALSE),IF(D97=OBJECTIFS!$C$48,VLOOKUP(F97,OBJECTIFS!$C$30:$D$32,2,FALSE),IF(D97=OBJECTIFS!$C$49,VLOOKUP(F97,OBJECTIFS!$C$37:$D$39,2,FALSE))))))))</f>
        <v/>
      </c>
      <c r="J97" s="25"/>
      <c r="K97" s="90" t="str">
        <f>IF(OR($A97="",$D97="",J97=""),"",SUMIFS(OBJECTIFS!E$9:E$39,OBJECTIFS!$A$9:$A$39,$D97,OBJECTIFS!$C$9:$C$39,$F97))</f>
        <v/>
      </c>
      <c r="L97" s="90" t="str">
        <f>IF(OR(AND($D97=OBJECTIFS!$B$6,OBJECTIFS!E$8="dmt"),AND($D97=OBJECTIFS!$B$13,OBJECTIFS!$E$15="dmt"),AND($D97=OBJECTIFS!$B$20,OBJECTIFS!$E$22="dmt"),AND($D97=OBJECTIFS!$B$27,OBJECTIFS!$E$29="dmt"),AND($D97=OBJECTIFS!$B$34,OBJECTIFS!$E$36="dmt"),AND($D97=OBJECTIFS!$B$6,OBJECTIFS!$E$8="taux de chute"),AND($D97=OBJECTIFS!$B$13,OBJECTIFS!$E$15="taux de chute"),AND($D97=OBJECTIFS!$B$20,OBJECTIFS!$E$22="taux de chute"),AND($D97=OBJECTIFS!$B$27,OBJECTIFS!$E$29="taux de chute"),AND($D97=OBJECTIFS!$B$34,OBJECTIFS!$E$36="taux de chute")),IFERROR(K97/J97,""),IFERROR(J97/K97,""))</f>
        <v/>
      </c>
      <c r="M97" s="91">
        <f>IFERROR(IF(OR(J97="",K97="",L97=""),0,IF(L97&lt;OBJECTIFS!$E$56,0,IF(L97&lt;OBJECTIFS!$G$56,M$8*OBJECTIFS!$F$60,IF(L97&lt;OBJECTIFS!$I$56,M$8*OBJECTIFS!$H$60,M$8)))),0)</f>
        <v>0</v>
      </c>
      <c r="N97" s="161"/>
      <c r="O97" s="92" t="str">
        <f>IF(OR($A97="",$D97="",N97=""),"",SUMIFS(OBJECTIFS!F$9:F$39,OBJECTIFS!$A$9:$A$39,$D97,OBJECTIFS!$C$9:$C$39,$F97))</f>
        <v/>
      </c>
      <c r="P97" s="90" t="str">
        <f>IF(OR(AND($D97=OBJECTIFS!$B$6,OBJECTIFS!$F$8="dmt"),AND($D97=OBJECTIFS!$B$13,OBJECTIFS!$F$15="dmt"),AND($D97=OBJECTIFS!$B$20,OBJECTIFS!$F$22="dmt"),AND($D97=OBJECTIFS!$B$27,OBJECTIFS!$F$29="dmt"),AND($D97=OBJECTIFS!$B$34,OBJECTIFS!$F$36="dmt"),AND($D97=OBJECTIFS!$B$6,OBJECTIFS!$F$8="taux de chute"),AND($D97=OBJECTIFS!$B$13,OBJECTIFS!$F$15="taux de chute"),AND($D97=OBJECTIFS!$B$20,OBJECTIFS!$F$22="taux de chute"),AND($D97=OBJECTIFS!$B$27,OBJECTIFS!$F$29="taux de chute"),AND($D97=OBJECTIFS!$B$34,OBJECTIFS!$F$36="taux de chute")),IFERROR(O97/N97,""),IFERROR(N97/O97,""))</f>
        <v/>
      </c>
      <c r="Q97" s="91">
        <f>IFERROR(IF(OR(N97="",O97="",P97=""),0,IF(P97&lt;OBJECTIFS!$E$56,0,IF(P97&lt;OBJECTIFS!$G$56,Q$8*OBJECTIFS!$F$60,IF(P97&lt;OBJECTIFS!$I$56,Q$8*OBJECTIFS!$H$60,Q$8)))),0)</f>
        <v>0</v>
      </c>
      <c r="R97" s="164"/>
      <c r="S97" s="93" t="str">
        <f>IF(OR($A97="",$D97="",R97=""),"",SUMIFS(OBJECTIFS!G$9:G$39,OBJECTIFS!$A$9:$A$39,$D97,OBJECTIFS!$C$9:$C$39,$F97))</f>
        <v/>
      </c>
      <c r="T97" s="90" t="str">
        <f>IF(OR(AND($D97=OBJECTIFS!$B$6,OBJECTIFS!G$8="dmt"),AND($D97=OBJECTIFS!$B$13,OBJECTIFS!$G$15="dmt"),AND($D97=OBJECTIFS!$B$20,OBJECTIFS!$G$22="dmt"),AND($D97=OBJECTIFS!$B$27,OBJECTIFS!$G$29="dmt"),AND($D97=OBJECTIFS!$B$34,OBJECTIFS!$G$36="dmt"),AND($D97=OBJECTIFS!$B$6,OBJECTIFS!$G$8="taux de chute"),AND($D97=OBJECTIFS!$B$13,OBJECTIFS!$G$15="taux de chute"),AND($D97=OBJECTIFS!$B$20,OBJECTIFS!$G$22="taux de chute"),AND($D97=OBJECTIFS!$B$27,OBJECTIFS!$G$29="taux de chute"),AND($D97=OBJECTIFS!$B$34,OBJECTIFS!$G$36="taux de chute")),IFERROR(S97/R97,""),IFERROR(R97/S97,""))</f>
        <v/>
      </c>
      <c r="U97" s="94">
        <f>IFERROR(IF(OR(R97="",S97="",T97=""),0,IF(T97&lt;OBJECTIFS!$E$56,0,IF(T97&lt;OBJECTIFS!$G$56,U$8*OBJECTIFS!$F$60,IF(T97&lt;OBJECTIFS!$I$56,U$8*OBJECTIFS!$H$60,U$8)))),0)</f>
        <v>0</v>
      </c>
      <c r="V97" s="25"/>
      <c r="W97" s="90" t="str">
        <f>IF(OR($A97="",$D97="",V97=""),"",SUMIFS(OBJECTIFS!H$9:H$39,OBJECTIFS!$A$9:$A$39,$D97,OBJECTIFS!$C$9:$C$39,$F97))</f>
        <v/>
      </c>
      <c r="X97" s="90" t="str">
        <f>IF(OR(AND($D97=OBJECTIFS!$B$6,OBJECTIFS!H$8="dmt"),AND($D97=OBJECTIFS!$B$13,OBJECTIFS!$H$15="dmt"),AND($D97=OBJECTIFS!$B$20,OBJECTIFS!$H$22="dmt"),AND($D97=OBJECTIFS!$B$27,OBJECTIFS!$H$29="dmt"),AND($D97=OBJECTIFS!$B$34,OBJECTIFS!$H$36="dmt"),AND($D97=OBJECTIFS!$B$6,OBJECTIFS!$H$8="taux de chute"),AND($D97=OBJECTIFS!$B$13,OBJECTIFS!$H$15="taux de chute"),AND($D97=OBJECTIFS!$B$20,OBJECTIFS!$H$22="taux de chute"),AND($D97=OBJECTIFS!$B$27,OBJECTIFS!$H$29="taux de chute"),AND($D97=OBJECTIFS!$B$34,OBJECTIFS!$H$36="taux de chute")),IFERROR(W97/V97,""),IFERROR(V97/W97,""))</f>
        <v/>
      </c>
      <c r="Y97" s="91">
        <f>IFERROR(IF(OR(V97="",W97="",X97=""),0,IF(X97&lt;OBJECTIFS!$E$56,0,IF(X97&lt;OBJECTIFS!$G$56,Y$8*OBJECTIFS!$F$60,IF(X97&lt;OBJECTIFS!$I$56,Y$8*OBJECTIFS!$H$60,Y$8)))),0)</f>
        <v>0</v>
      </c>
      <c r="Z97" s="167"/>
      <c r="AA97" s="90" t="str">
        <f>IF(OR($A97="",$D97="",Z97=""),"",SUMIFS(OBJECTIFS!I$9:I$39,OBJECTIFS!$A$9:$A$39,$D97,OBJECTIFS!$C$9:$C$39,$F97))</f>
        <v/>
      </c>
      <c r="AB97" s="90" t="str">
        <f>IF(OR(AND($D97=OBJECTIFS!$B$6,OBJECTIFS!I$8="dmt"),AND($D97=OBJECTIFS!$B$13,OBJECTIFS!$I$15="dmt"),AND($D97=OBJECTIFS!$B$20,OBJECTIFS!$I$22="dmt"),AND($D97=OBJECTIFS!$B$27,OBJECTIFS!$I$29="dmt"),AND($D97=OBJECTIFS!$B$34,OBJECTIFS!$I$36="dmt"),AND($D97=OBJECTIFS!$B$6,OBJECTIFS!$I$8="taux de chute"),AND($D97=OBJECTIFS!$B$13,OBJECTIFS!$I$15="taux de chute"),AND($D97=OBJECTIFS!$B$20,OBJECTIFS!$I$22="taux de chute"),AND($D97=OBJECTIFS!$B$27,OBJECTIFS!$I$29="taux de chute"),AND($D97=OBJECTIFS!$B$34,OBJECTIFS!$I$36="taux de chute")),IFERROR(AA97/Z97,""),IFERROR(Z97/AA97,""))</f>
        <v/>
      </c>
      <c r="AC97" s="95">
        <f>IFERROR(IF(OR(Z97="",AA97="",AB97=""),0,IF(AB97&lt;OBJECTIFS!$E$56,0,IF(AB97&lt;OBJECTIFS!$G$56,AC$8*OBJECTIFS!$F$60,IF(AB97&lt;OBJECTIFS!$I$56,AC$8*OBJECTIFS!$H$60,AC$8)))),0)</f>
        <v>0</v>
      </c>
      <c r="AD97" s="186"/>
      <c r="AE97" s="187"/>
      <c r="AF97" s="96">
        <f t="shared" ca="1" si="20"/>
        <v>0</v>
      </c>
      <c r="AG97" s="63"/>
      <c r="AH97" s="186"/>
      <c r="AI97" s="24"/>
      <c r="AJ97" s="24"/>
      <c r="AK97" s="24"/>
      <c r="AL97" s="24"/>
      <c r="AM97" s="79">
        <f t="shared" si="21"/>
        <v>0</v>
      </c>
      <c r="AN97" s="79">
        <v>22</v>
      </c>
      <c r="AO97" s="80">
        <f t="shared" si="22"/>
        <v>0</v>
      </c>
      <c r="AP97" s="81" t="str">
        <f t="shared" ca="1" si="23"/>
        <v/>
      </c>
      <c r="AQ97" s="82"/>
      <c r="AR97" s="97">
        <f>IFERROR(VLOOKUP(B97,OBJECTIFS!$C$76:$E$137,2,FALSE),0)</f>
        <v>0</v>
      </c>
      <c r="AS97" s="98">
        <f>IFERROR(VLOOKUP(B97,OBJECTIFS!$H$76:$J$137,2,FALSE),0)</f>
        <v>0</v>
      </c>
      <c r="AT97" s="98">
        <f>IFERROR(VLOOKUP(B97,OBJECTIFS!$C$142:$E$203,2,FALSE),0)</f>
        <v>0</v>
      </c>
      <c r="AU97" s="98">
        <f>IFERROR(VLOOKUP(B97,OBJECTIFS!$H$142:$J$203,2,FALSE),0)</f>
        <v>0</v>
      </c>
      <c r="AV97" s="98">
        <f>IFERROR(VLOOKUP(B97,OBJECTIFS!$F$208:$H$269,3,FALSE),0)</f>
        <v>0</v>
      </c>
      <c r="AW97" s="81">
        <f t="shared" si="24"/>
        <v>0</v>
      </c>
      <c r="AX97" s="82"/>
      <c r="AY97" s="99" t="str">
        <f t="shared" ca="1" si="25"/>
        <v/>
      </c>
      <c r="AZ97" s="63"/>
      <c r="BA97" s="100">
        <f t="shared" ca="1" si="26"/>
        <v>0</v>
      </c>
      <c r="BB97" s="64" t="str">
        <f t="shared" ca="1" si="27"/>
        <v/>
      </c>
      <c r="BC97" s="101" t="str">
        <f t="shared" ca="1" si="28"/>
        <v/>
      </c>
    </row>
    <row r="98" spans="1:55" x14ac:dyDescent="0.2">
      <c r="A98" s="21"/>
      <c r="B98" s="22"/>
      <c r="C98" s="22"/>
      <c r="D98" s="23"/>
      <c r="E98" s="24"/>
      <c r="F98" s="34"/>
      <c r="H98" s="89" t="str">
        <f>IF(OR(D98="",F98="",A98=""),"",IF(E98="oui",0,IF(D98=OBJECTIFS!$C$45,VLOOKUP(F98,OBJECTIFS!$C$9:$D$11,2,FALSE),IF(D98=OBJECTIFS!$C$46,VLOOKUP(F98,OBJECTIFS!$C$16:$D$18,2,FALSE),IF(D98=OBJECTIFS!$C$47,VLOOKUP(F98,OBJECTIFS!$C$23:$D$25,2,FALSE),IF(D98=OBJECTIFS!$C$48,VLOOKUP(F98,OBJECTIFS!$C$30:$D$32,2,FALSE),IF(D98=OBJECTIFS!$C$49,VLOOKUP(F98,OBJECTIFS!$C$37:$D$39,2,FALSE))))))))</f>
        <v/>
      </c>
      <c r="J98" s="25"/>
      <c r="K98" s="90" t="str">
        <f>IF(OR($A98="",$D98="",J98=""),"",SUMIFS(OBJECTIFS!E$9:E$39,OBJECTIFS!$A$9:$A$39,$D98,OBJECTIFS!$C$9:$C$39,$F98))</f>
        <v/>
      </c>
      <c r="L98" s="90" t="str">
        <f>IF(OR(AND($D98=OBJECTIFS!$B$6,OBJECTIFS!E$8="dmt"),AND($D98=OBJECTIFS!$B$13,OBJECTIFS!$E$15="dmt"),AND($D98=OBJECTIFS!$B$20,OBJECTIFS!$E$22="dmt"),AND($D98=OBJECTIFS!$B$27,OBJECTIFS!$E$29="dmt"),AND($D98=OBJECTIFS!$B$34,OBJECTIFS!$E$36="dmt"),AND($D98=OBJECTIFS!$B$6,OBJECTIFS!$E$8="taux de chute"),AND($D98=OBJECTIFS!$B$13,OBJECTIFS!$E$15="taux de chute"),AND($D98=OBJECTIFS!$B$20,OBJECTIFS!$E$22="taux de chute"),AND($D98=OBJECTIFS!$B$27,OBJECTIFS!$E$29="taux de chute"),AND($D98=OBJECTIFS!$B$34,OBJECTIFS!$E$36="taux de chute")),IFERROR(K98/J98,""),IFERROR(J98/K98,""))</f>
        <v/>
      </c>
      <c r="M98" s="91">
        <f>IFERROR(IF(OR(J98="",K98="",L98=""),0,IF(L98&lt;OBJECTIFS!$E$56,0,IF(L98&lt;OBJECTIFS!$G$56,M$8*OBJECTIFS!$F$60,IF(L98&lt;OBJECTIFS!$I$56,M$8*OBJECTIFS!$H$60,M$8)))),0)</f>
        <v>0</v>
      </c>
      <c r="N98" s="161"/>
      <c r="O98" s="92" t="str">
        <f>IF(OR($A98="",$D98="",N98=""),"",SUMIFS(OBJECTIFS!F$9:F$39,OBJECTIFS!$A$9:$A$39,$D98,OBJECTIFS!$C$9:$C$39,$F98))</f>
        <v/>
      </c>
      <c r="P98" s="90" t="str">
        <f>IF(OR(AND($D98=OBJECTIFS!$B$6,OBJECTIFS!$F$8="dmt"),AND($D98=OBJECTIFS!$B$13,OBJECTIFS!$F$15="dmt"),AND($D98=OBJECTIFS!$B$20,OBJECTIFS!$F$22="dmt"),AND($D98=OBJECTIFS!$B$27,OBJECTIFS!$F$29="dmt"),AND($D98=OBJECTIFS!$B$34,OBJECTIFS!$F$36="dmt"),AND($D98=OBJECTIFS!$B$6,OBJECTIFS!$F$8="taux de chute"),AND($D98=OBJECTIFS!$B$13,OBJECTIFS!$F$15="taux de chute"),AND($D98=OBJECTIFS!$B$20,OBJECTIFS!$F$22="taux de chute"),AND($D98=OBJECTIFS!$B$27,OBJECTIFS!$F$29="taux de chute"),AND($D98=OBJECTIFS!$B$34,OBJECTIFS!$F$36="taux de chute")),IFERROR(O98/N98,""),IFERROR(N98/O98,""))</f>
        <v/>
      </c>
      <c r="Q98" s="91">
        <f>IFERROR(IF(OR(N98="",O98="",P98=""),0,IF(P98&lt;OBJECTIFS!$E$56,0,IF(P98&lt;OBJECTIFS!$G$56,Q$8*OBJECTIFS!$F$60,IF(P98&lt;OBJECTIFS!$I$56,Q$8*OBJECTIFS!$H$60,Q$8)))),0)</f>
        <v>0</v>
      </c>
      <c r="R98" s="164"/>
      <c r="S98" s="93" t="str">
        <f>IF(OR($A98="",$D98="",R98=""),"",SUMIFS(OBJECTIFS!G$9:G$39,OBJECTIFS!$A$9:$A$39,$D98,OBJECTIFS!$C$9:$C$39,$F98))</f>
        <v/>
      </c>
      <c r="T98" s="90" t="str">
        <f>IF(OR(AND($D98=OBJECTIFS!$B$6,OBJECTIFS!G$8="dmt"),AND($D98=OBJECTIFS!$B$13,OBJECTIFS!$G$15="dmt"),AND($D98=OBJECTIFS!$B$20,OBJECTIFS!$G$22="dmt"),AND($D98=OBJECTIFS!$B$27,OBJECTIFS!$G$29="dmt"),AND($D98=OBJECTIFS!$B$34,OBJECTIFS!$G$36="dmt"),AND($D98=OBJECTIFS!$B$6,OBJECTIFS!$G$8="taux de chute"),AND($D98=OBJECTIFS!$B$13,OBJECTIFS!$G$15="taux de chute"),AND($D98=OBJECTIFS!$B$20,OBJECTIFS!$G$22="taux de chute"),AND($D98=OBJECTIFS!$B$27,OBJECTIFS!$G$29="taux de chute"),AND($D98=OBJECTIFS!$B$34,OBJECTIFS!$G$36="taux de chute")),IFERROR(S98/R98,""),IFERROR(R98/S98,""))</f>
        <v/>
      </c>
      <c r="U98" s="94">
        <f>IFERROR(IF(OR(R98="",S98="",T98=""),0,IF(T98&lt;OBJECTIFS!$E$56,0,IF(T98&lt;OBJECTIFS!$G$56,U$8*OBJECTIFS!$F$60,IF(T98&lt;OBJECTIFS!$I$56,U$8*OBJECTIFS!$H$60,U$8)))),0)</f>
        <v>0</v>
      </c>
      <c r="V98" s="25"/>
      <c r="W98" s="90" t="str">
        <f>IF(OR($A98="",$D98="",V98=""),"",SUMIFS(OBJECTIFS!H$9:H$39,OBJECTIFS!$A$9:$A$39,$D98,OBJECTIFS!$C$9:$C$39,$F98))</f>
        <v/>
      </c>
      <c r="X98" s="90" t="str">
        <f>IF(OR(AND($D98=OBJECTIFS!$B$6,OBJECTIFS!H$8="dmt"),AND($D98=OBJECTIFS!$B$13,OBJECTIFS!$H$15="dmt"),AND($D98=OBJECTIFS!$B$20,OBJECTIFS!$H$22="dmt"),AND($D98=OBJECTIFS!$B$27,OBJECTIFS!$H$29="dmt"),AND($D98=OBJECTIFS!$B$34,OBJECTIFS!$H$36="dmt"),AND($D98=OBJECTIFS!$B$6,OBJECTIFS!$H$8="taux de chute"),AND($D98=OBJECTIFS!$B$13,OBJECTIFS!$H$15="taux de chute"),AND($D98=OBJECTIFS!$B$20,OBJECTIFS!$H$22="taux de chute"),AND($D98=OBJECTIFS!$B$27,OBJECTIFS!$H$29="taux de chute"),AND($D98=OBJECTIFS!$B$34,OBJECTIFS!$H$36="taux de chute")),IFERROR(W98/V98,""),IFERROR(V98/W98,""))</f>
        <v/>
      </c>
      <c r="Y98" s="91">
        <f>IFERROR(IF(OR(V98="",W98="",X98=""),0,IF(X98&lt;OBJECTIFS!$E$56,0,IF(X98&lt;OBJECTIFS!$G$56,Y$8*OBJECTIFS!$F$60,IF(X98&lt;OBJECTIFS!$I$56,Y$8*OBJECTIFS!$H$60,Y$8)))),0)</f>
        <v>0</v>
      </c>
      <c r="Z98" s="167"/>
      <c r="AA98" s="90" t="str">
        <f>IF(OR($A98="",$D98="",Z98=""),"",SUMIFS(OBJECTIFS!I$9:I$39,OBJECTIFS!$A$9:$A$39,$D98,OBJECTIFS!$C$9:$C$39,$F98))</f>
        <v/>
      </c>
      <c r="AB98" s="90" t="str">
        <f>IF(OR(AND($D98=OBJECTIFS!$B$6,OBJECTIFS!I$8="dmt"),AND($D98=OBJECTIFS!$B$13,OBJECTIFS!$I$15="dmt"),AND($D98=OBJECTIFS!$B$20,OBJECTIFS!$I$22="dmt"),AND($D98=OBJECTIFS!$B$27,OBJECTIFS!$I$29="dmt"),AND($D98=OBJECTIFS!$B$34,OBJECTIFS!$I$36="dmt"),AND($D98=OBJECTIFS!$B$6,OBJECTIFS!$I$8="taux de chute"),AND($D98=OBJECTIFS!$B$13,OBJECTIFS!$I$15="taux de chute"),AND($D98=OBJECTIFS!$B$20,OBJECTIFS!$I$22="taux de chute"),AND($D98=OBJECTIFS!$B$27,OBJECTIFS!$I$29="taux de chute"),AND($D98=OBJECTIFS!$B$34,OBJECTIFS!$I$36="taux de chute")),IFERROR(AA98/Z98,""),IFERROR(Z98/AA98,""))</f>
        <v/>
      </c>
      <c r="AC98" s="95">
        <f>IFERROR(IF(OR(Z98="",AA98="",AB98=""),0,IF(AB98&lt;OBJECTIFS!$E$56,0,IF(AB98&lt;OBJECTIFS!$G$56,AC$8*OBJECTIFS!$F$60,IF(AB98&lt;OBJECTIFS!$I$56,AC$8*OBJECTIFS!$H$60,AC$8)))),0)</f>
        <v>0</v>
      </c>
      <c r="AD98" s="186"/>
      <c r="AE98" s="187"/>
      <c r="AF98" s="96">
        <f t="shared" ca="1" si="20"/>
        <v>0</v>
      </c>
      <c r="AG98" s="63"/>
      <c r="AH98" s="186"/>
      <c r="AI98" s="24"/>
      <c r="AJ98" s="24"/>
      <c r="AK98" s="24"/>
      <c r="AL98" s="24"/>
      <c r="AM98" s="79">
        <f t="shared" si="21"/>
        <v>0</v>
      </c>
      <c r="AN98" s="79">
        <v>22</v>
      </c>
      <c r="AO98" s="80">
        <f t="shared" si="22"/>
        <v>0</v>
      </c>
      <c r="AP98" s="81" t="str">
        <f t="shared" ca="1" si="23"/>
        <v/>
      </c>
      <c r="AQ98" s="82"/>
      <c r="AR98" s="97">
        <f>IFERROR(VLOOKUP(B98,OBJECTIFS!$C$76:$E$137,2,FALSE),0)</f>
        <v>0</v>
      </c>
      <c r="AS98" s="98">
        <f>IFERROR(VLOOKUP(B98,OBJECTIFS!$H$76:$J$137,2,FALSE),0)</f>
        <v>0</v>
      </c>
      <c r="AT98" s="98">
        <f>IFERROR(VLOOKUP(B98,OBJECTIFS!$C$142:$E$203,2,FALSE),0)</f>
        <v>0</v>
      </c>
      <c r="AU98" s="98">
        <f>IFERROR(VLOOKUP(B98,OBJECTIFS!$H$142:$J$203,2,FALSE),0)</f>
        <v>0</v>
      </c>
      <c r="AV98" s="98">
        <f>IFERROR(VLOOKUP(B98,OBJECTIFS!$F$208:$H$269,3,FALSE),0)</f>
        <v>0</v>
      </c>
      <c r="AW98" s="81">
        <f t="shared" si="24"/>
        <v>0</v>
      </c>
      <c r="AX98" s="82"/>
      <c r="AY98" s="99" t="str">
        <f t="shared" ca="1" si="25"/>
        <v/>
      </c>
      <c r="AZ98" s="63"/>
      <c r="BA98" s="100">
        <f t="shared" ca="1" si="26"/>
        <v>0</v>
      </c>
      <c r="BB98" s="64" t="str">
        <f t="shared" ca="1" si="27"/>
        <v/>
      </c>
      <c r="BC98" s="101" t="str">
        <f t="shared" ca="1" si="28"/>
        <v/>
      </c>
    </row>
    <row r="99" spans="1:55" x14ac:dyDescent="0.2">
      <c r="A99" s="21"/>
      <c r="B99" s="22"/>
      <c r="C99" s="22"/>
      <c r="D99" s="23"/>
      <c r="E99" s="24"/>
      <c r="F99" s="34"/>
      <c r="H99" s="89" t="str">
        <f>IF(OR(D99="",F99="",A99=""),"",IF(E99="oui",0,IF(D99=OBJECTIFS!$C$45,VLOOKUP(F99,OBJECTIFS!$C$9:$D$11,2,FALSE),IF(D99=OBJECTIFS!$C$46,VLOOKUP(F99,OBJECTIFS!$C$16:$D$18,2,FALSE),IF(D99=OBJECTIFS!$C$47,VLOOKUP(F99,OBJECTIFS!$C$23:$D$25,2,FALSE),IF(D99=OBJECTIFS!$C$48,VLOOKUP(F99,OBJECTIFS!$C$30:$D$32,2,FALSE),IF(D99=OBJECTIFS!$C$49,VLOOKUP(F99,OBJECTIFS!$C$37:$D$39,2,FALSE))))))))</f>
        <v/>
      </c>
      <c r="J99" s="25"/>
      <c r="K99" s="90" t="str">
        <f>IF(OR($A99="",$D99="",J99=""),"",SUMIFS(OBJECTIFS!E$9:E$39,OBJECTIFS!$A$9:$A$39,$D99,OBJECTIFS!$C$9:$C$39,$F99))</f>
        <v/>
      </c>
      <c r="L99" s="90" t="str">
        <f>IF(OR(AND($D99=OBJECTIFS!$B$6,OBJECTIFS!E$8="dmt"),AND($D99=OBJECTIFS!$B$13,OBJECTIFS!$E$15="dmt"),AND($D99=OBJECTIFS!$B$20,OBJECTIFS!$E$22="dmt"),AND($D99=OBJECTIFS!$B$27,OBJECTIFS!$E$29="dmt"),AND($D99=OBJECTIFS!$B$34,OBJECTIFS!$E$36="dmt"),AND($D99=OBJECTIFS!$B$6,OBJECTIFS!$E$8="taux de chute"),AND($D99=OBJECTIFS!$B$13,OBJECTIFS!$E$15="taux de chute"),AND($D99=OBJECTIFS!$B$20,OBJECTIFS!$E$22="taux de chute"),AND($D99=OBJECTIFS!$B$27,OBJECTIFS!$E$29="taux de chute"),AND($D99=OBJECTIFS!$B$34,OBJECTIFS!$E$36="taux de chute")),IFERROR(K99/J99,""),IFERROR(J99/K99,""))</f>
        <v/>
      </c>
      <c r="M99" s="91">
        <f>IFERROR(IF(OR(J99="",K99="",L99=""),0,IF(L99&lt;OBJECTIFS!$E$56,0,IF(L99&lt;OBJECTIFS!$G$56,M$8*OBJECTIFS!$F$60,IF(L99&lt;OBJECTIFS!$I$56,M$8*OBJECTIFS!$H$60,M$8)))),0)</f>
        <v>0</v>
      </c>
      <c r="N99" s="161"/>
      <c r="O99" s="92" t="str">
        <f>IF(OR($A99="",$D99="",N99=""),"",SUMIFS(OBJECTIFS!F$9:F$39,OBJECTIFS!$A$9:$A$39,$D99,OBJECTIFS!$C$9:$C$39,$F99))</f>
        <v/>
      </c>
      <c r="P99" s="90" t="str">
        <f>IF(OR(AND($D99=OBJECTIFS!$B$6,OBJECTIFS!$F$8="dmt"),AND($D99=OBJECTIFS!$B$13,OBJECTIFS!$F$15="dmt"),AND($D99=OBJECTIFS!$B$20,OBJECTIFS!$F$22="dmt"),AND($D99=OBJECTIFS!$B$27,OBJECTIFS!$F$29="dmt"),AND($D99=OBJECTIFS!$B$34,OBJECTIFS!$F$36="dmt"),AND($D99=OBJECTIFS!$B$6,OBJECTIFS!$F$8="taux de chute"),AND($D99=OBJECTIFS!$B$13,OBJECTIFS!$F$15="taux de chute"),AND($D99=OBJECTIFS!$B$20,OBJECTIFS!$F$22="taux de chute"),AND($D99=OBJECTIFS!$B$27,OBJECTIFS!$F$29="taux de chute"),AND($D99=OBJECTIFS!$B$34,OBJECTIFS!$F$36="taux de chute")),IFERROR(O99/N99,""),IFERROR(N99/O99,""))</f>
        <v/>
      </c>
      <c r="Q99" s="91">
        <f>IFERROR(IF(OR(N99="",O99="",P99=""),0,IF(P99&lt;OBJECTIFS!$E$56,0,IF(P99&lt;OBJECTIFS!$G$56,Q$8*OBJECTIFS!$F$60,IF(P99&lt;OBJECTIFS!$I$56,Q$8*OBJECTIFS!$H$60,Q$8)))),0)</f>
        <v>0</v>
      </c>
      <c r="R99" s="164"/>
      <c r="S99" s="93" t="str">
        <f>IF(OR($A99="",$D99="",R99=""),"",SUMIFS(OBJECTIFS!G$9:G$39,OBJECTIFS!$A$9:$A$39,$D99,OBJECTIFS!$C$9:$C$39,$F99))</f>
        <v/>
      </c>
      <c r="T99" s="90" t="str">
        <f>IF(OR(AND($D99=OBJECTIFS!$B$6,OBJECTIFS!G$8="dmt"),AND($D99=OBJECTIFS!$B$13,OBJECTIFS!$G$15="dmt"),AND($D99=OBJECTIFS!$B$20,OBJECTIFS!$G$22="dmt"),AND($D99=OBJECTIFS!$B$27,OBJECTIFS!$G$29="dmt"),AND($D99=OBJECTIFS!$B$34,OBJECTIFS!$G$36="dmt"),AND($D99=OBJECTIFS!$B$6,OBJECTIFS!$G$8="taux de chute"),AND($D99=OBJECTIFS!$B$13,OBJECTIFS!$G$15="taux de chute"),AND($D99=OBJECTIFS!$B$20,OBJECTIFS!$G$22="taux de chute"),AND($D99=OBJECTIFS!$B$27,OBJECTIFS!$G$29="taux de chute"),AND($D99=OBJECTIFS!$B$34,OBJECTIFS!$G$36="taux de chute")),IFERROR(S99/R99,""),IFERROR(R99/S99,""))</f>
        <v/>
      </c>
      <c r="U99" s="94">
        <f>IFERROR(IF(OR(R99="",S99="",T99=""),0,IF(T99&lt;OBJECTIFS!$E$56,0,IF(T99&lt;OBJECTIFS!$G$56,U$8*OBJECTIFS!$F$60,IF(T99&lt;OBJECTIFS!$I$56,U$8*OBJECTIFS!$H$60,U$8)))),0)</f>
        <v>0</v>
      </c>
      <c r="V99" s="25"/>
      <c r="W99" s="90" t="str">
        <f>IF(OR($A99="",$D99="",V99=""),"",SUMIFS(OBJECTIFS!H$9:H$39,OBJECTIFS!$A$9:$A$39,$D99,OBJECTIFS!$C$9:$C$39,$F99))</f>
        <v/>
      </c>
      <c r="X99" s="90" t="str">
        <f>IF(OR(AND($D99=OBJECTIFS!$B$6,OBJECTIFS!H$8="dmt"),AND($D99=OBJECTIFS!$B$13,OBJECTIFS!$H$15="dmt"),AND($D99=OBJECTIFS!$B$20,OBJECTIFS!$H$22="dmt"),AND($D99=OBJECTIFS!$B$27,OBJECTIFS!$H$29="dmt"),AND($D99=OBJECTIFS!$B$34,OBJECTIFS!$H$36="dmt"),AND($D99=OBJECTIFS!$B$6,OBJECTIFS!$H$8="taux de chute"),AND($D99=OBJECTIFS!$B$13,OBJECTIFS!$H$15="taux de chute"),AND($D99=OBJECTIFS!$B$20,OBJECTIFS!$H$22="taux de chute"),AND($D99=OBJECTIFS!$B$27,OBJECTIFS!$H$29="taux de chute"),AND($D99=OBJECTIFS!$B$34,OBJECTIFS!$H$36="taux de chute")),IFERROR(W99/V99,""),IFERROR(V99/W99,""))</f>
        <v/>
      </c>
      <c r="Y99" s="91">
        <f>IFERROR(IF(OR(V99="",W99="",X99=""),0,IF(X99&lt;OBJECTIFS!$E$56,0,IF(X99&lt;OBJECTIFS!$G$56,Y$8*OBJECTIFS!$F$60,IF(X99&lt;OBJECTIFS!$I$56,Y$8*OBJECTIFS!$H$60,Y$8)))),0)</f>
        <v>0</v>
      </c>
      <c r="Z99" s="167"/>
      <c r="AA99" s="90" t="str">
        <f>IF(OR($A99="",$D99="",Z99=""),"",SUMIFS(OBJECTIFS!I$9:I$39,OBJECTIFS!$A$9:$A$39,$D99,OBJECTIFS!$C$9:$C$39,$F99))</f>
        <v/>
      </c>
      <c r="AB99" s="90" t="str">
        <f>IF(OR(AND($D99=OBJECTIFS!$B$6,OBJECTIFS!I$8="dmt"),AND($D99=OBJECTIFS!$B$13,OBJECTIFS!$I$15="dmt"),AND($D99=OBJECTIFS!$B$20,OBJECTIFS!$I$22="dmt"),AND($D99=OBJECTIFS!$B$27,OBJECTIFS!$I$29="dmt"),AND($D99=OBJECTIFS!$B$34,OBJECTIFS!$I$36="dmt"),AND($D99=OBJECTIFS!$B$6,OBJECTIFS!$I$8="taux de chute"),AND($D99=OBJECTIFS!$B$13,OBJECTIFS!$I$15="taux de chute"),AND($D99=OBJECTIFS!$B$20,OBJECTIFS!$I$22="taux de chute"),AND($D99=OBJECTIFS!$B$27,OBJECTIFS!$I$29="taux de chute"),AND($D99=OBJECTIFS!$B$34,OBJECTIFS!$I$36="taux de chute")),IFERROR(AA99/Z99,""),IFERROR(Z99/AA99,""))</f>
        <v/>
      </c>
      <c r="AC99" s="95">
        <f>IFERROR(IF(OR(Z99="",AA99="",AB99=""),0,IF(AB99&lt;OBJECTIFS!$E$56,0,IF(AB99&lt;OBJECTIFS!$G$56,AC$8*OBJECTIFS!$F$60,IF(AB99&lt;OBJECTIFS!$I$56,AC$8*OBJECTIFS!$H$60,AC$8)))),0)</f>
        <v>0</v>
      </c>
      <c r="AD99" s="186"/>
      <c r="AE99" s="187"/>
      <c r="AF99" s="96">
        <f t="shared" ca="1" si="20"/>
        <v>0</v>
      </c>
      <c r="AG99" s="63"/>
      <c r="AH99" s="186"/>
      <c r="AI99" s="24"/>
      <c r="AJ99" s="24"/>
      <c r="AK99" s="24"/>
      <c r="AL99" s="24"/>
      <c r="AM99" s="79">
        <f t="shared" si="21"/>
        <v>0</v>
      </c>
      <c r="AN99" s="79">
        <v>22</v>
      </c>
      <c r="AO99" s="80">
        <f t="shared" si="22"/>
        <v>0</v>
      </c>
      <c r="AP99" s="81" t="str">
        <f t="shared" ca="1" si="23"/>
        <v/>
      </c>
      <c r="AQ99" s="82"/>
      <c r="AR99" s="97">
        <f>IFERROR(VLOOKUP(B99,OBJECTIFS!$C$76:$E$137,2,FALSE),0)</f>
        <v>0</v>
      </c>
      <c r="AS99" s="98">
        <f>IFERROR(VLOOKUP(B99,OBJECTIFS!$H$76:$J$137,2,FALSE),0)</f>
        <v>0</v>
      </c>
      <c r="AT99" s="98">
        <f>IFERROR(VLOOKUP(B99,OBJECTIFS!$C$142:$E$203,2,FALSE),0)</f>
        <v>0</v>
      </c>
      <c r="AU99" s="98">
        <f>IFERROR(VLOOKUP(B99,OBJECTIFS!$H$142:$J$203,2,FALSE),0)</f>
        <v>0</v>
      </c>
      <c r="AV99" s="98">
        <f>IFERROR(VLOOKUP(B99,OBJECTIFS!$F$208:$H$269,3,FALSE),0)</f>
        <v>0</v>
      </c>
      <c r="AW99" s="81">
        <f t="shared" si="24"/>
        <v>0</v>
      </c>
      <c r="AX99" s="82"/>
      <c r="AY99" s="99" t="str">
        <f t="shared" ca="1" si="25"/>
        <v/>
      </c>
      <c r="AZ99" s="63"/>
      <c r="BA99" s="100">
        <f t="shared" ca="1" si="26"/>
        <v>0</v>
      </c>
      <c r="BB99" s="64" t="str">
        <f t="shared" ca="1" si="27"/>
        <v/>
      </c>
      <c r="BC99" s="101" t="str">
        <f t="shared" ca="1" si="28"/>
        <v/>
      </c>
    </row>
    <row r="100" spans="1:55" x14ac:dyDescent="0.2">
      <c r="A100" s="21"/>
      <c r="B100" s="22"/>
      <c r="C100" s="22"/>
      <c r="D100" s="23"/>
      <c r="E100" s="24"/>
      <c r="F100" s="34"/>
      <c r="H100" s="89" t="str">
        <f>IF(OR(D100="",F100="",A100=""),"",IF(E100="oui",0,IF(D100=OBJECTIFS!$C$45,VLOOKUP(F100,OBJECTIFS!$C$9:$D$11,2,FALSE),IF(D100=OBJECTIFS!$C$46,VLOOKUP(F100,OBJECTIFS!$C$16:$D$18,2,FALSE),IF(D100=OBJECTIFS!$C$47,VLOOKUP(F100,OBJECTIFS!$C$23:$D$25,2,FALSE),IF(D100=OBJECTIFS!$C$48,VLOOKUP(F100,OBJECTIFS!$C$30:$D$32,2,FALSE),IF(D100=OBJECTIFS!$C$49,VLOOKUP(F100,OBJECTIFS!$C$37:$D$39,2,FALSE))))))))</f>
        <v/>
      </c>
      <c r="J100" s="25"/>
      <c r="K100" s="90" t="str">
        <f>IF(OR($A100="",$D100="",J100=""),"",SUMIFS(OBJECTIFS!E$9:E$39,OBJECTIFS!$A$9:$A$39,$D100,OBJECTIFS!$C$9:$C$39,$F100))</f>
        <v/>
      </c>
      <c r="L100" s="90" t="str">
        <f>IF(OR(AND($D100=OBJECTIFS!$B$6,OBJECTIFS!E$8="dmt"),AND($D100=OBJECTIFS!$B$13,OBJECTIFS!$E$15="dmt"),AND($D100=OBJECTIFS!$B$20,OBJECTIFS!$E$22="dmt"),AND($D100=OBJECTIFS!$B$27,OBJECTIFS!$E$29="dmt"),AND($D100=OBJECTIFS!$B$34,OBJECTIFS!$E$36="dmt"),AND($D100=OBJECTIFS!$B$6,OBJECTIFS!$E$8="taux de chute"),AND($D100=OBJECTIFS!$B$13,OBJECTIFS!$E$15="taux de chute"),AND($D100=OBJECTIFS!$B$20,OBJECTIFS!$E$22="taux de chute"),AND($D100=OBJECTIFS!$B$27,OBJECTIFS!$E$29="taux de chute"),AND($D100=OBJECTIFS!$B$34,OBJECTIFS!$E$36="taux de chute")),IFERROR(K100/J100,""),IFERROR(J100/K100,""))</f>
        <v/>
      </c>
      <c r="M100" s="91">
        <f>IFERROR(IF(OR(J100="",K100="",L100=""),0,IF(L100&lt;OBJECTIFS!$E$56,0,IF(L100&lt;OBJECTIFS!$G$56,M$8*OBJECTIFS!$F$60,IF(L100&lt;OBJECTIFS!$I$56,M$8*OBJECTIFS!$H$60,M$8)))),0)</f>
        <v>0</v>
      </c>
      <c r="N100" s="161"/>
      <c r="O100" s="92" t="str">
        <f>IF(OR($A100="",$D100="",N100=""),"",SUMIFS(OBJECTIFS!F$9:F$39,OBJECTIFS!$A$9:$A$39,$D100,OBJECTIFS!$C$9:$C$39,$F100))</f>
        <v/>
      </c>
      <c r="P100" s="90" t="str">
        <f>IF(OR(AND($D100=OBJECTIFS!$B$6,OBJECTIFS!$F$8="dmt"),AND($D100=OBJECTIFS!$B$13,OBJECTIFS!$F$15="dmt"),AND($D100=OBJECTIFS!$B$20,OBJECTIFS!$F$22="dmt"),AND($D100=OBJECTIFS!$B$27,OBJECTIFS!$F$29="dmt"),AND($D100=OBJECTIFS!$B$34,OBJECTIFS!$F$36="dmt"),AND($D100=OBJECTIFS!$B$6,OBJECTIFS!$F$8="taux de chute"),AND($D100=OBJECTIFS!$B$13,OBJECTIFS!$F$15="taux de chute"),AND($D100=OBJECTIFS!$B$20,OBJECTIFS!$F$22="taux de chute"),AND($D100=OBJECTIFS!$B$27,OBJECTIFS!$F$29="taux de chute"),AND($D100=OBJECTIFS!$B$34,OBJECTIFS!$F$36="taux de chute")),IFERROR(O100/N100,""),IFERROR(N100/O100,""))</f>
        <v/>
      </c>
      <c r="Q100" s="91">
        <f>IFERROR(IF(OR(N100="",O100="",P100=""),0,IF(P100&lt;OBJECTIFS!$E$56,0,IF(P100&lt;OBJECTIFS!$G$56,Q$8*OBJECTIFS!$F$60,IF(P100&lt;OBJECTIFS!$I$56,Q$8*OBJECTIFS!$H$60,Q$8)))),0)</f>
        <v>0</v>
      </c>
      <c r="R100" s="164"/>
      <c r="S100" s="93" t="str">
        <f>IF(OR($A100="",$D100="",R100=""),"",SUMIFS(OBJECTIFS!G$9:G$39,OBJECTIFS!$A$9:$A$39,$D100,OBJECTIFS!$C$9:$C$39,$F100))</f>
        <v/>
      </c>
      <c r="T100" s="90" t="str">
        <f>IF(OR(AND($D100=OBJECTIFS!$B$6,OBJECTIFS!G$8="dmt"),AND($D100=OBJECTIFS!$B$13,OBJECTIFS!$G$15="dmt"),AND($D100=OBJECTIFS!$B$20,OBJECTIFS!$G$22="dmt"),AND($D100=OBJECTIFS!$B$27,OBJECTIFS!$G$29="dmt"),AND($D100=OBJECTIFS!$B$34,OBJECTIFS!$G$36="dmt"),AND($D100=OBJECTIFS!$B$6,OBJECTIFS!$G$8="taux de chute"),AND($D100=OBJECTIFS!$B$13,OBJECTIFS!$G$15="taux de chute"),AND($D100=OBJECTIFS!$B$20,OBJECTIFS!$G$22="taux de chute"),AND($D100=OBJECTIFS!$B$27,OBJECTIFS!$G$29="taux de chute"),AND($D100=OBJECTIFS!$B$34,OBJECTIFS!$G$36="taux de chute")),IFERROR(S100/R100,""),IFERROR(R100/S100,""))</f>
        <v/>
      </c>
      <c r="U100" s="94">
        <f>IFERROR(IF(OR(R100="",S100="",T100=""),0,IF(T100&lt;OBJECTIFS!$E$56,0,IF(T100&lt;OBJECTIFS!$G$56,U$8*OBJECTIFS!$F$60,IF(T100&lt;OBJECTIFS!$I$56,U$8*OBJECTIFS!$H$60,U$8)))),0)</f>
        <v>0</v>
      </c>
      <c r="V100" s="25"/>
      <c r="W100" s="90" t="str">
        <f>IF(OR($A100="",$D100="",V100=""),"",SUMIFS(OBJECTIFS!H$9:H$39,OBJECTIFS!$A$9:$A$39,$D100,OBJECTIFS!$C$9:$C$39,$F100))</f>
        <v/>
      </c>
      <c r="X100" s="90" t="str">
        <f>IF(OR(AND($D100=OBJECTIFS!$B$6,OBJECTIFS!H$8="dmt"),AND($D100=OBJECTIFS!$B$13,OBJECTIFS!$H$15="dmt"),AND($D100=OBJECTIFS!$B$20,OBJECTIFS!$H$22="dmt"),AND($D100=OBJECTIFS!$B$27,OBJECTIFS!$H$29="dmt"),AND($D100=OBJECTIFS!$B$34,OBJECTIFS!$H$36="dmt"),AND($D100=OBJECTIFS!$B$6,OBJECTIFS!$H$8="taux de chute"),AND($D100=OBJECTIFS!$B$13,OBJECTIFS!$H$15="taux de chute"),AND($D100=OBJECTIFS!$B$20,OBJECTIFS!$H$22="taux de chute"),AND($D100=OBJECTIFS!$B$27,OBJECTIFS!$H$29="taux de chute"),AND($D100=OBJECTIFS!$B$34,OBJECTIFS!$H$36="taux de chute")),IFERROR(W100/V100,""),IFERROR(V100/W100,""))</f>
        <v/>
      </c>
      <c r="Y100" s="91">
        <f>IFERROR(IF(OR(V100="",W100="",X100=""),0,IF(X100&lt;OBJECTIFS!$E$56,0,IF(X100&lt;OBJECTIFS!$G$56,Y$8*OBJECTIFS!$F$60,IF(X100&lt;OBJECTIFS!$I$56,Y$8*OBJECTIFS!$H$60,Y$8)))),0)</f>
        <v>0</v>
      </c>
      <c r="Z100" s="167"/>
      <c r="AA100" s="90" t="str">
        <f>IF(OR($A100="",$D100="",Z100=""),"",SUMIFS(OBJECTIFS!I$9:I$39,OBJECTIFS!$A$9:$A$39,$D100,OBJECTIFS!$C$9:$C$39,$F100))</f>
        <v/>
      </c>
      <c r="AB100" s="90" t="str">
        <f>IF(OR(AND($D100=OBJECTIFS!$B$6,OBJECTIFS!I$8="dmt"),AND($D100=OBJECTIFS!$B$13,OBJECTIFS!$I$15="dmt"),AND($D100=OBJECTIFS!$B$20,OBJECTIFS!$I$22="dmt"),AND($D100=OBJECTIFS!$B$27,OBJECTIFS!$I$29="dmt"),AND($D100=OBJECTIFS!$B$34,OBJECTIFS!$I$36="dmt"),AND($D100=OBJECTIFS!$B$6,OBJECTIFS!$I$8="taux de chute"),AND($D100=OBJECTIFS!$B$13,OBJECTIFS!$I$15="taux de chute"),AND($D100=OBJECTIFS!$B$20,OBJECTIFS!$I$22="taux de chute"),AND($D100=OBJECTIFS!$B$27,OBJECTIFS!$I$29="taux de chute"),AND($D100=OBJECTIFS!$B$34,OBJECTIFS!$I$36="taux de chute")),IFERROR(AA100/Z100,""),IFERROR(Z100/AA100,""))</f>
        <v/>
      </c>
      <c r="AC100" s="95">
        <f>IFERROR(IF(OR(Z100="",AA100="",AB100=""),0,IF(AB100&lt;OBJECTIFS!$E$56,0,IF(AB100&lt;OBJECTIFS!$G$56,AC$8*OBJECTIFS!$F$60,IF(AB100&lt;OBJECTIFS!$I$56,AC$8*OBJECTIFS!$H$60,AC$8)))),0)</f>
        <v>0</v>
      </c>
      <c r="AD100" s="186"/>
      <c r="AE100" s="187"/>
      <c r="AF100" s="96">
        <f t="shared" ca="1" si="20"/>
        <v>0</v>
      </c>
      <c r="AG100" s="63"/>
      <c r="AH100" s="186"/>
      <c r="AI100" s="24"/>
      <c r="AJ100" s="24"/>
      <c r="AK100" s="24"/>
      <c r="AL100" s="24"/>
      <c r="AM100" s="79">
        <f t="shared" si="21"/>
        <v>0</v>
      </c>
      <c r="AN100" s="79">
        <v>22</v>
      </c>
      <c r="AO100" s="80">
        <f t="shared" si="22"/>
        <v>0</v>
      </c>
      <c r="AP100" s="81" t="str">
        <f t="shared" ca="1" si="23"/>
        <v/>
      </c>
      <c r="AQ100" s="82"/>
      <c r="AR100" s="97">
        <f>IFERROR(VLOOKUP(B100,OBJECTIFS!$C$76:$E$137,2,FALSE),0)</f>
        <v>0</v>
      </c>
      <c r="AS100" s="98">
        <f>IFERROR(VLOOKUP(B100,OBJECTIFS!$H$76:$J$137,2,FALSE),0)</f>
        <v>0</v>
      </c>
      <c r="AT100" s="98">
        <f>IFERROR(VLOOKUP(B100,OBJECTIFS!$C$142:$E$203,2,FALSE),0)</f>
        <v>0</v>
      </c>
      <c r="AU100" s="98">
        <f>IFERROR(VLOOKUP(B100,OBJECTIFS!$H$142:$J$203,2,FALSE),0)</f>
        <v>0</v>
      </c>
      <c r="AV100" s="98">
        <f>IFERROR(VLOOKUP(B100,OBJECTIFS!$F$208:$H$269,3,FALSE),0)</f>
        <v>0</v>
      </c>
      <c r="AW100" s="81">
        <f t="shared" si="24"/>
        <v>0</v>
      </c>
      <c r="AX100" s="82"/>
      <c r="AY100" s="99" t="str">
        <f t="shared" ca="1" si="25"/>
        <v/>
      </c>
      <c r="AZ100" s="63"/>
      <c r="BA100" s="100">
        <f t="shared" ca="1" si="26"/>
        <v>0</v>
      </c>
      <c r="BB100" s="64" t="str">
        <f t="shared" ca="1" si="27"/>
        <v/>
      </c>
      <c r="BC100" s="101" t="str">
        <f t="shared" ca="1" si="28"/>
        <v/>
      </c>
    </row>
    <row r="101" spans="1:55" x14ac:dyDescent="0.2">
      <c r="A101" s="21"/>
      <c r="B101" s="22"/>
      <c r="C101" s="22"/>
      <c r="D101" s="23"/>
      <c r="E101" s="24"/>
      <c r="F101" s="34"/>
      <c r="H101" s="89" t="str">
        <f>IF(OR(D101="",F101="",A101=""),"",IF(E101="oui",0,IF(D101=OBJECTIFS!$C$45,VLOOKUP(F101,OBJECTIFS!$C$9:$D$11,2,FALSE),IF(D101=OBJECTIFS!$C$46,VLOOKUP(F101,OBJECTIFS!$C$16:$D$18,2,FALSE),IF(D101=OBJECTIFS!$C$47,VLOOKUP(F101,OBJECTIFS!$C$23:$D$25,2,FALSE),IF(D101=OBJECTIFS!$C$48,VLOOKUP(F101,OBJECTIFS!$C$30:$D$32,2,FALSE),IF(D101=OBJECTIFS!$C$49,VLOOKUP(F101,OBJECTIFS!$C$37:$D$39,2,FALSE))))))))</f>
        <v/>
      </c>
      <c r="J101" s="25"/>
      <c r="K101" s="90" t="str">
        <f>IF(OR($A101="",$D101="",J101=""),"",SUMIFS(OBJECTIFS!E$9:E$39,OBJECTIFS!$A$9:$A$39,$D101,OBJECTIFS!$C$9:$C$39,$F101))</f>
        <v/>
      </c>
      <c r="L101" s="90" t="str">
        <f>IF(OR(AND($D101=OBJECTIFS!$B$6,OBJECTIFS!E$8="dmt"),AND($D101=OBJECTIFS!$B$13,OBJECTIFS!$E$15="dmt"),AND($D101=OBJECTIFS!$B$20,OBJECTIFS!$E$22="dmt"),AND($D101=OBJECTIFS!$B$27,OBJECTIFS!$E$29="dmt"),AND($D101=OBJECTIFS!$B$34,OBJECTIFS!$E$36="dmt"),AND($D101=OBJECTIFS!$B$6,OBJECTIFS!$E$8="taux de chute"),AND($D101=OBJECTIFS!$B$13,OBJECTIFS!$E$15="taux de chute"),AND($D101=OBJECTIFS!$B$20,OBJECTIFS!$E$22="taux de chute"),AND($D101=OBJECTIFS!$B$27,OBJECTIFS!$E$29="taux de chute"),AND($D101=OBJECTIFS!$B$34,OBJECTIFS!$E$36="taux de chute")),IFERROR(K101/J101,""),IFERROR(J101/K101,""))</f>
        <v/>
      </c>
      <c r="M101" s="91">
        <f>IFERROR(IF(OR(J101="",K101="",L101=""),0,IF(L101&lt;OBJECTIFS!$E$56,0,IF(L101&lt;OBJECTIFS!$G$56,M$8*OBJECTIFS!$F$60,IF(L101&lt;OBJECTIFS!$I$56,M$8*OBJECTIFS!$H$60,M$8)))),0)</f>
        <v>0</v>
      </c>
      <c r="N101" s="161"/>
      <c r="O101" s="92" t="str">
        <f>IF(OR($A101="",$D101="",N101=""),"",SUMIFS(OBJECTIFS!F$9:F$39,OBJECTIFS!$A$9:$A$39,$D101,OBJECTIFS!$C$9:$C$39,$F101))</f>
        <v/>
      </c>
      <c r="P101" s="90" t="str">
        <f>IF(OR(AND($D101=OBJECTIFS!$B$6,OBJECTIFS!$F$8="dmt"),AND($D101=OBJECTIFS!$B$13,OBJECTIFS!$F$15="dmt"),AND($D101=OBJECTIFS!$B$20,OBJECTIFS!$F$22="dmt"),AND($D101=OBJECTIFS!$B$27,OBJECTIFS!$F$29="dmt"),AND($D101=OBJECTIFS!$B$34,OBJECTIFS!$F$36="dmt"),AND($D101=OBJECTIFS!$B$6,OBJECTIFS!$F$8="taux de chute"),AND($D101=OBJECTIFS!$B$13,OBJECTIFS!$F$15="taux de chute"),AND($D101=OBJECTIFS!$B$20,OBJECTIFS!$F$22="taux de chute"),AND($D101=OBJECTIFS!$B$27,OBJECTIFS!$F$29="taux de chute"),AND($D101=OBJECTIFS!$B$34,OBJECTIFS!$F$36="taux de chute")),IFERROR(O101/N101,""),IFERROR(N101/O101,""))</f>
        <v/>
      </c>
      <c r="Q101" s="91">
        <f>IFERROR(IF(OR(N101="",O101="",P101=""),0,IF(P101&lt;OBJECTIFS!$E$56,0,IF(P101&lt;OBJECTIFS!$G$56,Q$8*OBJECTIFS!$F$60,IF(P101&lt;OBJECTIFS!$I$56,Q$8*OBJECTIFS!$H$60,Q$8)))),0)</f>
        <v>0</v>
      </c>
      <c r="R101" s="164"/>
      <c r="S101" s="93" t="str">
        <f>IF(OR($A101="",$D101="",R101=""),"",SUMIFS(OBJECTIFS!G$9:G$39,OBJECTIFS!$A$9:$A$39,$D101,OBJECTIFS!$C$9:$C$39,$F101))</f>
        <v/>
      </c>
      <c r="T101" s="90" t="str">
        <f>IF(OR(AND($D101=OBJECTIFS!$B$6,OBJECTIFS!G$8="dmt"),AND($D101=OBJECTIFS!$B$13,OBJECTIFS!$G$15="dmt"),AND($D101=OBJECTIFS!$B$20,OBJECTIFS!$G$22="dmt"),AND($D101=OBJECTIFS!$B$27,OBJECTIFS!$G$29="dmt"),AND($D101=OBJECTIFS!$B$34,OBJECTIFS!$G$36="dmt"),AND($D101=OBJECTIFS!$B$6,OBJECTIFS!$G$8="taux de chute"),AND($D101=OBJECTIFS!$B$13,OBJECTIFS!$G$15="taux de chute"),AND($D101=OBJECTIFS!$B$20,OBJECTIFS!$G$22="taux de chute"),AND($D101=OBJECTIFS!$B$27,OBJECTIFS!$G$29="taux de chute"),AND($D101=OBJECTIFS!$B$34,OBJECTIFS!$G$36="taux de chute")),IFERROR(S101/R101,""),IFERROR(R101/S101,""))</f>
        <v/>
      </c>
      <c r="U101" s="94">
        <f>IFERROR(IF(OR(R101="",S101="",T101=""),0,IF(T101&lt;OBJECTIFS!$E$56,0,IF(T101&lt;OBJECTIFS!$G$56,U$8*OBJECTIFS!$F$60,IF(T101&lt;OBJECTIFS!$I$56,U$8*OBJECTIFS!$H$60,U$8)))),0)</f>
        <v>0</v>
      </c>
      <c r="V101" s="25"/>
      <c r="W101" s="90" t="str">
        <f>IF(OR($A101="",$D101="",V101=""),"",SUMIFS(OBJECTIFS!H$9:H$39,OBJECTIFS!$A$9:$A$39,$D101,OBJECTIFS!$C$9:$C$39,$F101))</f>
        <v/>
      </c>
      <c r="X101" s="90" t="str">
        <f>IF(OR(AND($D101=OBJECTIFS!$B$6,OBJECTIFS!H$8="dmt"),AND($D101=OBJECTIFS!$B$13,OBJECTIFS!$H$15="dmt"),AND($D101=OBJECTIFS!$B$20,OBJECTIFS!$H$22="dmt"),AND($D101=OBJECTIFS!$B$27,OBJECTIFS!$H$29="dmt"),AND($D101=OBJECTIFS!$B$34,OBJECTIFS!$H$36="dmt"),AND($D101=OBJECTIFS!$B$6,OBJECTIFS!$H$8="taux de chute"),AND($D101=OBJECTIFS!$B$13,OBJECTIFS!$H$15="taux de chute"),AND($D101=OBJECTIFS!$B$20,OBJECTIFS!$H$22="taux de chute"),AND($D101=OBJECTIFS!$B$27,OBJECTIFS!$H$29="taux de chute"),AND($D101=OBJECTIFS!$B$34,OBJECTIFS!$H$36="taux de chute")),IFERROR(W101/V101,""),IFERROR(V101/W101,""))</f>
        <v/>
      </c>
      <c r="Y101" s="91">
        <f>IFERROR(IF(OR(V101="",W101="",X101=""),0,IF(X101&lt;OBJECTIFS!$E$56,0,IF(X101&lt;OBJECTIFS!$G$56,Y$8*OBJECTIFS!$F$60,IF(X101&lt;OBJECTIFS!$I$56,Y$8*OBJECTIFS!$H$60,Y$8)))),0)</f>
        <v>0</v>
      </c>
      <c r="Z101" s="167"/>
      <c r="AA101" s="90" t="str">
        <f>IF(OR($A101="",$D101="",Z101=""),"",SUMIFS(OBJECTIFS!I$9:I$39,OBJECTIFS!$A$9:$A$39,$D101,OBJECTIFS!$C$9:$C$39,$F101))</f>
        <v/>
      </c>
      <c r="AB101" s="90" t="str">
        <f>IF(OR(AND($D101=OBJECTIFS!$B$6,OBJECTIFS!I$8="dmt"),AND($D101=OBJECTIFS!$B$13,OBJECTIFS!$I$15="dmt"),AND($D101=OBJECTIFS!$B$20,OBJECTIFS!$I$22="dmt"),AND($D101=OBJECTIFS!$B$27,OBJECTIFS!$I$29="dmt"),AND($D101=OBJECTIFS!$B$34,OBJECTIFS!$I$36="dmt"),AND($D101=OBJECTIFS!$B$6,OBJECTIFS!$I$8="taux de chute"),AND($D101=OBJECTIFS!$B$13,OBJECTIFS!$I$15="taux de chute"),AND($D101=OBJECTIFS!$B$20,OBJECTIFS!$I$22="taux de chute"),AND($D101=OBJECTIFS!$B$27,OBJECTIFS!$I$29="taux de chute"),AND($D101=OBJECTIFS!$B$34,OBJECTIFS!$I$36="taux de chute")),IFERROR(AA101/Z101,""),IFERROR(Z101/AA101,""))</f>
        <v/>
      </c>
      <c r="AC101" s="95">
        <f>IFERROR(IF(OR(Z101="",AA101="",AB101=""),0,IF(AB101&lt;OBJECTIFS!$E$56,0,IF(AB101&lt;OBJECTIFS!$G$56,AC$8*OBJECTIFS!$F$60,IF(AB101&lt;OBJECTIFS!$I$56,AC$8*OBJECTIFS!$H$60,AC$8)))),0)</f>
        <v>0</v>
      </c>
      <c r="AD101" s="186"/>
      <c r="AE101" s="187"/>
      <c r="AF101" s="96">
        <f t="shared" ca="1" si="20"/>
        <v>0</v>
      </c>
      <c r="AG101" s="63"/>
      <c r="AH101" s="186"/>
      <c r="AI101" s="24"/>
      <c r="AJ101" s="24"/>
      <c r="AK101" s="24"/>
      <c r="AL101" s="24"/>
      <c r="AM101" s="79">
        <f t="shared" si="21"/>
        <v>0</v>
      </c>
      <c r="AN101" s="79">
        <v>22</v>
      </c>
      <c r="AO101" s="80">
        <f t="shared" si="22"/>
        <v>0</v>
      </c>
      <c r="AP101" s="81" t="str">
        <f t="shared" ca="1" si="23"/>
        <v/>
      </c>
      <c r="AQ101" s="82"/>
      <c r="AR101" s="97">
        <f>IFERROR(VLOOKUP(B101,OBJECTIFS!$C$76:$E$137,2,FALSE),0)</f>
        <v>0</v>
      </c>
      <c r="AS101" s="98">
        <f>IFERROR(VLOOKUP(B101,OBJECTIFS!$H$76:$J$137,2,FALSE),0)</f>
        <v>0</v>
      </c>
      <c r="AT101" s="98">
        <f>IFERROR(VLOOKUP(B101,OBJECTIFS!$C$142:$E$203,2,FALSE),0)</f>
        <v>0</v>
      </c>
      <c r="AU101" s="98">
        <f>IFERROR(VLOOKUP(B101,OBJECTIFS!$H$142:$J$203,2,FALSE),0)</f>
        <v>0</v>
      </c>
      <c r="AV101" s="98">
        <f>IFERROR(VLOOKUP(B101,OBJECTIFS!$F$208:$H$269,3,FALSE),0)</f>
        <v>0</v>
      </c>
      <c r="AW101" s="81">
        <f t="shared" si="24"/>
        <v>0</v>
      </c>
      <c r="AX101" s="82"/>
      <c r="AY101" s="99" t="str">
        <f t="shared" ca="1" si="25"/>
        <v/>
      </c>
      <c r="AZ101" s="63"/>
      <c r="BA101" s="100">
        <f t="shared" ca="1" si="26"/>
        <v>0</v>
      </c>
      <c r="BB101" s="64" t="str">
        <f t="shared" ca="1" si="27"/>
        <v/>
      </c>
      <c r="BC101" s="101" t="str">
        <f t="shared" ca="1" si="28"/>
        <v/>
      </c>
    </row>
    <row r="102" spans="1:55" x14ac:dyDescent="0.2">
      <c r="A102" s="21"/>
      <c r="B102" s="22"/>
      <c r="C102" s="22"/>
      <c r="D102" s="23"/>
      <c r="E102" s="24"/>
      <c r="F102" s="34"/>
      <c r="H102" s="89" t="str">
        <f>IF(OR(D102="",F102="",A102=""),"",IF(E102="oui",0,IF(D102=OBJECTIFS!$C$45,VLOOKUP(F102,OBJECTIFS!$C$9:$D$11,2,FALSE),IF(D102=OBJECTIFS!$C$46,VLOOKUP(F102,OBJECTIFS!$C$16:$D$18,2,FALSE),IF(D102=OBJECTIFS!$C$47,VLOOKUP(F102,OBJECTIFS!$C$23:$D$25,2,FALSE),IF(D102=OBJECTIFS!$C$48,VLOOKUP(F102,OBJECTIFS!$C$30:$D$32,2,FALSE),IF(D102=OBJECTIFS!$C$49,VLOOKUP(F102,OBJECTIFS!$C$37:$D$39,2,FALSE))))))))</f>
        <v/>
      </c>
      <c r="J102" s="25"/>
      <c r="K102" s="90" t="str">
        <f>IF(OR($A102="",$D102="",J102=""),"",SUMIFS(OBJECTIFS!E$9:E$39,OBJECTIFS!$A$9:$A$39,$D102,OBJECTIFS!$C$9:$C$39,$F102))</f>
        <v/>
      </c>
      <c r="L102" s="90" t="str">
        <f>IF(OR(AND($D102=OBJECTIFS!$B$6,OBJECTIFS!E$8="dmt"),AND($D102=OBJECTIFS!$B$13,OBJECTIFS!$E$15="dmt"),AND($D102=OBJECTIFS!$B$20,OBJECTIFS!$E$22="dmt"),AND($D102=OBJECTIFS!$B$27,OBJECTIFS!$E$29="dmt"),AND($D102=OBJECTIFS!$B$34,OBJECTIFS!$E$36="dmt"),AND($D102=OBJECTIFS!$B$6,OBJECTIFS!$E$8="taux de chute"),AND($D102=OBJECTIFS!$B$13,OBJECTIFS!$E$15="taux de chute"),AND($D102=OBJECTIFS!$B$20,OBJECTIFS!$E$22="taux de chute"),AND($D102=OBJECTIFS!$B$27,OBJECTIFS!$E$29="taux de chute"),AND($D102=OBJECTIFS!$B$34,OBJECTIFS!$E$36="taux de chute")),IFERROR(K102/J102,""),IFERROR(J102/K102,""))</f>
        <v/>
      </c>
      <c r="M102" s="91">
        <f>IFERROR(IF(OR(J102="",K102="",L102=""),0,IF(L102&lt;OBJECTIFS!$E$56,0,IF(L102&lt;OBJECTIFS!$G$56,M$8*OBJECTIFS!$F$60,IF(L102&lt;OBJECTIFS!$I$56,M$8*OBJECTIFS!$H$60,M$8)))),0)</f>
        <v>0</v>
      </c>
      <c r="N102" s="161"/>
      <c r="O102" s="92" t="str">
        <f>IF(OR($A102="",$D102="",N102=""),"",SUMIFS(OBJECTIFS!F$9:F$39,OBJECTIFS!$A$9:$A$39,$D102,OBJECTIFS!$C$9:$C$39,$F102))</f>
        <v/>
      </c>
      <c r="P102" s="90" t="str">
        <f>IF(OR(AND($D102=OBJECTIFS!$B$6,OBJECTIFS!$F$8="dmt"),AND($D102=OBJECTIFS!$B$13,OBJECTIFS!$F$15="dmt"),AND($D102=OBJECTIFS!$B$20,OBJECTIFS!$F$22="dmt"),AND($D102=OBJECTIFS!$B$27,OBJECTIFS!$F$29="dmt"),AND($D102=OBJECTIFS!$B$34,OBJECTIFS!$F$36="dmt"),AND($D102=OBJECTIFS!$B$6,OBJECTIFS!$F$8="taux de chute"),AND($D102=OBJECTIFS!$B$13,OBJECTIFS!$F$15="taux de chute"),AND($D102=OBJECTIFS!$B$20,OBJECTIFS!$F$22="taux de chute"),AND($D102=OBJECTIFS!$B$27,OBJECTIFS!$F$29="taux de chute"),AND($D102=OBJECTIFS!$B$34,OBJECTIFS!$F$36="taux de chute")),IFERROR(O102/N102,""),IFERROR(N102/O102,""))</f>
        <v/>
      </c>
      <c r="Q102" s="91">
        <f>IFERROR(IF(OR(N102="",O102="",P102=""),0,IF(P102&lt;OBJECTIFS!$E$56,0,IF(P102&lt;OBJECTIFS!$G$56,Q$8*OBJECTIFS!$F$60,IF(P102&lt;OBJECTIFS!$I$56,Q$8*OBJECTIFS!$H$60,Q$8)))),0)</f>
        <v>0</v>
      </c>
      <c r="R102" s="164"/>
      <c r="S102" s="93" t="str">
        <f>IF(OR($A102="",$D102="",R102=""),"",SUMIFS(OBJECTIFS!G$9:G$39,OBJECTIFS!$A$9:$A$39,$D102,OBJECTIFS!$C$9:$C$39,$F102))</f>
        <v/>
      </c>
      <c r="T102" s="90" t="str">
        <f>IF(OR(AND($D102=OBJECTIFS!$B$6,OBJECTIFS!G$8="dmt"),AND($D102=OBJECTIFS!$B$13,OBJECTIFS!$G$15="dmt"),AND($D102=OBJECTIFS!$B$20,OBJECTIFS!$G$22="dmt"),AND($D102=OBJECTIFS!$B$27,OBJECTIFS!$G$29="dmt"),AND($D102=OBJECTIFS!$B$34,OBJECTIFS!$G$36="dmt"),AND($D102=OBJECTIFS!$B$6,OBJECTIFS!$G$8="taux de chute"),AND($D102=OBJECTIFS!$B$13,OBJECTIFS!$G$15="taux de chute"),AND($D102=OBJECTIFS!$B$20,OBJECTIFS!$G$22="taux de chute"),AND($D102=OBJECTIFS!$B$27,OBJECTIFS!$G$29="taux de chute"),AND($D102=OBJECTIFS!$B$34,OBJECTIFS!$G$36="taux de chute")),IFERROR(S102/R102,""),IFERROR(R102/S102,""))</f>
        <v/>
      </c>
      <c r="U102" s="94">
        <f>IFERROR(IF(OR(R102="",S102="",T102=""),0,IF(T102&lt;OBJECTIFS!$E$56,0,IF(T102&lt;OBJECTIFS!$G$56,U$8*OBJECTIFS!$F$60,IF(T102&lt;OBJECTIFS!$I$56,U$8*OBJECTIFS!$H$60,U$8)))),0)</f>
        <v>0</v>
      </c>
      <c r="V102" s="25"/>
      <c r="W102" s="90" t="str">
        <f>IF(OR($A102="",$D102="",V102=""),"",SUMIFS(OBJECTIFS!H$9:H$39,OBJECTIFS!$A$9:$A$39,$D102,OBJECTIFS!$C$9:$C$39,$F102))</f>
        <v/>
      </c>
      <c r="X102" s="90" t="str">
        <f>IF(OR(AND($D102=OBJECTIFS!$B$6,OBJECTIFS!H$8="dmt"),AND($D102=OBJECTIFS!$B$13,OBJECTIFS!$H$15="dmt"),AND($D102=OBJECTIFS!$B$20,OBJECTIFS!$H$22="dmt"),AND($D102=OBJECTIFS!$B$27,OBJECTIFS!$H$29="dmt"),AND($D102=OBJECTIFS!$B$34,OBJECTIFS!$H$36="dmt"),AND($D102=OBJECTIFS!$B$6,OBJECTIFS!$H$8="taux de chute"),AND($D102=OBJECTIFS!$B$13,OBJECTIFS!$H$15="taux de chute"),AND($D102=OBJECTIFS!$B$20,OBJECTIFS!$H$22="taux de chute"),AND($D102=OBJECTIFS!$B$27,OBJECTIFS!$H$29="taux de chute"),AND($D102=OBJECTIFS!$B$34,OBJECTIFS!$H$36="taux de chute")),IFERROR(W102/V102,""),IFERROR(V102/W102,""))</f>
        <v/>
      </c>
      <c r="Y102" s="91">
        <f>IFERROR(IF(OR(V102="",W102="",X102=""),0,IF(X102&lt;OBJECTIFS!$E$56,0,IF(X102&lt;OBJECTIFS!$G$56,Y$8*OBJECTIFS!$F$60,IF(X102&lt;OBJECTIFS!$I$56,Y$8*OBJECTIFS!$H$60,Y$8)))),0)</f>
        <v>0</v>
      </c>
      <c r="Z102" s="167"/>
      <c r="AA102" s="90" t="str">
        <f>IF(OR($A102="",$D102="",Z102=""),"",SUMIFS(OBJECTIFS!I$9:I$39,OBJECTIFS!$A$9:$A$39,$D102,OBJECTIFS!$C$9:$C$39,$F102))</f>
        <v/>
      </c>
      <c r="AB102" s="90" t="str">
        <f>IF(OR(AND($D102=OBJECTIFS!$B$6,OBJECTIFS!I$8="dmt"),AND($D102=OBJECTIFS!$B$13,OBJECTIFS!$I$15="dmt"),AND($D102=OBJECTIFS!$B$20,OBJECTIFS!$I$22="dmt"),AND($D102=OBJECTIFS!$B$27,OBJECTIFS!$I$29="dmt"),AND($D102=OBJECTIFS!$B$34,OBJECTIFS!$I$36="dmt"),AND($D102=OBJECTIFS!$B$6,OBJECTIFS!$I$8="taux de chute"),AND($D102=OBJECTIFS!$B$13,OBJECTIFS!$I$15="taux de chute"),AND($D102=OBJECTIFS!$B$20,OBJECTIFS!$I$22="taux de chute"),AND($D102=OBJECTIFS!$B$27,OBJECTIFS!$I$29="taux de chute"),AND($D102=OBJECTIFS!$B$34,OBJECTIFS!$I$36="taux de chute")),IFERROR(AA102/Z102,""),IFERROR(Z102/AA102,""))</f>
        <v/>
      </c>
      <c r="AC102" s="95">
        <f>IFERROR(IF(OR(Z102="",AA102="",AB102=""),0,IF(AB102&lt;OBJECTIFS!$E$56,0,IF(AB102&lt;OBJECTIFS!$G$56,AC$8*OBJECTIFS!$F$60,IF(AB102&lt;OBJECTIFS!$I$56,AC$8*OBJECTIFS!$H$60,AC$8)))),0)</f>
        <v>0</v>
      </c>
      <c r="AD102" s="186"/>
      <c r="AE102" s="187"/>
      <c r="AF102" s="96">
        <f t="shared" ca="1" si="20"/>
        <v>0</v>
      </c>
      <c r="AG102" s="63"/>
      <c r="AH102" s="186"/>
      <c r="AI102" s="24"/>
      <c r="AJ102" s="24"/>
      <c r="AK102" s="24"/>
      <c r="AL102" s="24"/>
      <c r="AM102" s="79">
        <f t="shared" si="21"/>
        <v>0</v>
      </c>
      <c r="AN102" s="79">
        <v>22</v>
      </c>
      <c r="AO102" s="80">
        <f t="shared" si="22"/>
        <v>0</v>
      </c>
      <c r="AP102" s="81" t="str">
        <f t="shared" ca="1" si="23"/>
        <v/>
      </c>
      <c r="AQ102" s="82"/>
      <c r="AR102" s="97">
        <f>IFERROR(VLOOKUP(B102,OBJECTIFS!$C$76:$E$137,2,FALSE),0)</f>
        <v>0</v>
      </c>
      <c r="AS102" s="98">
        <f>IFERROR(VLOOKUP(B102,OBJECTIFS!$H$76:$J$137,2,FALSE),0)</f>
        <v>0</v>
      </c>
      <c r="AT102" s="98">
        <f>IFERROR(VLOOKUP(B102,OBJECTIFS!$C$142:$E$203,2,FALSE),0)</f>
        <v>0</v>
      </c>
      <c r="AU102" s="98">
        <f>IFERROR(VLOOKUP(B102,OBJECTIFS!$H$142:$J$203,2,FALSE),0)</f>
        <v>0</v>
      </c>
      <c r="AV102" s="98">
        <f>IFERROR(VLOOKUP(B102,OBJECTIFS!$F$208:$H$269,3,FALSE),0)</f>
        <v>0</v>
      </c>
      <c r="AW102" s="81">
        <f t="shared" si="24"/>
        <v>0</v>
      </c>
      <c r="AX102" s="82"/>
      <c r="AY102" s="99" t="str">
        <f t="shared" ca="1" si="25"/>
        <v/>
      </c>
      <c r="AZ102" s="63"/>
      <c r="BA102" s="100">
        <f t="shared" ca="1" si="26"/>
        <v>0</v>
      </c>
      <c r="BB102" s="64" t="str">
        <f t="shared" ca="1" si="27"/>
        <v/>
      </c>
      <c r="BC102" s="101" t="str">
        <f t="shared" ca="1" si="28"/>
        <v/>
      </c>
    </row>
    <row r="103" spans="1:55" x14ac:dyDescent="0.2">
      <c r="A103" s="21"/>
      <c r="B103" s="22"/>
      <c r="C103" s="22"/>
      <c r="D103" s="23"/>
      <c r="E103" s="24"/>
      <c r="F103" s="34"/>
      <c r="H103" s="89" t="str">
        <f>IF(OR(D103="",F103="",A103=""),"",IF(E103="oui",0,IF(D103=OBJECTIFS!$C$45,VLOOKUP(F103,OBJECTIFS!$C$9:$D$11,2,FALSE),IF(D103=OBJECTIFS!$C$46,VLOOKUP(F103,OBJECTIFS!$C$16:$D$18,2,FALSE),IF(D103=OBJECTIFS!$C$47,VLOOKUP(F103,OBJECTIFS!$C$23:$D$25,2,FALSE),IF(D103=OBJECTIFS!$C$48,VLOOKUP(F103,OBJECTIFS!$C$30:$D$32,2,FALSE),IF(D103=OBJECTIFS!$C$49,VLOOKUP(F103,OBJECTIFS!$C$37:$D$39,2,FALSE))))))))</f>
        <v/>
      </c>
      <c r="J103" s="25"/>
      <c r="K103" s="90" t="str">
        <f>IF(OR($A103="",$D103="",J103=""),"",SUMIFS(OBJECTIFS!E$9:E$39,OBJECTIFS!$A$9:$A$39,$D103,OBJECTIFS!$C$9:$C$39,$F103))</f>
        <v/>
      </c>
      <c r="L103" s="90" t="str">
        <f>IF(OR(AND($D103=OBJECTIFS!$B$6,OBJECTIFS!E$8="dmt"),AND($D103=OBJECTIFS!$B$13,OBJECTIFS!$E$15="dmt"),AND($D103=OBJECTIFS!$B$20,OBJECTIFS!$E$22="dmt"),AND($D103=OBJECTIFS!$B$27,OBJECTIFS!$E$29="dmt"),AND($D103=OBJECTIFS!$B$34,OBJECTIFS!$E$36="dmt"),AND($D103=OBJECTIFS!$B$6,OBJECTIFS!$E$8="taux de chute"),AND($D103=OBJECTIFS!$B$13,OBJECTIFS!$E$15="taux de chute"),AND($D103=OBJECTIFS!$B$20,OBJECTIFS!$E$22="taux de chute"),AND($D103=OBJECTIFS!$B$27,OBJECTIFS!$E$29="taux de chute"),AND($D103=OBJECTIFS!$B$34,OBJECTIFS!$E$36="taux de chute")),IFERROR(K103/J103,""),IFERROR(J103/K103,""))</f>
        <v/>
      </c>
      <c r="M103" s="91">
        <f>IFERROR(IF(OR(J103="",K103="",L103=""),0,IF(L103&lt;OBJECTIFS!$E$56,0,IF(L103&lt;OBJECTIFS!$G$56,M$8*OBJECTIFS!$F$60,IF(L103&lt;OBJECTIFS!$I$56,M$8*OBJECTIFS!$H$60,M$8)))),0)</f>
        <v>0</v>
      </c>
      <c r="N103" s="161"/>
      <c r="O103" s="92" t="str">
        <f>IF(OR($A103="",$D103="",N103=""),"",SUMIFS(OBJECTIFS!F$9:F$39,OBJECTIFS!$A$9:$A$39,$D103,OBJECTIFS!$C$9:$C$39,$F103))</f>
        <v/>
      </c>
      <c r="P103" s="90" t="str">
        <f>IF(OR(AND($D103=OBJECTIFS!$B$6,OBJECTIFS!$F$8="dmt"),AND($D103=OBJECTIFS!$B$13,OBJECTIFS!$F$15="dmt"),AND($D103=OBJECTIFS!$B$20,OBJECTIFS!$F$22="dmt"),AND($D103=OBJECTIFS!$B$27,OBJECTIFS!$F$29="dmt"),AND($D103=OBJECTIFS!$B$34,OBJECTIFS!$F$36="dmt"),AND($D103=OBJECTIFS!$B$6,OBJECTIFS!$F$8="taux de chute"),AND($D103=OBJECTIFS!$B$13,OBJECTIFS!$F$15="taux de chute"),AND($D103=OBJECTIFS!$B$20,OBJECTIFS!$F$22="taux de chute"),AND($D103=OBJECTIFS!$B$27,OBJECTIFS!$F$29="taux de chute"),AND($D103=OBJECTIFS!$B$34,OBJECTIFS!$F$36="taux de chute")),IFERROR(O103/N103,""),IFERROR(N103/O103,""))</f>
        <v/>
      </c>
      <c r="Q103" s="91">
        <f>IFERROR(IF(OR(N103="",O103="",P103=""),0,IF(P103&lt;OBJECTIFS!$E$56,0,IF(P103&lt;OBJECTIFS!$G$56,Q$8*OBJECTIFS!$F$60,IF(P103&lt;OBJECTIFS!$I$56,Q$8*OBJECTIFS!$H$60,Q$8)))),0)</f>
        <v>0</v>
      </c>
      <c r="R103" s="164"/>
      <c r="S103" s="93" t="str">
        <f>IF(OR($A103="",$D103="",R103=""),"",SUMIFS(OBJECTIFS!G$9:G$39,OBJECTIFS!$A$9:$A$39,$D103,OBJECTIFS!$C$9:$C$39,$F103))</f>
        <v/>
      </c>
      <c r="T103" s="90" t="str">
        <f>IF(OR(AND($D103=OBJECTIFS!$B$6,OBJECTIFS!G$8="dmt"),AND($D103=OBJECTIFS!$B$13,OBJECTIFS!$G$15="dmt"),AND($D103=OBJECTIFS!$B$20,OBJECTIFS!$G$22="dmt"),AND($D103=OBJECTIFS!$B$27,OBJECTIFS!$G$29="dmt"),AND($D103=OBJECTIFS!$B$34,OBJECTIFS!$G$36="dmt"),AND($D103=OBJECTIFS!$B$6,OBJECTIFS!$G$8="taux de chute"),AND($D103=OBJECTIFS!$B$13,OBJECTIFS!$G$15="taux de chute"),AND($D103=OBJECTIFS!$B$20,OBJECTIFS!$G$22="taux de chute"),AND($D103=OBJECTIFS!$B$27,OBJECTIFS!$G$29="taux de chute"),AND($D103=OBJECTIFS!$B$34,OBJECTIFS!$G$36="taux de chute")),IFERROR(S103/R103,""),IFERROR(R103/S103,""))</f>
        <v/>
      </c>
      <c r="U103" s="94">
        <f>IFERROR(IF(OR(R103="",S103="",T103=""),0,IF(T103&lt;OBJECTIFS!$E$56,0,IF(T103&lt;OBJECTIFS!$G$56,U$8*OBJECTIFS!$F$60,IF(T103&lt;OBJECTIFS!$I$56,U$8*OBJECTIFS!$H$60,U$8)))),0)</f>
        <v>0</v>
      </c>
      <c r="V103" s="25"/>
      <c r="W103" s="90" t="str">
        <f>IF(OR($A103="",$D103="",V103=""),"",SUMIFS(OBJECTIFS!H$9:H$39,OBJECTIFS!$A$9:$A$39,$D103,OBJECTIFS!$C$9:$C$39,$F103))</f>
        <v/>
      </c>
      <c r="X103" s="90" t="str">
        <f>IF(OR(AND($D103=OBJECTIFS!$B$6,OBJECTIFS!H$8="dmt"),AND($D103=OBJECTIFS!$B$13,OBJECTIFS!$H$15="dmt"),AND($D103=OBJECTIFS!$B$20,OBJECTIFS!$H$22="dmt"),AND($D103=OBJECTIFS!$B$27,OBJECTIFS!$H$29="dmt"),AND($D103=OBJECTIFS!$B$34,OBJECTIFS!$H$36="dmt"),AND($D103=OBJECTIFS!$B$6,OBJECTIFS!$H$8="taux de chute"),AND($D103=OBJECTIFS!$B$13,OBJECTIFS!$H$15="taux de chute"),AND($D103=OBJECTIFS!$B$20,OBJECTIFS!$H$22="taux de chute"),AND($D103=OBJECTIFS!$B$27,OBJECTIFS!$H$29="taux de chute"),AND($D103=OBJECTIFS!$B$34,OBJECTIFS!$H$36="taux de chute")),IFERROR(W103/V103,""),IFERROR(V103/W103,""))</f>
        <v/>
      </c>
      <c r="Y103" s="91">
        <f>IFERROR(IF(OR(V103="",W103="",X103=""),0,IF(X103&lt;OBJECTIFS!$E$56,0,IF(X103&lt;OBJECTIFS!$G$56,Y$8*OBJECTIFS!$F$60,IF(X103&lt;OBJECTIFS!$I$56,Y$8*OBJECTIFS!$H$60,Y$8)))),0)</f>
        <v>0</v>
      </c>
      <c r="Z103" s="167"/>
      <c r="AA103" s="90" t="str">
        <f>IF(OR($A103="",$D103="",Z103=""),"",SUMIFS(OBJECTIFS!I$9:I$39,OBJECTIFS!$A$9:$A$39,$D103,OBJECTIFS!$C$9:$C$39,$F103))</f>
        <v/>
      </c>
      <c r="AB103" s="90" t="str">
        <f>IF(OR(AND($D103=OBJECTIFS!$B$6,OBJECTIFS!I$8="dmt"),AND($D103=OBJECTIFS!$B$13,OBJECTIFS!$I$15="dmt"),AND($D103=OBJECTIFS!$B$20,OBJECTIFS!$I$22="dmt"),AND($D103=OBJECTIFS!$B$27,OBJECTIFS!$I$29="dmt"),AND($D103=OBJECTIFS!$B$34,OBJECTIFS!$I$36="dmt"),AND($D103=OBJECTIFS!$B$6,OBJECTIFS!$I$8="taux de chute"),AND($D103=OBJECTIFS!$B$13,OBJECTIFS!$I$15="taux de chute"),AND($D103=OBJECTIFS!$B$20,OBJECTIFS!$I$22="taux de chute"),AND($D103=OBJECTIFS!$B$27,OBJECTIFS!$I$29="taux de chute"),AND($D103=OBJECTIFS!$B$34,OBJECTIFS!$I$36="taux de chute")),IFERROR(AA103/Z103,""),IFERROR(Z103/AA103,""))</f>
        <v/>
      </c>
      <c r="AC103" s="95">
        <f>IFERROR(IF(OR(Z103="",AA103="",AB103=""),0,IF(AB103&lt;OBJECTIFS!$E$56,0,IF(AB103&lt;OBJECTIFS!$G$56,AC$8*OBJECTIFS!$F$60,IF(AB103&lt;OBJECTIFS!$I$56,AC$8*OBJECTIFS!$H$60,AC$8)))),0)</f>
        <v>0</v>
      </c>
      <c r="AD103" s="186"/>
      <c r="AE103" s="187"/>
      <c r="AF103" s="96">
        <f t="shared" ca="1" si="20"/>
        <v>0</v>
      </c>
      <c r="AG103" s="63"/>
      <c r="AH103" s="186"/>
      <c r="AI103" s="24"/>
      <c r="AJ103" s="24"/>
      <c r="AK103" s="24"/>
      <c r="AL103" s="24"/>
      <c r="AM103" s="79">
        <f t="shared" si="21"/>
        <v>0</v>
      </c>
      <c r="AN103" s="79">
        <v>22</v>
      </c>
      <c r="AO103" s="80">
        <f t="shared" si="22"/>
        <v>0</v>
      </c>
      <c r="AP103" s="81" t="str">
        <f t="shared" ca="1" si="23"/>
        <v/>
      </c>
      <c r="AQ103" s="82"/>
      <c r="AR103" s="97">
        <f>IFERROR(VLOOKUP(B103,OBJECTIFS!$C$76:$E$137,2,FALSE),0)</f>
        <v>0</v>
      </c>
      <c r="AS103" s="98">
        <f>IFERROR(VLOOKUP(B103,OBJECTIFS!$H$76:$J$137,2,FALSE),0)</f>
        <v>0</v>
      </c>
      <c r="AT103" s="98">
        <f>IFERROR(VLOOKUP(B103,OBJECTIFS!$C$142:$E$203,2,FALSE),0)</f>
        <v>0</v>
      </c>
      <c r="AU103" s="98">
        <f>IFERROR(VLOOKUP(B103,OBJECTIFS!$H$142:$J$203,2,FALSE),0)</f>
        <v>0</v>
      </c>
      <c r="AV103" s="98">
        <f>IFERROR(VLOOKUP(B103,OBJECTIFS!$F$208:$H$269,3,FALSE),0)</f>
        <v>0</v>
      </c>
      <c r="AW103" s="81">
        <f t="shared" si="24"/>
        <v>0</v>
      </c>
      <c r="AX103" s="82"/>
      <c r="AY103" s="99" t="str">
        <f t="shared" ca="1" si="25"/>
        <v/>
      </c>
      <c r="AZ103" s="63"/>
      <c r="BA103" s="100">
        <f t="shared" ca="1" si="26"/>
        <v>0</v>
      </c>
      <c r="BB103" s="64" t="str">
        <f t="shared" ca="1" si="27"/>
        <v/>
      </c>
      <c r="BC103" s="101" t="str">
        <f t="shared" ca="1" si="28"/>
        <v/>
      </c>
    </row>
    <row r="104" spans="1:55" x14ac:dyDescent="0.2">
      <c r="A104" s="21"/>
      <c r="B104" s="22"/>
      <c r="C104" s="22"/>
      <c r="D104" s="23"/>
      <c r="E104" s="24"/>
      <c r="F104" s="34"/>
      <c r="H104" s="89" t="str">
        <f>IF(OR(D104="",F104="",A104=""),"",IF(E104="oui",0,IF(D104=OBJECTIFS!$C$45,VLOOKUP(F104,OBJECTIFS!$C$9:$D$11,2,FALSE),IF(D104=OBJECTIFS!$C$46,VLOOKUP(F104,OBJECTIFS!$C$16:$D$18,2,FALSE),IF(D104=OBJECTIFS!$C$47,VLOOKUP(F104,OBJECTIFS!$C$23:$D$25,2,FALSE),IF(D104=OBJECTIFS!$C$48,VLOOKUP(F104,OBJECTIFS!$C$30:$D$32,2,FALSE),IF(D104=OBJECTIFS!$C$49,VLOOKUP(F104,OBJECTIFS!$C$37:$D$39,2,FALSE))))))))</f>
        <v/>
      </c>
      <c r="J104" s="25"/>
      <c r="K104" s="90" t="str">
        <f>IF(OR($A104="",$D104="",J104=""),"",SUMIFS(OBJECTIFS!E$9:E$39,OBJECTIFS!$A$9:$A$39,$D104,OBJECTIFS!$C$9:$C$39,$F104))</f>
        <v/>
      </c>
      <c r="L104" s="90" t="str">
        <f>IF(OR(AND($D104=OBJECTIFS!$B$6,OBJECTIFS!E$8="dmt"),AND($D104=OBJECTIFS!$B$13,OBJECTIFS!$E$15="dmt"),AND($D104=OBJECTIFS!$B$20,OBJECTIFS!$E$22="dmt"),AND($D104=OBJECTIFS!$B$27,OBJECTIFS!$E$29="dmt"),AND($D104=OBJECTIFS!$B$34,OBJECTIFS!$E$36="dmt"),AND($D104=OBJECTIFS!$B$6,OBJECTIFS!$E$8="taux de chute"),AND($D104=OBJECTIFS!$B$13,OBJECTIFS!$E$15="taux de chute"),AND($D104=OBJECTIFS!$B$20,OBJECTIFS!$E$22="taux de chute"),AND($D104=OBJECTIFS!$B$27,OBJECTIFS!$E$29="taux de chute"),AND($D104=OBJECTIFS!$B$34,OBJECTIFS!$E$36="taux de chute")),IFERROR(K104/J104,""),IFERROR(J104/K104,""))</f>
        <v/>
      </c>
      <c r="M104" s="91">
        <f>IFERROR(IF(OR(J104="",K104="",L104=""),0,IF(L104&lt;OBJECTIFS!$E$56,0,IF(L104&lt;OBJECTIFS!$G$56,M$8*OBJECTIFS!$F$60,IF(L104&lt;OBJECTIFS!$I$56,M$8*OBJECTIFS!$H$60,M$8)))),0)</f>
        <v>0</v>
      </c>
      <c r="N104" s="161"/>
      <c r="O104" s="92" t="str">
        <f>IF(OR($A104="",$D104="",N104=""),"",SUMIFS(OBJECTIFS!F$9:F$39,OBJECTIFS!$A$9:$A$39,$D104,OBJECTIFS!$C$9:$C$39,$F104))</f>
        <v/>
      </c>
      <c r="P104" s="90" t="str">
        <f>IF(OR(AND($D104=OBJECTIFS!$B$6,OBJECTIFS!$F$8="dmt"),AND($D104=OBJECTIFS!$B$13,OBJECTIFS!$F$15="dmt"),AND($D104=OBJECTIFS!$B$20,OBJECTIFS!$F$22="dmt"),AND($D104=OBJECTIFS!$B$27,OBJECTIFS!$F$29="dmt"),AND($D104=OBJECTIFS!$B$34,OBJECTIFS!$F$36="dmt"),AND($D104=OBJECTIFS!$B$6,OBJECTIFS!$F$8="taux de chute"),AND($D104=OBJECTIFS!$B$13,OBJECTIFS!$F$15="taux de chute"),AND($D104=OBJECTIFS!$B$20,OBJECTIFS!$F$22="taux de chute"),AND($D104=OBJECTIFS!$B$27,OBJECTIFS!$F$29="taux de chute"),AND($D104=OBJECTIFS!$B$34,OBJECTIFS!$F$36="taux de chute")),IFERROR(O104/N104,""),IFERROR(N104/O104,""))</f>
        <v/>
      </c>
      <c r="Q104" s="91">
        <f>IFERROR(IF(OR(N104="",O104="",P104=""),0,IF(P104&lt;OBJECTIFS!$E$56,0,IF(P104&lt;OBJECTIFS!$G$56,Q$8*OBJECTIFS!$F$60,IF(P104&lt;OBJECTIFS!$I$56,Q$8*OBJECTIFS!$H$60,Q$8)))),0)</f>
        <v>0</v>
      </c>
      <c r="R104" s="164"/>
      <c r="S104" s="93" t="str">
        <f>IF(OR($A104="",$D104="",R104=""),"",SUMIFS(OBJECTIFS!G$9:G$39,OBJECTIFS!$A$9:$A$39,$D104,OBJECTIFS!$C$9:$C$39,$F104))</f>
        <v/>
      </c>
      <c r="T104" s="90" t="str">
        <f>IF(OR(AND($D104=OBJECTIFS!$B$6,OBJECTIFS!G$8="dmt"),AND($D104=OBJECTIFS!$B$13,OBJECTIFS!$G$15="dmt"),AND($D104=OBJECTIFS!$B$20,OBJECTIFS!$G$22="dmt"),AND($D104=OBJECTIFS!$B$27,OBJECTIFS!$G$29="dmt"),AND($D104=OBJECTIFS!$B$34,OBJECTIFS!$G$36="dmt"),AND($D104=OBJECTIFS!$B$6,OBJECTIFS!$G$8="taux de chute"),AND($D104=OBJECTIFS!$B$13,OBJECTIFS!$G$15="taux de chute"),AND($D104=OBJECTIFS!$B$20,OBJECTIFS!$G$22="taux de chute"),AND($D104=OBJECTIFS!$B$27,OBJECTIFS!$G$29="taux de chute"),AND($D104=OBJECTIFS!$B$34,OBJECTIFS!$G$36="taux de chute")),IFERROR(S104/R104,""),IFERROR(R104/S104,""))</f>
        <v/>
      </c>
      <c r="U104" s="94">
        <f>IFERROR(IF(OR(R104="",S104="",T104=""),0,IF(T104&lt;OBJECTIFS!$E$56,0,IF(T104&lt;OBJECTIFS!$G$56,U$8*OBJECTIFS!$F$60,IF(T104&lt;OBJECTIFS!$I$56,U$8*OBJECTIFS!$H$60,U$8)))),0)</f>
        <v>0</v>
      </c>
      <c r="V104" s="25"/>
      <c r="W104" s="90" t="str">
        <f>IF(OR($A104="",$D104="",V104=""),"",SUMIFS(OBJECTIFS!H$9:H$39,OBJECTIFS!$A$9:$A$39,$D104,OBJECTIFS!$C$9:$C$39,$F104))</f>
        <v/>
      </c>
      <c r="X104" s="90" t="str">
        <f>IF(OR(AND($D104=OBJECTIFS!$B$6,OBJECTIFS!H$8="dmt"),AND($D104=OBJECTIFS!$B$13,OBJECTIFS!$H$15="dmt"),AND($D104=OBJECTIFS!$B$20,OBJECTIFS!$H$22="dmt"),AND($D104=OBJECTIFS!$B$27,OBJECTIFS!$H$29="dmt"),AND($D104=OBJECTIFS!$B$34,OBJECTIFS!$H$36="dmt"),AND($D104=OBJECTIFS!$B$6,OBJECTIFS!$H$8="taux de chute"),AND($D104=OBJECTIFS!$B$13,OBJECTIFS!$H$15="taux de chute"),AND($D104=OBJECTIFS!$B$20,OBJECTIFS!$H$22="taux de chute"),AND($D104=OBJECTIFS!$B$27,OBJECTIFS!$H$29="taux de chute"),AND($D104=OBJECTIFS!$B$34,OBJECTIFS!$H$36="taux de chute")),IFERROR(W104/V104,""),IFERROR(V104/W104,""))</f>
        <v/>
      </c>
      <c r="Y104" s="91">
        <f>IFERROR(IF(OR(V104="",W104="",X104=""),0,IF(X104&lt;OBJECTIFS!$E$56,0,IF(X104&lt;OBJECTIFS!$G$56,Y$8*OBJECTIFS!$F$60,IF(X104&lt;OBJECTIFS!$I$56,Y$8*OBJECTIFS!$H$60,Y$8)))),0)</f>
        <v>0</v>
      </c>
      <c r="Z104" s="167"/>
      <c r="AA104" s="90" t="str">
        <f>IF(OR($A104="",$D104="",Z104=""),"",SUMIFS(OBJECTIFS!I$9:I$39,OBJECTIFS!$A$9:$A$39,$D104,OBJECTIFS!$C$9:$C$39,$F104))</f>
        <v/>
      </c>
      <c r="AB104" s="90" t="str">
        <f>IF(OR(AND($D104=OBJECTIFS!$B$6,OBJECTIFS!I$8="dmt"),AND($D104=OBJECTIFS!$B$13,OBJECTIFS!$I$15="dmt"),AND($D104=OBJECTIFS!$B$20,OBJECTIFS!$I$22="dmt"),AND($D104=OBJECTIFS!$B$27,OBJECTIFS!$I$29="dmt"),AND($D104=OBJECTIFS!$B$34,OBJECTIFS!$I$36="dmt"),AND($D104=OBJECTIFS!$B$6,OBJECTIFS!$I$8="taux de chute"),AND($D104=OBJECTIFS!$B$13,OBJECTIFS!$I$15="taux de chute"),AND($D104=OBJECTIFS!$B$20,OBJECTIFS!$I$22="taux de chute"),AND($D104=OBJECTIFS!$B$27,OBJECTIFS!$I$29="taux de chute"),AND($D104=OBJECTIFS!$B$34,OBJECTIFS!$I$36="taux de chute")),IFERROR(AA104/Z104,""),IFERROR(Z104/AA104,""))</f>
        <v/>
      </c>
      <c r="AC104" s="95">
        <f>IFERROR(IF(OR(Z104="",AA104="",AB104=""),0,IF(AB104&lt;OBJECTIFS!$E$56,0,IF(AB104&lt;OBJECTIFS!$G$56,AC$8*OBJECTIFS!$F$60,IF(AB104&lt;OBJECTIFS!$I$56,AC$8*OBJECTIFS!$H$60,AC$8)))),0)</f>
        <v>0</v>
      </c>
      <c r="AD104" s="186"/>
      <c r="AE104" s="187"/>
      <c r="AF104" s="96">
        <f t="shared" ca="1" si="20"/>
        <v>0</v>
      </c>
      <c r="AG104" s="63"/>
      <c r="AH104" s="186"/>
      <c r="AI104" s="24"/>
      <c r="AJ104" s="24"/>
      <c r="AK104" s="24"/>
      <c r="AL104" s="24"/>
      <c r="AM104" s="79">
        <f t="shared" si="21"/>
        <v>0</v>
      </c>
      <c r="AN104" s="79">
        <v>22</v>
      </c>
      <c r="AO104" s="80">
        <f t="shared" si="22"/>
        <v>0</v>
      </c>
      <c r="AP104" s="81" t="str">
        <f t="shared" ca="1" si="23"/>
        <v/>
      </c>
      <c r="AQ104" s="82"/>
      <c r="AR104" s="97">
        <f>IFERROR(VLOOKUP(B104,OBJECTIFS!$C$76:$E$137,2,FALSE),0)</f>
        <v>0</v>
      </c>
      <c r="AS104" s="98">
        <f>IFERROR(VLOOKUP(B104,OBJECTIFS!$H$76:$J$137,2,FALSE),0)</f>
        <v>0</v>
      </c>
      <c r="AT104" s="98">
        <f>IFERROR(VLOOKUP(B104,OBJECTIFS!$C$142:$E$203,2,FALSE),0)</f>
        <v>0</v>
      </c>
      <c r="AU104" s="98">
        <f>IFERROR(VLOOKUP(B104,OBJECTIFS!$H$142:$J$203,2,FALSE),0)</f>
        <v>0</v>
      </c>
      <c r="AV104" s="98">
        <f>IFERROR(VLOOKUP(B104,OBJECTIFS!$F$208:$H$269,3,FALSE),0)</f>
        <v>0</v>
      </c>
      <c r="AW104" s="81">
        <f t="shared" si="24"/>
        <v>0</v>
      </c>
      <c r="AX104" s="82"/>
      <c r="AY104" s="99" t="str">
        <f t="shared" ca="1" si="25"/>
        <v/>
      </c>
      <c r="AZ104" s="63"/>
      <c r="BA104" s="100">
        <f t="shared" ca="1" si="26"/>
        <v>0</v>
      </c>
      <c r="BB104" s="64" t="str">
        <f t="shared" ca="1" si="27"/>
        <v/>
      </c>
      <c r="BC104" s="101" t="str">
        <f t="shared" ca="1" si="28"/>
        <v/>
      </c>
    </row>
    <row r="105" spans="1:55" x14ac:dyDescent="0.2">
      <c r="A105" s="21"/>
      <c r="B105" s="22"/>
      <c r="C105" s="22"/>
      <c r="D105" s="23"/>
      <c r="E105" s="24"/>
      <c r="F105" s="34"/>
      <c r="H105" s="89" t="str">
        <f>IF(OR(D105="",F105="",A105=""),"",IF(E105="oui",0,IF(D105=OBJECTIFS!$C$45,VLOOKUP(F105,OBJECTIFS!$C$9:$D$11,2,FALSE),IF(D105=OBJECTIFS!$C$46,VLOOKUP(F105,OBJECTIFS!$C$16:$D$18,2,FALSE),IF(D105=OBJECTIFS!$C$47,VLOOKUP(F105,OBJECTIFS!$C$23:$D$25,2,FALSE),IF(D105=OBJECTIFS!$C$48,VLOOKUP(F105,OBJECTIFS!$C$30:$D$32,2,FALSE),IF(D105=OBJECTIFS!$C$49,VLOOKUP(F105,OBJECTIFS!$C$37:$D$39,2,FALSE))))))))</f>
        <v/>
      </c>
      <c r="J105" s="25"/>
      <c r="K105" s="90" t="str">
        <f>IF(OR($A105="",$D105="",J105=""),"",SUMIFS(OBJECTIFS!E$9:E$39,OBJECTIFS!$A$9:$A$39,$D105,OBJECTIFS!$C$9:$C$39,$F105))</f>
        <v/>
      </c>
      <c r="L105" s="90" t="str">
        <f>IF(OR(AND($D105=OBJECTIFS!$B$6,OBJECTIFS!E$8="dmt"),AND($D105=OBJECTIFS!$B$13,OBJECTIFS!$E$15="dmt"),AND($D105=OBJECTIFS!$B$20,OBJECTIFS!$E$22="dmt"),AND($D105=OBJECTIFS!$B$27,OBJECTIFS!$E$29="dmt"),AND($D105=OBJECTIFS!$B$34,OBJECTIFS!$E$36="dmt"),AND($D105=OBJECTIFS!$B$6,OBJECTIFS!$E$8="taux de chute"),AND($D105=OBJECTIFS!$B$13,OBJECTIFS!$E$15="taux de chute"),AND($D105=OBJECTIFS!$B$20,OBJECTIFS!$E$22="taux de chute"),AND($D105=OBJECTIFS!$B$27,OBJECTIFS!$E$29="taux de chute"),AND($D105=OBJECTIFS!$B$34,OBJECTIFS!$E$36="taux de chute")),IFERROR(K105/J105,""),IFERROR(J105/K105,""))</f>
        <v/>
      </c>
      <c r="M105" s="91">
        <f>IFERROR(IF(OR(J105="",K105="",L105=""),0,IF(L105&lt;OBJECTIFS!$E$56,0,IF(L105&lt;OBJECTIFS!$G$56,M$8*OBJECTIFS!$F$60,IF(L105&lt;OBJECTIFS!$I$56,M$8*OBJECTIFS!$H$60,M$8)))),0)</f>
        <v>0</v>
      </c>
      <c r="N105" s="161"/>
      <c r="O105" s="92" t="str">
        <f>IF(OR($A105="",$D105="",N105=""),"",SUMIFS(OBJECTIFS!F$9:F$39,OBJECTIFS!$A$9:$A$39,$D105,OBJECTIFS!$C$9:$C$39,$F105))</f>
        <v/>
      </c>
      <c r="P105" s="90" t="str">
        <f>IF(OR(AND($D105=OBJECTIFS!$B$6,OBJECTIFS!$F$8="dmt"),AND($D105=OBJECTIFS!$B$13,OBJECTIFS!$F$15="dmt"),AND($D105=OBJECTIFS!$B$20,OBJECTIFS!$F$22="dmt"),AND($D105=OBJECTIFS!$B$27,OBJECTIFS!$F$29="dmt"),AND($D105=OBJECTIFS!$B$34,OBJECTIFS!$F$36="dmt"),AND($D105=OBJECTIFS!$B$6,OBJECTIFS!$F$8="taux de chute"),AND($D105=OBJECTIFS!$B$13,OBJECTIFS!$F$15="taux de chute"),AND($D105=OBJECTIFS!$B$20,OBJECTIFS!$F$22="taux de chute"),AND($D105=OBJECTIFS!$B$27,OBJECTIFS!$F$29="taux de chute"),AND($D105=OBJECTIFS!$B$34,OBJECTIFS!$F$36="taux de chute")),IFERROR(O105/N105,""),IFERROR(N105/O105,""))</f>
        <v/>
      </c>
      <c r="Q105" s="91">
        <f>IFERROR(IF(OR(N105="",O105="",P105=""),0,IF(P105&lt;OBJECTIFS!$E$56,0,IF(P105&lt;OBJECTIFS!$G$56,Q$8*OBJECTIFS!$F$60,IF(P105&lt;OBJECTIFS!$I$56,Q$8*OBJECTIFS!$H$60,Q$8)))),0)</f>
        <v>0</v>
      </c>
      <c r="R105" s="164"/>
      <c r="S105" s="93" t="str">
        <f>IF(OR($A105="",$D105="",R105=""),"",SUMIFS(OBJECTIFS!G$9:G$39,OBJECTIFS!$A$9:$A$39,$D105,OBJECTIFS!$C$9:$C$39,$F105))</f>
        <v/>
      </c>
      <c r="T105" s="90" t="str">
        <f>IF(OR(AND($D105=OBJECTIFS!$B$6,OBJECTIFS!G$8="dmt"),AND($D105=OBJECTIFS!$B$13,OBJECTIFS!$G$15="dmt"),AND($D105=OBJECTIFS!$B$20,OBJECTIFS!$G$22="dmt"),AND($D105=OBJECTIFS!$B$27,OBJECTIFS!$G$29="dmt"),AND($D105=OBJECTIFS!$B$34,OBJECTIFS!$G$36="dmt"),AND($D105=OBJECTIFS!$B$6,OBJECTIFS!$G$8="taux de chute"),AND($D105=OBJECTIFS!$B$13,OBJECTIFS!$G$15="taux de chute"),AND($D105=OBJECTIFS!$B$20,OBJECTIFS!$G$22="taux de chute"),AND($D105=OBJECTIFS!$B$27,OBJECTIFS!$G$29="taux de chute"),AND($D105=OBJECTIFS!$B$34,OBJECTIFS!$G$36="taux de chute")),IFERROR(S105/R105,""),IFERROR(R105/S105,""))</f>
        <v/>
      </c>
      <c r="U105" s="94">
        <f>IFERROR(IF(OR(R105="",S105="",T105=""),0,IF(T105&lt;OBJECTIFS!$E$56,0,IF(T105&lt;OBJECTIFS!$G$56,U$8*OBJECTIFS!$F$60,IF(T105&lt;OBJECTIFS!$I$56,U$8*OBJECTIFS!$H$60,U$8)))),0)</f>
        <v>0</v>
      </c>
      <c r="V105" s="25"/>
      <c r="W105" s="90" t="str">
        <f>IF(OR($A105="",$D105="",V105=""),"",SUMIFS(OBJECTIFS!H$9:H$39,OBJECTIFS!$A$9:$A$39,$D105,OBJECTIFS!$C$9:$C$39,$F105))</f>
        <v/>
      </c>
      <c r="X105" s="90" t="str">
        <f>IF(OR(AND($D105=OBJECTIFS!$B$6,OBJECTIFS!H$8="dmt"),AND($D105=OBJECTIFS!$B$13,OBJECTIFS!$H$15="dmt"),AND($D105=OBJECTIFS!$B$20,OBJECTIFS!$H$22="dmt"),AND($D105=OBJECTIFS!$B$27,OBJECTIFS!$H$29="dmt"),AND($D105=OBJECTIFS!$B$34,OBJECTIFS!$H$36="dmt"),AND($D105=OBJECTIFS!$B$6,OBJECTIFS!$H$8="taux de chute"),AND($D105=OBJECTIFS!$B$13,OBJECTIFS!$H$15="taux de chute"),AND($D105=OBJECTIFS!$B$20,OBJECTIFS!$H$22="taux de chute"),AND($D105=OBJECTIFS!$B$27,OBJECTIFS!$H$29="taux de chute"),AND($D105=OBJECTIFS!$B$34,OBJECTIFS!$H$36="taux de chute")),IFERROR(W105/V105,""),IFERROR(V105/W105,""))</f>
        <v/>
      </c>
      <c r="Y105" s="91">
        <f>IFERROR(IF(OR(V105="",W105="",X105=""),0,IF(X105&lt;OBJECTIFS!$E$56,0,IF(X105&lt;OBJECTIFS!$G$56,Y$8*OBJECTIFS!$F$60,IF(X105&lt;OBJECTIFS!$I$56,Y$8*OBJECTIFS!$H$60,Y$8)))),0)</f>
        <v>0</v>
      </c>
      <c r="Z105" s="167"/>
      <c r="AA105" s="90" t="str">
        <f>IF(OR($A105="",$D105="",Z105=""),"",SUMIFS(OBJECTIFS!I$9:I$39,OBJECTIFS!$A$9:$A$39,$D105,OBJECTIFS!$C$9:$C$39,$F105))</f>
        <v/>
      </c>
      <c r="AB105" s="90" t="str">
        <f>IF(OR(AND($D105=OBJECTIFS!$B$6,OBJECTIFS!I$8="dmt"),AND($D105=OBJECTIFS!$B$13,OBJECTIFS!$I$15="dmt"),AND($D105=OBJECTIFS!$B$20,OBJECTIFS!$I$22="dmt"),AND($D105=OBJECTIFS!$B$27,OBJECTIFS!$I$29="dmt"),AND($D105=OBJECTIFS!$B$34,OBJECTIFS!$I$36="dmt"),AND($D105=OBJECTIFS!$B$6,OBJECTIFS!$I$8="taux de chute"),AND($D105=OBJECTIFS!$B$13,OBJECTIFS!$I$15="taux de chute"),AND($D105=OBJECTIFS!$B$20,OBJECTIFS!$I$22="taux de chute"),AND($D105=OBJECTIFS!$B$27,OBJECTIFS!$I$29="taux de chute"),AND($D105=OBJECTIFS!$B$34,OBJECTIFS!$I$36="taux de chute")),IFERROR(AA105/Z105,""),IFERROR(Z105/AA105,""))</f>
        <v/>
      </c>
      <c r="AC105" s="95">
        <f>IFERROR(IF(OR(Z105="",AA105="",AB105=""),0,IF(AB105&lt;OBJECTIFS!$E$56,0,IF(AB105&lt;OBJECTIFS!$G$56,AC$8*OBJECTIFS!$F$60,IF(AB105&lt;OBJECTIFS!$I$56,AC$8*OBJECTIFS!$H$60,AC$8)))),0)</f>
        <v>0</v>
      </c>
      <c r="AD105" s="186"/>
      <c r="AE105" s="187"/>
      <c r="AF105" s="96">
        <f t="shared" ca="1" si="20"/>
        <v>0</v>
      </c>
      <c r="AG105" s="63"/>
      <c r="AH105" s="186"/>
      <c r="AI105" s="24"/>
      <c r="AJ105" s="24"/>
      <c r="AK105" s="24"/>
      <c r="AL105" s="24"/>
      <c r="AM105" s="79">
        <f t="shared" si="21"/>
        <v>0</v>
      </c>
      <c r="AN105" s="79">
        <v>22</v>
      </c>
      <c r="AO105" s="80">
        <f t="shared" si="22"/>
        <v>0</v>
      </c>
      <c r="AP105" s="81" t="str">
        <f t="shared" ca="1" si="23"/>
        <v/>
      </c>
      <c r="AQ105" s="82"/>
      <c r="AR105" s="97">
        <f>IFERROR(VLOOKUP(B105,OBJECTIFS!$C$76:$E$137,2,FALSE),0)</f>
        <v>0</v>
      </c>
      <c r="AS105" s="98">
        <f>IFERROR(VLOOKUP(B105,OBJECTIFS!$H$76:$J$137,2,FALSE),0)</f>
        <v>0</v>
      </c>
      <c r="AT105" s="98">
        <f>IFERROR(VLOOKUP(B105,OBJECTIFS!$C$142:$E$203,2,FALSE),0)</f>
        <v>0</v>
      </c>
      <c r="AU105" s="98">
        <f>IFERROR(VLOOKUP(B105,OBJECTIFS!$H$142:$J$203,2,FALSE),0)</f>
        <v>0</v>
      </c>
      <c r="AV105" s="98">
        <f>IFERROR(VLOOKUP(B105,OBJECTIFS!$F$208:$H$269,3,FALSE),0)</f>
        <v>0</v>
      </c>
      <c r="AW105" s="81">
        <f t="shared" si="24"/>
        <v>0</v>
      </c>
      <c r="AX105" s="82"/>
      <c r="AY105" s="99" t="str">
        <f t="shared" ca="1" si="25"/>
        <v/>
      </c>
      <c r="AZ105" s="63"/>
      <c r="BA105" s="100">
        <f t="shared" ca="1" si="26"/>
        <v>0</v>
      </c>
      <c r="BB105" s="64" t="str">
        <f t="shared" ca="1" si="27"/>
        <v/>
      </c>
      <c r="BC105" s="101" t="str">
        <f t="shared" ca="1" si="28"/>
        <v/>
      </c>
    </row>
    <row r="106" spans="1:55" x14ac:dyDescent="0.2">
      <c r="A106" s="21"/>
      <c r="B106" s="22"/>
      <c r="C106" s="22"/>
      <c r="D106" s="23"/>
      <c r="E106" s="24"/>
      <c r="F106" s="34"/>
      <c r="H106" s="89" t="str">
        <f>IF(OR(D106="",F106="",A106=""),"",IF(E106="oui",0,IF(D106=OBJECTIFS!$C$45,VLOOKUP(F106,OBJECTIFS!$C$9:$D$11,2,FALSE),IF(D106=OBJECTIFS!$C$46,VLOOKUP(F106,OBJECTIFS!$C$16:$D$18,2,FALSE),IF(D106=OBJECTIFS!$C$47,VLOOKUP(F106,OBJECTIFS!$C$23:$D$25,2,FALSE),IF(D106=OBJECTIFS!$C$48,VLOOKUP(F106,OBJECTIFS!$C$30:$D$32,2,FALSE),IF(D106=OBJECTIFS!$C$49,VLOOKUP(F106,OBJECTIFS!$C$37:$D$39,2,FALSE))))))))</f>
        <v/>
      </c>
      <c r="J106" s="25"/>
      <c r="K106" s="90" t="str">
        <f>IF(OR($A106="",$D106="",J106=""),"",SUMIFS(OBJECTIFS!E$9:E$39,OBJECTIFS!$A$9:$A$39,$D106,OBJECTIFS!$C$9:$C$39,$F106))</f>
        <v/>
      </c>
      <c r="L106" s="90" t="str">
        <f>IF(OR(AND($D106=OBJECTIFS!$B$6,OBJECTIFS!E$8="dmt"),AND($D106=OBJECTIFS!$B$13,OBJECTIFS!$E$15="dmt"),AND($D106=OBJECTIFS!$B$20,OBJECTIFS!$E$22="dmt"),AND($D106=OBJECTIFS!$B$27,OBJECTIFS!$E$29="dmt"),AND($D106=OBJECTIFS!$B$34,OBJECTIFS!$E$36="dmt"),AND($D106=OBJECTIFS!$B$6,OBJECTIFS!$E$8="taux de chute"),AND($D106=OBJECTIFS!$B$13,OBJECTIFS!$E$15="taux de chute"),AND($D106=OBJECTIFS!$B$20,OBJECTIFS!$E$22="taux de chute"),AND($D106=OBJECTIFS!$B$27,OBJECTIFS!$E$29="taux de chute"),AND($D106=OBJECTIFS!$B$34,OBJECTIFS!$E$36="taux de chute")),IFERROR(K106/J106,""),IFERROR(J106/K106,""))</f>
        <v/>
      </c>
      <c r="M106" s="91">
        <f>IFERROR(IF(OR(J106="",K106="",L106=""),0,IF(L106&lt;OBJECTIFS!$E$56,0,IF(L106&lt;OBJECTIFS!$G$56,M$8*OBJECTIFS!$F$60,IF(L106&lt;OBJECTIFS!$I$56,M$8*OBJECTIFS!$H$60,M$8)))),0)</f>
        <v>0</v>
      </c>
      <c r="N106" s="161"/>
      <c r="O106" s="92" t="str">
        <f>IF(OR($A106="",$D106="",N106=""),"",SUMIFS(OBJECTIFS!F$9:F$39,OBJECTIFS!$A$9:$A$39,$D106,OBJECTIFS!$C$9:$C$39,$F106))</f>
        <v/>
      </c>
      <c r="P106" s="90" t="str">
        <f>IF(OR(AND($D106=OBJECTIFS!$B$6,OBJECTIFS!$F$8="dmt"),AND($D106=OBJECTIFS!$B$13,OBJECTIFS!$F$15="dmt"),AND($D106=OBJECTIFS!$B$20,OBJECTIFS!$F$22="dmt"),AND($D106=OBJECTIFS!$B$27,OBJECTIFS!$F$29="dmt"),AND($D106=OBJECTIFS!$B$34,OBJECTIFS!$F$36="dmt"),AND($D106=OBJECTIFS!$B$6,OBJECTIFS!$F$8="taux de chute"),AND($D106=OBJECTIFS!$B$13,OBJECTIFS!$F$15="taux de chute"),AND($D106=OBJECTIFS!$B$20,OBJECTIFS!$F$22="taux de chute"),AND($D106=OBJECTIFS!$B$27,OBJECTIFS!$F$29="taux de chute"),AND($D106=OBJECTIFS!$B$34,OBJECTIFS!$F$36="taux de chute")),IFERROR(O106/N106,""),IFERROR(N106/O106,""))</f>
        <v/>
      </c>
      <c r="Q106" s="91">
        <f>IFERROR(IF(OR(N106="",O106="",P106=""),0,IF(P106&lt;OBJECTIFS!$E$56,0,IF(P106&lt;OBJECTIFS!$G$56,Q$8*OBJECTIFS!$F$60,IF(P106&lt;OBJECTIFS!$I$56,Q$8*OBJECTIFS!$H$60,Q$8)))),0)</f>
        <v>0</v>
      </c>
      <c r="R106" s="164"/>
      <c r="S106" s="93" t="str">
        <f>IF(OR($A106="",$D106="",R106=""),"",SUMIFS(OBJECTIFS!G$9:G$39,OBJECTIFS!$A$9:$A$39,$D106,OBJECTIFS!$C$9:$C$39,$F106))</f>
        <v/>
      </c>
      <c r="T106" s="90" t="str">
        <f>IF(OR(AND($D106=OBJECTIFS!$B$6,OBJECTIFS!G$8="dmt"),AND($D106=OBJECTIFS!$B$13,OBJECTIFS!$G$15="dmt"),AND($D106=OBJECTIFS!$B$20,OBJECTIFS!$G$22="dmt"),AND($D106=OBJECTIFS!$B$27,OBJECTIFS!$G$29="dmt"),AND($D106=OBJECTIFS!$B$34,OBJECTIFS!$G$36="dmt"),AND($D106=OBJECTIFS!$B$6,OBJECTIFS!$G$8="taux de chute"),AND($D106=OBJECTIFS!$B$13,OBJECTIFS!$G$15="taux de chute"),AND($D106=OBJECTIFS!$B$20,OBJECTIFS!$G$22="taux de chute"),AND($D106=OBJECTIFS!$B$27,OBJECTIFS!$G$29="taux de chute"),AND($D106=OBJECTIFS!$B$34,OBJECTIFS!$G$36="taux de chute")),IFERROR(S106/R106,""),IFERROR(R106/S106,""))</f>
        <v/>
      </c>
      <c r="U106" s="94">
        <f>IFERROR(IF(OR(R106="",S106="",T106=""),0,IF(T106&lt;OBJECTIFS!$E$56,0,IF(T106&lt;OBJECTIFS!$G$56,U$8*OBJECTIFS!$F$60,IF(T106&lt;OBJECTIFS!$I$56,U$8*OBJECTIFS!$H$60,U$8)))),0)</f>
        <v>0</v>
      </c>
      <c r="V106" s="25"/>
      <c r="W106" s="90" t="str">
        <f>IF(OR($A106="",$D106="",V106=""),"",SUMIFS(OBJECTIFS!H$9:H$39,OBJECTIFS!$A$9:$A$39,$D106,OBJECTIFS!$C$9:$C$39,$F106))</f>
        <v/>
      </c>
      <c r="X106" s="90" t="str">
        <f>IF(OR(AND($D106=OBJECTIFS!$B$6,OBJECTIFS!H$8="dmt"),AND($D106=OBJECTIFS!$B$13,OBJECTIFS!$H$15="dmt"),AND($D106=OBJECTIFS!$B$20,OBJECTIFS!$H$22="dmt"),AND($D106=OBJECTIFS!$B$27,OBJECTIFS!$H$29="dmt"),AND($D106=OBJECTIFS!$B$34,OBJECTIFS!$H$36="dmt"),AND($D106=OBJECTIFS!$B$6,OBJECTIFS!$H$8="taux de chute"),AND($D106=OBJECTIFS!$B$13,OBJECTIFS!$H$15="taux de chute"),AND($D106=OBJECTIFS!$B$20,OBJECTIFS!$H$22="taux de chute"),AND($D106=OBJECTIFS!$B$27,OBJECTIFS!$H$29="taux de chute"),AND($D106=OBJECTIFS!$B$34,OBJECTIFS!$H$36="taux de chute")),IFERROR(W106/V106,""),IFERROR(V106/W106,""))</f>
        <v/>
      </c>
      <c r="Y106" s="91">
        <f>IFERROR(IF(OR(V106="",W106="",X106=""),0,IF(X106&lt;OBJECTIFS!$E$56,0,IF(X106&lt;OBJECTIFS!$G$56,Y$8*OBJECTIFS!$F$60,IF(X106&lt;OBJECTIFS!$I$56,Y$8*OBJECTIFS!$H$60,Y$8)))),0)</f>
        <v>0</v>
      </c>
      <c r="Z106" s="167"/>
      <c r="AA106" s="90" t="str">
        <f>IF(OR($A106="",$D106="",Z106=""),"",SUMIFS(OBJECTIFS!I$9:I$39,OBJECTIFS!$A$9:$A$39,$D106,OBJECTIFS!$C$9:$C$39,$F106))</f>
        <v/>
      </c>
      <c r="AB106" s="90" t="str">
        <f>IF(OR(AND($D106=OBJECTIFS!$B$6,OBJECTIFS!I$8="dmt"),AND($D106=OBJECTIFS!$B$13,OBJECTIFS!$I$15="dmt"),AND($D106=OBJECTIFS!$B$20,OBJECTIFS!$I$22="dmt"),AND($D106=OBJECTIFS!$B$27,OBJECTIFS!$I$29="dmt"),AND($D106=OBJECTIFS!$B$34,OBJECTIFS!$I$36="dmt"),AND($D106=OBJECTIFS!$B$6,OBJECTIFS!$I$8="taux de chute"),AND($D106=OBJECTIFS!$B$13,OBJECTIFS!$I$15="taux de chute"),AND($D106=OBJECTIFS!$B$20,OBJECTIFS!$I$22="taux de chute"),AND($D106=OBJECTIFS!$B$27,OBJECTIFS!$I$29="taux de chute"),AND($D106=OBJECTIFS!$B$34,OBJECTIFS!$I$36="taux de chute")),IFERROR(AA106/Z106,""),IFERROR(Z106/AA106,""))</f>
        <v/>
      </c>
      <c r="AC106" s="95">
        <f>IFERROR(IF(OR(Z106="",AA106="",AB106=""),0,IF(AB106&lt;OBJECTIFS!$E$56,0,IF(AB106&lt;OBJECTIFS!$G$56,AC$8*OBJECTIFS!$F$60,IF(AB106&lt;OBJECTIFS!$I$56,AC$8*OBJECTIFS!$H$60,AC$8)))),0)</f>
        <v>0</v>
      </c>
      <c r="AD106" s="186"/>
      <c r="AE106" s="187"/>
      <c r="AF106" s="96">
        <f t="shared" ca="1" si="20"/>
        <v>0</v>
      </c>
      <c r="AG106" s="63"/>
      <c r="AH106" s="186"/>
      <c r="AI106" s="24"/>
      <c r="AJ106" s="24"/>
      <c r="AK106" s="24"/>
      <c r="AL106" s="24"/>
      <c r="AM106" s="79">
        <f t="shared" si="21"/>
        <v>0</v>
      </c>
      <c r="AN106" s="79">
        <v>22</v>
      </c>
      <c r="AO106" s="80">
        <f t="shared" si="22"/>
        <v>0</v>
      </c>
      <c r="AP106" s="81" t="str">
        <f t="shared" ca="1" si="23"/>
        <v/>
      </c>
      <c r="AQ106" s="82"/>
      <c r="AR106" s="97">
        <f>IFERROR(VLOOKUP(B106,OBJECTIFS!$C$76:$E$137,2,FALSE),0)</f>
        <v>0</v>
      </c>
      <c r="AS106" s="98">
        <f>IFERROR(VLOOKUP(B106,OBJECTIFS!$H$76:$J$137,2,FALSE),0)</f>
        <v>0</v>
      </c>
      <c r="AT106" s="98">
        <f>IFERROR(VLOOKUP(B106,OBJECTIFS!$C$142:$E$203,2,FALSE),0)</f>
        <v>0</v>
      </c>
      <c r="AU106" s="98">
        <f>IFERROR(VLOOKUP(B106,OBJECTIFS!$H$142:$J$203,2,FALSE),0)</f>
        <v>0</v>
      </c>
      <c r="AV106" s="98">
        <f>IFERROR(VLOOKUP(B106,OBJECTIFS!$F$208:$H$269,3,FALSE),0)</f>
        <v>0</v>
      </c>
      <c r="AW106" s="81">
        <f t="shared" si="24"/>
        <v>0</v>
      </c>
      <c r="AX106" s="82"/>
      <c r="AY106" s="99" t="str">
        <f t="shared" ca="1" si="25"/>
        <v/>
      </c>
      <c r="AZ106" s="63"/>
      <c r="BA106" s="100">
        <f t="shared" ca="1" si="26"/>
        <v>0</v>
      </c>
      <c r="BB106" s="64" t="str">
        <f t="shared" ca="1" si="27"/>
        <v/>
      </c>
      <c r="BC106" s="101" t="str">
        <f t="shared" ca="1" si="28"/>
        <v/>
      </c>
    </row>
    <row r="107" spans="1:55" x14ac:dyDescent="0.2">
      <c r="A107" s="21"/>
      <c r="B107" s="22"/>
      <c r="C107" s="22"/>
      <c r="D107" s="23"/>
      <c r="E107" s="24"/>
      <c r="F107" s="34"/>
      <c r="H107" s="89" t="str">
        <f>IF(OR(D107="",F107="",A107=""),"",IF(E107="oui",0,IF(D107=OBJECTIFS!$C$45,VLOOKUP(F107,OBJECTIFS!$C$9:$D$11,2,FALSE),IF(D107=OBJECTIFS!$C$46,VLOOKUP(F107,OBJECTIFS!$C$16:$D$18,2,FALSE),IF(D107=OBJECTIFS!$C$47,VLOOKUP(F107,OBJECTIFS!$C$23:$D$25,2,FALSE),IF(D107=OBJECTIFS!$C$48,VLOOKUP(F107,OBJECTIFS!$C$30:$D$32,2,FALSE),IF(D107=OBJECTIFS!$C$49,VLOOKUP(F107,OBJECTIFS!$C$37:$D$39,2,FALSE))))))))</f>
        <v/>
      </c>
      <c r="J107" s="25"/>
      <c r="K107" s="90" t="str">
        <f>IF(OR($A107="",$D107="",J107=""),"",SUMIFS(OBJECTIFS!E$9:E$39,OBJECTIFS!$A$9:$A$39,$D107,OBJECTIFS!$C$9:$C$39,$F107))</f>
        <v/>
      </c>
      <c r="L107" s="90" t="str">
        <f>IF(OR(AND($D107=OBJECTIFS!$B$6,OBJECTIFS!E$8="dmt"),AND($D107=OBJECTIFS!$B$13,OBJECTIFS!$E$15="dmt"),AND($D107=OBJECTIFS!$B$20,OBJECTIFS!$E$22="dmt"),AND($D107=OBJECTIFS!$B$27,OBJECTIFS!$E$29="dmt"),AND($D107=OBJECTIFS!$B$34,OBJECTIFS!$E$36="dmt"),AND($D107=OBJECTIFS!$B$6,OBJECTIFS!$E$8="taux de chute"),AND($D107=OBJECTIFS!$B$13,OBJECTIFS!$E$15="taux de chute"),AND($D107=OBJECTIFS!$B$20,OBJECTIFS!$E$22="taux de chute"),AND($D107=OBJECTIFS!$B$27,OBJECTIFS!$E$29="taux de chute"),AND($D107=OBJECTIFS!$B$34,OBJECTIFS!$E$36="taux de chute")),IFERROR(K107/J107,""),IFERROR(J107/K107,""))</f>
        <v/>
      </c>
      <c r="M107" s="91">
        <f>IFERROR(IF(OR(J107="",K107="",L107=""),0,IF(L107&lt;OBJECTIFS!$E$56,0,IF(L107&lt;OBJECTIFS!$G$56,M$8*OBJECTIFS!$F$60,IF(L107&lt;OBJECTIFS!$I$56,M$8*OBJECTIFS!$H$60,M$8)))),0)</f>
        <v>0</v>
      </c>
      <c r="N107" s="161"/>
      <c r="O107" s="92" t="str">
        <f>IF(OR($A107="",$D107="",N107=""),"",SUMIFS(OBJECTIFS!F$9:F$39,OBJECTIFS!$A$9:$A$39,$D107,OBJECTIFS!$C$9:$C$39,$F107))</f>
        <v/>
      </c>
      <c r="P107" s="90" t="str">
        <f>IF(OR(AND($D107=OBJECTIFS!$B$6,OBJECTIFS!$F$8="dmt"),AND($D107=OBJECTIFS!$B$13,OBJECTIFS!$F$15="dmt"),AND($D107=OBJECTIFS!$B$20,OBJECTIFS!$F$22="dmt"),AND($D107=OBJECTIFS!$B$27,OBJECTIFS!$F$29="dmt"),AND($D107=OBJECTIFS!$B$34,OBJECTIFS!$F$36="dmt"),AND($D107=OBJECTIFS!$B$6,OBJECTIFS!$F$8="taux de chute"),AND($D107=OBJECTIFS!$B$13,OBJECTIFS!$F$15="taux de chute"),AND($D107=OBJECTIFS!$B$20,OBJECTIFS!$F$22="taux de chute"),AND($D107=OBJECTIFS!$B$27,OBJECTIFS!$F$29="taux de chute"),AND($D107=OBJECTIFS!$B$34,OBJECTIFS!$F$36="taux de chute")),IFERROR(O107/N107,""),IFERROR(N107/O107,""))</f>
        <v/>
      </c>
      <c r="Q107" s="91">
        <f>IFERROR(IF(OR(N107="",O107="",P107=""),0,IF(P107&lt;OBJECTIFS!$E$56,0,IF(P107&lt;OBJECTIFS!$G$56,Q$8*OBJECTIFS!$F$60,IF(P107&lt;OBJECTIFS!$I$56,Q$8*OBJECTIFS!$H$60,Q$8)))),0)</f>
        <v>0</v>
      </c>
      <c r="R107" s="164"/>
      <c r="S107" s="93" t="str">
        <f>IF(OR($A107="",$D107="",R107=""),"",SUMIFS(OBJECTIFS!G$9:G$39,OBJECTIFS!$A$9:$A$39,$D107,OBJECTIFS!$C$9:$C$39,$F107))</f>
        <v/>
      </c>
      <c r="T107" s="90" t="str">
        <f>IF(OR(AND($D107=OBJECTIFS!$B$6,OBJECTIFS!G$8="dmt"),AND($D107=OBJECTIFS!$B$13,OBJECTIFS!$G$15="dmt"),AND($D107=OBJECTIFS!$B$20,OBJECTIFS!$G$22="dmt"),AND($D107=OBJECTIFS!$B$27,OBJECTIFS!$G$29="dmt"),AND($D107=OBJECTIFS!$B$34,OBJECTIFS!$G$36="dmt"),AND($D107=OBJECTIFS!$B$6,OBJECTIFS!$G$8="taux de chute"),AND($D107=OBJECTIFS!$B$13,OBJECTIFS!$G$15="taux de chute"),AND($D107=OBJECTIFS!$B$20,OBJECTIFS!$G$22="taux de chute"),AND($D107=OBJECTIFS!$B$27,OBJECTIFS!$G$29="taux de chute"),AND($D107=OBJECTIFS!$B$34,OBJECTIFS!$G$36="taux de chute")),IFERROR(S107/R107,""),IFERROR(R107/S107,""))</f>
        <v/>
      </c>
      <c r="U107" s="94">
        <f>IFERROR(IF(OR(R107="",S107="",T107=""),0,IF(T107&lt;OBJECTIFS!$E$56,0,IF(T107&lt;OBJECTIFS!$G$56,U$8*OBJECTIFS!$F$60,IF(T107&lt;OBJECTIFS!$I$56,U$8*OBJECTIFS!$H$60,U$8)))),0)</f>
        <v>0</v>
      </c>
      <c r="V107" s="25"/>
      <c r="W107" s="90" t="str">
        <f>IF(OR($A107="",$D107="",V107=""),"",SUMIFS(OBJECTIFS!H$9:H$39,OBJECTIFS!$A$9:$A$39,$D107,OBJECTIFS!$C$9:$C$39,$F107))</f>
        <v/>
      </c>
      <c r="X107" s="90" t="str">
        <f>IF(OR(AND($D107=OBJECTIFS!$B$6,OBJECTIFS!H$8="dmt"),AND($D107=OBJECTIFS!$B$13,OBJECTIFS!$H$15="dmt"),AND($D107=OBJECTIFS!$B$20,OBJECTIFS!$H$22="dmt"),AND($D107=OBJECTIFS!$B$27,OBJECTIFS!$H$29="dmt"),AND($D107=OBJECTIFS!$B$34,OBJECTIFS!$H$36="dmt"),AND($D107=OBJECTIFS!$B$6,OBJECTIFS!$H$8="taux de chute"),AND($D107=OBJECTIFS!$B$13,OBJECTIFS!$H$15="taux de chute"),AND($D107=OBJECTIFS!$B$20,OBJECTIFS!$H$22="taux de chute"),AND($D107=OBJECTIFS!$B$27,OBJECTIFS!$H$29="taux de chute"),AND($D107=OBJECTIFS!$B$34,OBJECTIFS!$H$36="taux de chute")),IFERROR(W107/V107,""),IFERROR(V107/W107,""))</f>
        <v/>
      </c>
      <c r="Y107" s="91">
        <f>IFERROR(IF(OR(V107="",W107="",X107=""),0,IF(X107&lt;OBJECTIFS!$E$56,0,IF(X107&lt;OBJECTIFS!$G$56,Y$8*OBJECTIFS!$F$60,IF(X107&lt;OBJECTIFS!$I$56,Y$8*OBJECTIFS!$H$60,Y$8)))),0)</f>
        <v>0</v>
      </c>
      <c r="Z107" s="167"/>
      <c r="AA107" s="90" t="str">
        <f>IF(OR($A107="",$D107="",Z107=""),"",SUMIFS(OBJECTIFS!I$9:I$39,OBJECTIFS!$A$9:$A$39,$D107,OBJECTIFS!$C$9:$C$39,$F107))</f>
        <v/>
      </c>
      <c r="AB107" s="90" t="str">
        <f>IF(OR(AND($D107=OBJECTIFS!$B$6,OBJECTIFS!I$8="dmt"),AND($D107=OBJECTIFS!$B$13,OBJECTIFS!$I$15="dmt"),AND($D107=OBJECTIFS!$B$20,OBJECTIFS!$I$22="dmt"),AND($D107=OBJECTIFS!$B$27,OBJECTIFS!$I$29="dmt"),AND($D107=OBJECTIFS!$B$34,OBJECTIFS!$I$36="dmt"),AND($D107=OBJECTIFS!$B$6,OBJECTIFS!$I$8="taux de chute"),AND($D107=OBJECTIFS!$B$13,OBJECTIFS!$I$15="taux de chute"),AND($D107=OBJECTIFS!$B$20,OBJECTIFS!$I$22="taux de chute"),AND($D107=OBJECTIFS!$B$27,OBJECTIFS!$I$29="taux de chute"),AND($D107=OBJECTIFS!$B$34,OBJECTIFS!$I$36="taux de chute")),IFERROR(AA107/Z107,""),IFERROR(Z107/AA107,""))</f>
        <v/>
      </c>
      <c r="AC107" s="95">
        <f>IFERROR(IF(OR(Z107="",AA107="",AB107=""),0,IF(AB107&lt;OBJECTIFS!$E$56,0,IF(AB107&lt;OBJECTIFS!$G$56,AC$8*OBJECTIFS!$F$60,IF(AB107&lt;OBJECTIFS!$I$56,AC$8*OBJECTIFS!$H$60,AC$8)))),0)</f>
        <v>0</v>
      </c>
      <c r="AD107" s="186"/>
      <c r="AE107" s="187"/>
      <c r="AF107" s="96">
        <f t="shared" ca="1" si="20"/>
        <v>0</v>
      </c>
      <c r="AG107" s="63"/>
      <c r="AH107" s="186"/>
      <c r="AI107" s="24"/>
      <c r="AJ107" s="24"/>
      <c r="AK107" s="24"/>
      <c r="AL107" s="24"/>
      <c r="AM107" s="79">
        <f t="shared" si="21"/>
        <v>0</v>
      </c>
      <c r="AN107" s="79">
        <v>22</v>
      </c>
      <c r="AO107" s="80">
        <f t="shared" si="22"/>
        <v>0</v>
      </c>
      <c r="AP107" s="81" t="str">
        <f t="shared" ca="1" si="23"/>
        <v/>
      </c>
      <c r="AQ107" s="82"/>
      <c r="AR107" s="97">
        <f>IFERROR(VLOOKUP(B107,OBJECTIFS!$C$76:$E$137,2,FALSE),0)</f>
        <v>0</v>
      </c>
      <c r="AS107" s="98">
        <f>IFERROR(VLOOKUP(B107,OBJECTIFS!$H$76:$J$137,2,FALSE),0)</f>
        <v>0</v>
      </c>
      <c r="AT107" s="98">
        <f>IFERROR(VLOOKUP(B107,OBJECTIFS!$C$142:$E$203,2,FALSE),0)</f>
        <v>0</v>
      </c>
      <c r="AU107" s="98">
        <f>IFERROR(VLOOKUP(B107,OBJECTIFS!$H$142:$J$203,2,FALSE),0)</f>
        <v>0</v>
      </c>
      <c r="AV107" s="98">
        <f>IFERROR(VLOOKUP(B107,OBJECTIFS!$F$208:$H$269,3,FALSE),0)</f>
        <v>0</v>
      </c>
      <c r="AW107" s="81">
        <f t="shared" si="24"/>
        <v>0</v>
      </c>
      <c r="AX107" s="82"/>
      <c r="AY107" s="99" t="str">
        <f t="shared" ca="1" si="25"/>
        <v/>
      </c>
      <c r="AZ107" s="63"/>
      <c r="BA107" s="100">
        <f t="shared" ca="1" si="26"/>
        <v>0</v>
      </c>
      <c r="BB107" s="64" t="str">
        <f t="shared" ca="1" si="27"/>
        <v/>
      </c>
      <c r="BC107" s="101" t="str">
        <f t="shared" ca="1" si="28"/>
        <v/>
      </c>
    </row>
    <row r="108" spans="1:55" x14ac:dyDescent="0.2">
      <c r="A108" s="21"/>
      <c r="B108" s="22"/>
      <c r="C108" s="22"/>
      <c r="D108" s="23"/>
      <c r="E108" s="24"/>
      <c r="F108" s="34"/>
      <c r="H108" s="89" t="str">
        <f>IF(OR(D108="",F108="",A108=""),"",IF(E108="oui",0,IF(D108=OBJECTIFS!$C$45,VLOOKUP(F108,OBJECTIFS!$C$9:$D$11,2,FALSE),IF(D108=OBJECTIFS!$C$46,VLOOKUP(F108,OBJECTIFS!$C$16:$D$18,2,FALSE),IF(D108=OBJECTIFS!$C$47,VLOOKUP(F108,OBJECTIFS!$C$23:$D$25,2,FALSE),IF(D108=OBJECTIFS!$C$48,VLOOKUP(F108,OBJECTIFS!$C$30:$D$32,2,FALSE),IF(D108=OBJECTIFS!$C$49,VLOOKUP(F108,OBJECTIFS!$C$37:$D$39,2,FALSE))))))))</f>
        <v/>
      </c>
      <c r="J108" s="25"/>
      <c r="K108" s="90" t="str">
        <f>IF(OR($A108="",$D108="",J108=""),"",SUMIFS(OBJECTIFS!E$9:E$39,OBJECTIFS!$A$9:$A$39,$D108,OBJECTIFS!$C$9:$C$39,$F108))</f>
        <v/>
      </c>
      <c r="L108" s="90" t="str">
        <f>IF(OR(AND($D108=OBJECTIFS!$B$6,OBJECTIFS!E$8="dmt"),AND($D108=OBJECTIFS!$B$13,OBJECTIFS!$E$15="dmt"),AND($D108=OBJECTIFS!$B$20,OBJECTIFS!$E$22="dmt"),AND($D108=OBJECTIFS!$B$27,OBJECTIFS!$E$29="dmt"),AND($D108=OBJECTIFS!$B$34,OBJECTIFS!$E$36="dmt"),AND($D108=OBJECTIFS!$B$6,OBJECTIFS!$E$8="taux de chute"),AND($D108=OBJECTIFS!$B$13,OBJECTIFS!$E$15="taux de chute"),AND($D108=OBJECTIFS!$B$20,OBJECTIFS!$E$22="taux de chute"),AND($D108=OBJECTIFS!$B$27,OBJECTIFS!$E$29="taux de chute"),AND($D108=OBJECTIFS!$B$34,OBJECTIFS!$E$36="taux de chute")),IFERROR(K108/J108,""),IFERROR(J108/K108,""))</f>
        <v/>
      </c>
      <c r="M108" s="91">
        <f>IFERROR(IF(OR(J108="",K108="",L108=""),0,IF(L108&lt;OBJECTIFS!$E$56,0,IF(L108&lt;OBJECTIFS!$G$56,M$8*OBJECTIFS!$F$60,IF(L108&lt;OBJECTIFS!$I$56,M$8*OBJECTIFS!$H$60,M$8)))),0)</f>
        <v>0</v>
      </c>
      <c r="N108" s="161"/>
      <c r="O108" s="92" t="str">
        <f>IF(OR($A108="",$D108="",N108=""),"",SUMIFS(OBJECTIFS!F$9:F$39,OBJECTIFS!$A$9:$A$39,$D108,OBJECTIFS!$C$9:$C$39,$F108))</f>
        <v/>
      </c>
      <c r="P108" s="90" t="str">
        <f>IF(OR(AND($D108=OBJECTIFS!$B$6,OBJECTIFS!$F$8="dmt"),AND($D108=OBJECTIFS!$B$13,OBJECTIFS!$F$15="dmt"),AND($D108=OBJECTIFS!$B$20,OBJECTIFS!$F$22="dmt"),AND($D108=OBJECTIFS!$B$27,OBJECTIFS!$F$29="dmt"),AND($D108=OBJECTIFS!$B$34,OBJECTIFS!$F$36="dmt"),AND($D108=OBJECTIFS!$B$6,OBJECTIFS!$F$8="taux de chute"),AND($D108=OBJECTIFS!$B$13,OBJECTIFS!$F$15="taux de chute"),AND($D108=OBJECTIFS!$B$20,OBJECTIFS!$F$22="taux de chute"),AND($D108=OBJECTIFS!$B$27,OBJECTIFS!$F$29="taux de chute"),AND($D108=OBJECTIFS!$B$34,OBJECTIFS!$F$36="taux de chute")),IFERROR(O108/N108,""),IFERROR(N108/O108,""))</f>
        <v/>
      </c>
      <c r="Q108" s="91">
        <f>IFERROR(IF(OR(N108="",O108="",P108=""),0,IF(P108&lt;OBJECTIFS!$E$56,0,IF(P108&lt;OBJECTIFS!$G$56,Q$8*OBJECTIFS!$F$60,IF(P108&lt;OBJECTIFS!$I$56,Q$8*OBJECTIFS!$H$60,Q$8)))),0)</f>
        <v>0</v>
      </c>
      <c r="R108" s="164"/>
      <c r="S108" s="93" t="str">
        <f>IF(OR($A108="",$D108="",R108=""),"",SUMIFS(OBJECTIFS!G$9:G$39,OBJECTIFS!$A$9:$A$39,$D108,OBJECTIFS!$C$9:$C$39,$F108))</f>
        <v/>
      </c>
      <c r="T108" s="90" t="str">
        <f>IF(OR(AND($D108=OBJECTIFS!$B$6,OBJECTIFS!G$8="dmt"),AND($D108=OBJECTIFS!$B$13,OBJECTIFS!$G$15="dmt"),AND($D108=OBJECTIFS!$B$20,OBJECTIFS!$G$22="dmt"),AND($D108=OBJECTIFS!$B$27,OBJECTIFS!$G$29="dmt"),AND($D108=OBJECTIFS!$B$34,OBJECTIFS!$G$36="dmt"),AND($D108=OBJECTIFS!$B$6,OBJECTIFS!$G$8="taux de chute"),AND($D108=OBJECTIFS!$B$13,OBJECTIFS!$G$15="taux de chute"),AND($D108=OBJECTIFS!$B$20,OBJECTIFS!$G$22="taux de chute"),AND($D108=OBJECTIFS!$B$27,OBJECTIFS!$G$29="taux de chute"),AND($D108=OBJECTIFS!$B$34,OBJECTIFS!$G$36="taux de chute")),IFERROR(S108/R108,""),IFERROR(R108/S108,""))</f>
        <v/>
      </c>
      <c r="U108" s="94">
        <f>IFERROR(IF(OR(R108="",S108="",T108=""),0,IF(T108&lt;OBJECTIFS!$E$56,0,IF(T108&lt;OBJECTIFS!$G$56,U$8*OBJECTIFS!$F$60,IF(T108&lt;OBJECTIFS!$I$56,U$8*OBJECTIFS!$H$60,U$8)))),0)</f>
        <v>0</v>
      </c>
      <c r="V108" s="25"/>
      <c r="W108" s="90" t="str">
        <f>IF(OR($A108="",$D108="",V108=""),"",SUMIFS(OBJECTIFS!H$9:H$39,OBJECTIFS!$A$9:$A$39,$D108,OBJECTIFS!$C$9:$C$39,$F108))</f>
        <v/>
      </c>
      <c r="X108" s="90" t="str">
        <f>IF(OR(AND($D108=OBJECTIFS!$B$6,OBJECTIFS!H$8="dmt"),AND($D108=OBJECTIFS!$B$13,OBJECTIFS!$H$15="dmt"),AND($D108=OBJECTIFS!$B$20,OBJECTIFS!$H$22="dmt"),AND($D108=OBJECTIFS!$B$27,OBJECTIFS!$H$29="dmt"),AND($D108=OBJECTIFS!$B$34,OBJECTIFS!$H$36="dmt"),AND($D108=OBJECTIFS!$B$6,OBJECTIFS!$H$8="taux de chute"),AND($D108=OBJECTIFS!$B$13,OBJECTIFS!$H$15="taux de chute"),AND($D108=OBJECTIFS!$B$20,OBJECTIFS!$H$22="taux de chute"),AND($D108=OBJECTIFS!$B$27,OBJECTIFS!$H$29="taux de chute"),AND($D108=OBJECTIFS!$B$34,OBJECTIFS!$H$36="taux de chute")),IFERROR(W108/V108,""),IFERROR(V108/W108,""))</f>
        <v/>
      </c>
      <c r="Y108" s="91">
        <f>IFERROR(IF(OR(V108="",W108="",X108=""),0,IF(X108&lt;OBJECTIFS!$E$56,0,IF(X108&lt;OBJECTIFS!$G$56,Y$8*OBJECTIFS!$F$60,IF(X108&lt;OBJECTIFS!$I$56,Y$8*OBJECTIFS!$H$60,Y$8)))),0)</f>
        <v>0</v>
      </c>
      <c r="Z108" s="167"/>
      <c r="AA108" s="90" t="str">
        <f>IF(OR($A108="",$D108="",Z108=""),"",SUMIFS(OBJECTIFS!I$9:I$39,OBJECTIFS!$A$9:$A$39,$D108,OBJECTIFS!$C$9:$C$39,$F108))</f>
        <v/>
      </c>
      <c r="AB108" s="90" t="str">
        <f>IF(OR(AND($D108=OBJECTIFS!$B$6,OBJECTIFS!I$8="dmt"),AND($D108=OBJECTIFS!$B$13,OBJECTIFS!$I$15="dmt"),AND($D108=OBJECTIFS!$B$20,OBJECTIFS!$I$22="dmt"),AND($D108=OBJECTIFS!$B$27,OBJECTIFS!$I$29="dmt"),AND($D108=OBJECTIFS!$B$34,OBJECTIFS!$I$36="dmt"),AND($D108=OBJECTIFS!$B$6,OBJECTIFS!$I$8="taux de chute"),AND($D108=OBJECTIFS!$B$13,OBJECTIFS!$I$15="taux de chute"),AND($D108=OBJECTIFS!$B$20,OBJECTIFS!$I$22="taux de chute"),AND($D108=OBJECTIFS!$B$27,OBJECTIFS!$I$29="taux de chute"),AND($D108=OBJECTIFS!$B$34,OBJECTIFS!$I$36="taux de chute")),IFERROR(AA108/Z108,""),IFERROR(Z108/AA108,""))</f>
        <v/>
      </c>
      <c r="AC108" s="95">
        <f>IFERROR(IF(OR(Z108="",AA108="",AB108=""),0,IF(AB108&lt;OBJECTIFS!$E$56,0,IF(AB108&lt;OBJECTIFS!$G$56,AC$8*OBJECTIFS!$F$60,IF(AB108&lt;OBJECTIFS!$I$56,AC$8*OBJECTIFS!$H$60,AC$8)))),0)</f>
        <v>0</v>
      </c>
      <c r="AD108" s="186"/>
      <c r="AE108" s="187"/>
      <c r="AF108" s="96">
        <f t="shared" ca="1" si="20"/>
        <v>0</v>
      </c>
      <c r="AG108" s="63"/>
      <c r="AH108" s="186"/>
      <c r="AI108" s="24"/>
      <c r="AJ108" s="24"/>
      <c r="AK108" s="24"/>
      <c r="AL108" s="24"/>
      <c r="AM108" s="79">
        <f t="shared" si="21"/>
        <v>0</v>
      </c>
      <c r="AN108" s="79">
        <v>22</v>
      </c>
      <c r="AO108" s="80">
        <f t="shared" si="22"/>
        <v>0</v>
      </c>
      <c r="AP108" s="81" t="str">
        <f t="shared" ca="1" si="23"/>
        <v/>
      </c>
      <c r="AQ108" s="82"/>
      <c r="AR108" s="97">
        <f>IFERROR(VLOOKUP(B108,OBJECTIFS!$C$76:$E$137,2,FALSE),0)</f>
        <v>0</v>
      </c>
      <c r="AS108" s="98">
        <f>IFERROR(VLOOKUP(B108,OBJECTIFS!$H$76:$J$137,2,FALSE),0)</f>
        <v>0</v>
      </c>
      <c r="AT108" s="98">
        <f>IFERROR(VLOOKUP(B108,OBJECTIFS!$C$142:$E$203,2,FALSE),0)</f>
        <v>0</v>
      </c>
      <c r="AU108" s="98">
        <f>IFERROR(VLOOKUP(B108,OBJECTIFS!$H$142:$J$203,2,FALSE),0)</f>
        <v>0</v>
      </c>
      <c r="AV108" s="98">
        <f>IFERROR(VLOOKUP(B108,OBJECTIFS!$F$208:$H$269,3,FALSE),0)</f>
        <v>0</v>
      </c>
      <c r="AW108" s="81">
        <f t="shared" si="24"/>
        <v>0</v>
      </c>
      <c r="AX108" s="82"/>
      <c r="AY108" s="99" t="str">
        <f t="shared" ca="1" si="25"/>
        <v/>
      </c>
      <c r="AZ108" s="63"/>
      <c r="BA108" s="100">
        <f t="shared" ca="1" si="26"/>
        <v>0</v>
      </c>
      <c r="BB108" s="64" t="str">
        <f t="shared" ca="1" si="27"/>
        <v/>
      </c>
      <c r="BC108" s="101" t="str">
        <f t="shared" ca="1" si="28"/>
        <v/>
      </c>
    </row>
    <row r="109" spans="1:55" x14ac:dyDescent="0.2">
      <c r="A109" s="21"/>
      <c r="B109" s="22"/>
      <c r="C109" s="22"/>
      <c r="D109" s="23"/>
      <c r="E109" s="24"/>
      <c r="F109" s="34"/>
      <c r="H109" s="89" t="str">
        <f>IF(OR(D109="",F109="",A109=""),"",IF(E109="oui",0,IF(D109=OBJECTIFS!$C$45,VLOOKUP(F109,OBJECTIFS!$C$9:$D$11,2,FALSE),IF(D109=OBJECTIFS!$C$46,VLOOKUP(F109,OBJECTIFS!$C$16:$D$18,2,FALSE),IF(D109=OBJECTIFS!$C$47,VLOOKUP(F109,OBJECTIFS!$C$23:$D$25,2,FALSE),IF(D109=OBJECTIFS!$C$48,VLOOKUP(F109,OBJECTIFS!$C$30:$D$32,2,FALSE),IF(D109=OBJECTIFS!$C$49,VLOOKUP(F109,OBJECTIFS!$C$37:$D$39,2,FALSE))))))))</f>
        <v/>
      </c>
      <c r="J109" s="25"/>
      <c r="K109" s="90" t="str">
        <f>IF(OR($A109="",$D109="",J109=""),"",SUMIFS(OBJECTIFS!E$9:E$39,OBJECTIFS!$A$9:$A$39,$D109,OBJECTIFS!$C$9:$C$39,$F109))</f>
        <v/>
      </c>
      <c r="L109" s="90" t="str">
        <f>IF(OR(AND($D109=OBJECTIFS!$B$6,OBJECTIFS!E$8="dmt"),AND($D109=OBJECTIFS!$B$13,OBJECTIFS!$E$15="dmt"),AND($D109=OBJECTIFS!$B$20,OBJECTIFS!$E$22="dmt"),AND($D109=OBJECTIFS!$B$27,OBJECTIFS!$E$29="dmt"),AND($D109=OBJECTIFS!$B$34,OBJECTIFS!$E$36="dmt"),AND($D109=OBJECTIFS!$B$6,OBJECTIFS!$E$8="taux de chute"),AND($D109=OBJECTIFS!$B$13,OBJECTIFS!$E$15="taux de chute"),AND($D109=OBJECTIFS!$B$20,OBJECTIFS!$E$22="taux de chute"),AND($D109=OBJECTIFS!$B$27,OBJECTIFS!$E$29="taux de chute"),AND($D109=OBJECTIFS!$B$34,OBJECTIFS!$E$36="taux de chute")),IFERROR(K109/J109,""),IFERROR(J109/K109,""))</f>
        <v/>
      </c>
      <c r="M109" s="91">
        <f>IFERROR(IF(OR(J109="",K109="",L109=""),0,IF(L109&lt;OBJECTIFS!$E$56,0,IF(L109&lt;OBJECTIFS!$G$56,M$8*OBJECTIFS!$F$60,IF(L109&lt;OBJECTIFS!$I$56,M$8*OBJECTIFS!$H$60,M$8)))),0)</f>
        <v>0</v>
      </c>
      <c r="N109" s="161"/>
      <c r="O109" s="92" t="str">
        <f>IF(OR($A109="",$D109="",N109=""),"",SUMIFS(OBJECTIFS!F$9:F$39,OBJECTIFS!$A$9:$A$39,$D109,OBJECTIFS!$C$9:$C$39,$F109))</f>
        <v/>
      </c>
      <c r="P109" s="90" t="str">
        <f>IF(OR(AND($D109=OBJECTIFS!$B$6,OBJECTIFS!$F$8="dmt"),AND($D109=OBJECTIFS!$B$13,OBJECTIFS!$F$15="dmt"),AND($D109=OBJECTIFS!$B$20,OBJECTIFS!$F$22="dmt"),AND($D109=OBJECTIFS!$B$27,OBJECTIFS!$F$29="dmt"),AND($D109=OBJECTIFS!$B$34,OBJECTIFS!$F$36="dmt"),AND($D109=OBJECTIFS!$B$6,OBJECTIFS!$F$8="taux de chute"),AND($D109=OBJECTIFS!$B$13,OBJECTIFS!$F$15="taux de chute"),AND($D109=OBJECTIFS!$B$20,OBJECTIFS!$F$22="taux de chute"),AND($D109=OBJECTIFS!$B$27,OBJECTIFS!$F$29="taux de chute"),AND($D109=OBJECTIFS!$B$34,OBJECTIFS!$F$36="taux de chute")),IFERROR(O109/N109,""),IFERROR(N109/O109,""))</f>
        <v/>
      </c>
      <c r="Q109" s="91">
        <f>IFERROR(IF(OR(N109="",O109="",P109=""),0,IF(P109&lt;OBJECTIFS!$E$56,0,IF(P109&lt;OBJECTIFS!$G$56,Q$8*OBJECTIFS!$F$60,IF(P109&lt;OBJECTIFS!$I$56,Q$8*OBJECTIFS!$H$60,Q$8)))),0)</f>
        <v>0</v>
      </c>
      <c r="R109" s="164"/>
      <c r="S109" s="93" t="str">
        <f>IF(OR($A109="",$D109="",R109=""),"",SUMIFS(OBJECTIFS!G$9:G$39,OBJECTIFS!$A$9:$A$39,$D109,OBJECTIFS!$C$9:$C$39,$F109))</f>
        <v/>
      </c>
      <c r="T109" s="90" t="str">
        <f>IF(OR(AND($D109=OBJECTIFS!$B$6,OBJECTIFS!G$8="dmt"),AND($D109=OBJECTIFS!$B$13,OBJECTIFS!$G$15="dmt"),AND($D109=OBJECTIFS!$B$20,OBJECTIFS!$G$22="dmt"),AND($D109=OBJECTIFS!$B$27,OBJECTIFS!$G$29="dmt"),AND($D109=OBJECTIFS!$B$34,OBJECTIFS!$G$36="dmt"),AND($D109=OBJECTIFS!$B$6,OBJECTIFS!$G$8="taux de chute"),AND($D109=OBJECTIFS!$B$13,OBJECTIFS!$G$15="taux de chute"),AND($D109=OBJECTIFS!$B$20,OBJECTIFS!$G$22="taux de chute"),AND($D109=OBJECTIFS!$B$27,OBJECTIFS!$G$29="taux de chute"),AND($D109=OBJECTIFS!$B$34,OBJECTIFS!$G$36="taux de chute")),IFERROR(S109/R109,""),IFERROR(R109/S109,""))</f>
        <v/>
      </c>
      <c r="U109" s="94">
        <f>IFERROR(IF(OR(R109="",S109="",T109=""),0,IF(T109&lt;OBJECTIFS!$E$56,0,IF(T109&lt;OBJECTIFS!$G$56,U$8*OBJECTIFS!$F$60,IF(T109&lt;OBJECTIFS!$I$56,U$8*OBJECTIFS!$H$60,U$8)))),0)</f>
        <v>0</v>
      </c>
      <c r="V109" s="25"/>
      <c r="W109" s="90" t="str">
        <f>IF(OR($A109="",$D109="",V109=""),"",SUMIFS(OBJECTIFS!H$9:H$39,OBJECTIFS!$A$9:$A$39,$D109,OBJECTIFS!$C$9:$C$39,$F109))</f>
        <v/>
      </c>
      <c r="X109" s="90" t="str">
        <f>IF(OR(AND($D109=OBJECTIFS!$B$6,OBJECTIFS!H$8="dmt"),AND($D109=OBJECTIFS!$B$13,OBJECTIFS!$H$15="dmt"),AND($D109=OBJECTIFS!$B$20,OBJECTIFS!$H$22="dmt"),AND($D109=OBJECTIFS!$B$27,OBJECTIFS!$H$29="dmt"),AND($D109=OBJECTIFS!$B$34,OBJECTIFS!$H$36="dmt"),AND($D109=OBJECTIFS!$B$6,OBJECTIFS!$H$8="taux de chute"),AND($D109=OBJECTIFS!$B$13,OBJECTIFS!$H$15="taux de chute"),AND($D109=OBJECTIFS!$B$20,OBJECTIFS!$H$22="taux de chute"),AND($D109=OBJECTIFS!$B$27,OBJECTIFS!$H$29="taux de chute"),AND($D109=OBJECTIFS!$B$34,OBJECTIFS!$H$36="taux de chute")),IFERROR(W109/V109,""),IFERROR(V109/W109,""))</f>
        <v/>
      </c>
      <c r="Y109" s="91">
        <f>IFERROR(IF(OR(V109="",W109="",X109=""),0,IF(X109&lt;OBJECTIFS!$E$56,0,IF(X109&lt;OBJECTIFS!$G$56,Y$8*OBJECTIFS!$F$60,IF(X109&lt;OBJECTIFS!$I$56,Y$8*OBJECTIFS!$H$60,Y$8)))),0)</f>
        <v>0</v>
      </c>
      <c r="Z109" s="167"/>
      <c r="AA109" s="90" t="str">
        <f>IF(OR($A109="",$D109="",Z109=""),"",SUMIFS(OBJECTIFS!I$9:I$39,OBJECTIFS!$A$9:$A$39,$D109,OBJECTIFS!$C$9:$C$39,$F109))</f>
        <v/>
      </c>
      <c r="AB109" s="90" t="str">
        <f>IF(OR(AND($D109=OBJECTIFS!$B$6,OBJECTIFS!I$8="dmt"),AND($D109=OBJECTIFS!$B$13,OBJECTIFS!$I$15="dmt"),AND($D109=OBJECTIFS!$B$20,OBJECTIFS!$I$22="dmt"),AND($D109=OBJECTIFS!$B$27,OBJECTIFS!$I$29="dmt"),AND($D109=OBJECTIFS!$B$34,OBJECTIFS!$I$36="dmt"),AND($D109=OBJECTIFS!$B$6,OBJECTIFS!$I$8="taux de chute"),AND($D109=OBJECTIFS!$B$13,OBJECTIFS!$I$15="taux de chute"),AND($D109=OBJECTIFS!$B$20,OBJECTIFS!$I$22="taux de chute"),AND($D109=OBJECTIFS!$B$27,OBJECTIFS!$I$29="taux de chute"),AND($D109=OBJECTIFS!$B$34,OBJECTIFS!$I$36="taux de chute")),IFERROR(AA109/Z109,""),IFERROR(Z109/AA109,""))</f>
        <v/>
      </c>
      <c r="AC109" s="95">
        <f>IFERROR(IF(OR(Z109="",AA109="",AB109=""),0,IF(AB109&lt;OBJECTIFS!$E$56,0,IF(AB109&lt;OBJECTIFS!$G$56,AC$8*OBJECTIFS!$F$60,IF(AB109&lt;OBJECTIFS!$I$56,AC$8*OBJECTIFS!$H$60,AC$8)))),0)</f>
        <v>0</v>
      </c>
      <c r="AD109" s="186"/>
      <c r="AE109" s="187"/>
      <c r="AF109" s="96">
        <f t="shared" ca="1" si="20"/>
        <v>0</v>
      </c>
      <c r="AG109" s="63"/>
      <c r="AH109" s="186"/>
      <c r="AI109" s="24"/>
      <c r="AJ109" s="24"/>
      <c r="AK109" s="24"/>
      <c r="AL109" s="24"/>
      <c r="AM109" s="79">
        <f t="shared" si="21"/>
        <v>0</v>
      </c>
      <c r="AN109" s="79">
        <v>22</v>
      </c>
      <c r="AO109" s="80">
        <f t="shared" si="22"/>
        <v>0</v>
      </c>
      <c r="AP109" s="81" t="str">
        <f t="shared" ca="1" si="23"/>
        <v/>
      </c>
      <c r="AQ109" s="82"/>
      <c r="AR109" s="97">
        <f>IFERROR(VLOOKUP(B109,OBJECTIFS!$C$76:$E$137,2,FALSE),0)</f>
        <v>0</v>
      </c>
      <c r="AS109" s="98">
        <f>IFERROR(VLOOKUP(B109,OBJECTIFS!$H$76:$J$137,2,FALSE),0)</f>
        <v>0</v>
      </c>
      <c r="AT109" s="98">
        <f>IFERROR(VLOOKUP(B109,OBJECTIFS!$C$142:$E$203,2,FALSE),0)</f>
        <v>0</v>
      </c>
      <c r="AU109" s="98">
        <f>IFERROR(VLOOKUP(B109,OBJECTIFS!$H$142:$J$203,2,FALSE),0)</f>
        <v>0</v>
      </c>
      <c r="AV109" s="98">
        <f>IFERROR(VLOOKUP(B109,OBJECTIFS!$F$208:$H$269,3,FALSE),0)</f>
        <v>0</v>
      </c>
      <c r="AW109" s="81">
        <f t="shared" si="24"/>
        <v>0</v>
      </c>
      <c r="AX109" s="82"/>
      <c r="AY109" s="99" t="str">
        <f t="shared" ca="1" si="25"/>
        <v/>
      </c>
      <c r="AZ109" s="63"/>
      <c r="BA109" s="100">
        <f t="shared" ca="1" si="26"/>
        <v>0</v>
      </c>
      <c r="BB109" s="64" t="str">
        <f t="shared" ca="1" si="27"/>
        <v/>
      </c>
      <c r="BC109" s="101" t="str">
        <f t="shared" ca="1" si="28"/>
        <v/>
      </c>
    </row>
    <row r="110" spans="1:55" x14ac:dyDescent="0.2">
      <c r="A110" s="21"/>
      <c r="B110" s="22"/>
      <c r="C110" s="22"/>
      <c r="D110" s="23"/>
      <c r="E110" s="24"/>
      <c r="F110" s="34"/>
      <c r="H110" s="89" t="str">
        <f>IF(OR(D110="",F110="",A110=""),"",IF(E110="oui",0,IF(D110=OBJECTIFS!$C$45,VLOOKUP(F110,OBJECTIFS!$C$9:$D$11,2,FALSE),IF(D110=OBJECTIFS!$C$46,VLOOKUP(F110,OBJECTIFS!$C$16:$D$18,2,FALSE),IF(D110=OBJECTIFS!$C$47,VLOOKUP(F110,OBJECTIFS!$C$23:$D$25,2,FALSE),IF(D110=OBJECTIFS!$C$48,VLOOKUP(F110,OBJECTIFS!$C$30:$D$32,2,FALSE),IF(D110=OBJECTIFS!$C$49,VLOOKUP(F110,OBJECTIFS!$C$37:$D$39,2,FALSE))))))))</f>
        <v/>
      </c>
      <c r="J110" s="25"/>
      <c r="K110" s="90" t="str">
        <f>IF(OR($A110="",$D110="",J110=""),"",SUMIFS(OBJECTIFS!E$9:E$39,OBJECTIFS!$A$9:$A$39,$D110,OBJECTIFS!$C$9:$C$39,$F110))</f>
        <v/>
      </c>
      <c r="L110" s="90" t="str">
        <f>IF(OR(AND($D110=OBJECTIFS!$B$6,OBJECTIFS!E$8="dmt"),AND($D110=OBJECTIFS!$B$13,OBJECTIFS!$E$15="dmt"),AND($D110=OBJECTIFS!$B$20,OBJECTIFS!$E$22="dmt"),AND($D110=OBJECTIFS!$B$27,OBJECTIFS!$E$29="dmt"),AND($D110=OBJECTIFS!$B$34,OBJECTIFS!$E$36="dmt"),AND($D110=OBJECTIFS!$B$6,OBJECTIFS!$E$8="taux de chute"),AND($D110=OBJECTIFS!$B$13,OBJECTIFS!$E$15="taux de chute"),AND($D110=OBJECTIFS!$B$20,OBJECTIFS!$E$22="taux de chute"),AND($D110=OBJECTIFS!$B$27,OBJECTIFS!$E$29="taux de chute"),AND($D110=OBJECTIFS!$B$34,OBJECTIFS!$E$36="taux de chute")),IFERROR(K110/J110,""),IFERROR(J110/K110,""))</f>
        <v/>
      </c>
      <c r="M110" s="91">
        <f>IFERROR(IF(OR(J110="",K110="",L110=""),0,IF(L110&lt;OBJECTIFS!$E$56,0,IF(L110&lt;OBJECTIFS!$G$56,M$8*OBJECTIFS!$F$60,IF(L110&lt;OBJECTIFS!$I$56,M$8*OBJECTIFS!$H$60,M$8)))),0)</f>
        <v>0</v>
      </c>
      <c r="N110" s="161"/>
      <c r="O110" s="92" t="str">
        <f>IF(OR($A110="",$D110="",N110=""),"",SUMIFS(OBJECTIFS!F$9:F$39,OBJECTIFS!$A$9:$A$39,$D110,OBJECTIFS!$C$9:$C$39,$F110))</f>
        <v/>
      </c>
      <c r="P110" s="90" t="str">
        <f>IF(OR(AND($D110=OBJECTIFS!$B$6,OBJECTIFS!$F$8="dmt"),AND($D110=OBJECTIFS!$B$13,OBJECTIFS!$F$15="dmt"),AND($D110=OBJECTIFS!$B$20,OBJECTIFS!$F$22="dmt"),AND($D110=OBJECTIFS!$B$27,OBJECTIFS!$F$29="dmt"),AND($D110=OBJECTIFS!$B$34,OBJECTIFS!$F$36="dmt"),AND($D110=OBJECTIFS!$B$6,OBJECTIFS!$F$8="taux de chute"),AND($D110=OBJECTIFS!$B$13,OBJECTIFS!$F$15="taux de chute"),AND($D110=OBJECTIFS!$B$20,OBJECTIFS!$F$22="taux de chute"),AND($D110=OBJECTIFS!$B$27,OBJECTIFS!$F$29="taux de chute"),AND($D110=OBJECTIFS!$B$34,OBJECTIFS!$F$36="taux de chute")),IFERROR(O110/N110,""),IFERROR(N110/O110,""))</f>
        <v/>
      </c>
      <c r="Q110" s="91">
        <f>IFERROR(IF(OR(N110="",O110="",P110=""),0,IF(P110&lt;OBJECTIFS!$E$56,0,IF(P110&lt;OBJECTIFS!$G$56,Q$8*OBJECTIFS!$F$60,IF(P110&lt;OBJECTIFS!$I$56,Q$8*OBJECTIFS!$H$60,Q$8)))),0)</f>
        <v>0</v>
      </c>
      <c r="R110" s="164"/>
      <c r="S110" s="93" t="str">
        <f>IF(OR($A110="",$D110="",R110=""),"",SUMIFS(OBJECTIFS!G$9:G$39,OBJECTIFS!$A$9:$A$39,$D110,OBJECTIFS!$C$9:$C$39,$F110))</f>
        <v/>
      </c>
      <c r="T110" s="90" t="str">
        <f>IF(OR(AND($D110=OBJECTIFS!$B$6,OBJECTIFS!G$8="dmt"),AND($D110=OBJECTIFS!$B$13,OBJECTIFS!$G$15="dmt"),AND($D110=OBJECTIFS!$B$20,OBJECTIFS!$G$22="dmt"),AND($D110=OBJECTIFS!$B$27,OBJECTIFS!$G$29="dmt"),AND($D110=OBJECTIFS!$B$34,OBJECTIFS!$G$36="dmt"),AND($D110=OBJECTIFS!$B$6,OBJECTIFS!$G$8="taux de chute"),AND($D110=OBJECTIFS!$B$13,OBJECTIFS!$G$15="taux de chute"),AND($D110=OBJECTIFS!$B$20,OBJECTIFS!$G$22="taux de chute"),AND($D110=OBJECTIFS!$B$27,OBJECTIFS!$G$29="taux de chute"),AND($D110=OBJECTIFS!$B$34,OBJECTIFS!$G$36="taux de chute")),IFERROR(S110/R110,""),IFERROR(R110/S110,""))</f>
        <v/>
      </c>
      <c r="U110" s="94">
        <f>IFERROR(IF(OR(R110="",S110="",T110=""),0,IF(T110&lt;OBJECTIFS!$E$56,0,IF(T110&lt;OBJECTIFS!$G$56,U$8*OBJECTIFS!$F$60,IF(T110&lt;OBJECTIFS!$I$56,U$8*OBJECTIFS!$H$60,U$8)))),0)</f>
        <v>0</v>
      </c>
      <c r="V110" s="25"/>
      <c r="W110" s="90" t="str">
        <f>IF(OR($A110="",$D110="",V110=""),"",SUMIFS(OBJECTIFS!H$9:H$39,OBJECTIFS!$A$9:$A$39,$D110,OBJECTIFS!$C$9:$C$39,$F110))</f>
        <v/>
      </c>
      <c r="X110" s="90" t="str">
        <f>IF(OR(AND($D110=OBJECTIFS!$B$6,OBJECTIFS!H$8="dmt"),AND($D110=OBJECTIFS!$B$13,OBJECTIFS!$H$15="dmt"),AND($D110=OBJECTIFS!$B$20,OBJECTIFS!$H$22="dmt"),AND($D110=OBJECTIFS!$B$27,OBJECTIFS!$H$29="dmt"),AND($D110=OBJECTIFS!$B$34,OBJECTIFS!$H$36="dmt"),AND($D110=OBJECTIFS!$B$6,OBJECTIFS!$H$8="taux de chute"),AND($D110=OBJECTIFS!$B$13,OBJECTIFS!$H$15="taux de chute"),AND($D110=OBJECTIFS!$B$20,OBJECTIFS!$H$22="taux de chute"),AND($D110=OBJECTIFS!$B$27,OBJECTIFS!$H$29="taux de chute"),AND($D110=OBJECTIFS!$B$34,OBJECTIFS!$H$36="taux de chute")),IFERROR(W110/V110,""),IFERROR(V110/W110,""))</f>
        <v/>
      </c>
      <c r="Y110" s="91">
        <f>IFERROR(IF(OR(V110="",W110="",X110=""),0,IF(X110&lt;OBJECTIFS!$E$56,0,IF(X110&lt;OBJECTIFS!$G$56,Y$8*OBJECTIFS!$F$60,IF(X110&lt;OBJECTIFS!$I$56,Y$8*OBJECTIFS!$H$60,Y$8)))),0)</f>
        <v>0</v>
      </c>
      <c r="Z110" s="167"/>
      <c r="AA110" s="90" t="str">
        <f>IF(OR($A110="",$D110="",Z110=""),"",SUMIFS(OBJECTIFS!I$9:I$39,OBJECTIFS!$A$9:$A$39,$D110,OBJECTIFS!$C$9:$C$39,$F110))</f>
        <v/>
      </c>
      <c r="AB110" s="90" t="str">
        <f>IF(OR(AND($D110=OBJECTIFS!$B$6,OBJECTIFS!I$8="dmt"),AND($D110=OBJECTIFS!$B$13,OBJECTIFS!$I$15="dmt"),AND($D110=OBJECTIFS!$B$20,OBJECTIFS!$I$22="dmt"),AND($D110=OBJECTIFS!$B$27,OBJECTIFS!$I$29="dmt"),AND($D110=OBJECTIFS!$B$34,OBJECTIFS!$I$36="dmt"),AND($D110=OBJECTIFS!$B$6,OBJECTIFS!$I$8="taux de chute"),AND($D110=OBJECTIFS!$B$13,OBJECTIFS!$I$15="taux de chute"),AND($D110=OBJECTIFS!$B$20,OBJECTIFS!$I$22="taux de chute"),AND($D110=OBJECTIFS!$B$27,OBJECTIFS!$I$29="taux de chute"),AND($D110=OBJECTIFS!$B$34,OBJECTIFS!$I$36="taux de chute")),IFERROR(AA110/Z110,""),IFERROR(Z110/AA110,""))</f>
        <v/>
      </c>
      <c r="AC110" s="95">
        <f>IFERROR(IF(OR(Z110="",AA110="",AB110=""),0,IF(AB110&lt;OBJECTIFS!$E$56,0,IF(AB110&lt;OBJECTIFS!$G$56,AC$8*OBJECTIFS!$F$60,IF(AB110&lt;OBJECTIFS!$I$56,AC$8*OBJECTIFS!$H$60,AC$8)))),0)</f>
        <v>0</v>
      </c>
      <c r="AD110" s="186"/>
      <c r="AE110" s="187"/>
      <c r="AF110" s="96">
        <f t="shared" ca="1" si="20"/>
        <v>0</v>
      </c>
      <c r="AG110" s="63"/>
      <c r="AH110" s="186"/>
      <c r="AI110" s="24"/>
      <c r="AJ110" s="24"/>
      <c r="AK110" s="24"/>
      <c r="AL110" s="24"/>
      <c r="AM110" s="79">
        <f t="shared" si="21"/>
        <v>0</v>
      </c>
      <c r="AN110" s="79">
        <v>22</v>
      </c>
      <c r="AO110" s="80">
        <f t="shared" si="22"/>
        <v>0</v>
      </c>
      <c r="AP110" s="81" t="str">
        <f t="shared" ca="1" si="23"/>
        <v/>
      </c>
      <c r="AQ110" s="82"/>
      <c r="AR110" s="97">
        <f>IFERROR(VLOOKUP(B110,OBJECTIFS!$C$76:$E$137,2,FALSE),0)</f>
        <v>0</v>
      </c>
      <c r="AS110" s="98">
        <f>IFERROR(VLOOKUP(B110,OBJECTIFS!$H$76:$J$137,2,FALSE),0)</f>
        <v>0</v>
      </c>
      <c r="AT110" s="98">
        <f>IFERROR(VLOOKUP(B110,OBJECTIFS!$C$142:$E$203,2,FALSE),0)</f>
        <v>0</v>
      </c>
      <c r="AU110" s="98">
        <f>IFERROR(VLOOKUP(B110,OBJECTIFS!$H$142:$J$203,2,FALSE),0)</f>
        <v>0</v>
      </c>
      <c r="AV110" s="98">
        <f>IFERROR(VLOOKUP(B110,OBJECTIFS!$F$208:$H$269,3,FALSE),0)</f>
        <v>0</v>
      </c>
      <c r="AW110" s="81">
        <f t="shared" si="24"/>
        <v>0</v>
      </c>
      <c r="AX110" s="82"/>
      <c r="AY110" s="99" t="str">
        <f t="shared" ca="1" si="25"/>
        <v/>
      </c>
      <c r="AZ110" s="63"/>
      <c r="BA110" s="100">
        <f t="shared" ca="1" si="26"/>
        <v>0</v>
      </c>
      <c r="BB110" s="64" t="str">
        <f t="shared" ca="1" si="27"/>
        <v/>
      </c>
      <c r="BC110" s="101" t="str">
        <f t="shared" ca="1" si="28"/>
        <v/>
      </c>
    </row>
    <row r="111" spans="1:55" x14ac:dyDescent="0.2">
      <c r="A111" s="21"/>
      <c r="B111" s="22"/>
      <c r="C111" s="22"/>
      <c r="D111" s="23"/>
      <c r="E111" s="24"/>
      <c r="F111" s="34"/>
      <c r="H111" s="89" t="str">
        <f>IF(OR(D111="",F111="",A111=""),"",IF(E111="oui",0,IF(D111=OBJECTIFS!$C$45,VLOOKUP(F111,OBJECTIFS!$C$9:$D$11,2,FALSE),IF(D111=OBJECTIFS!$C$46,VLOOKUP(F111,OBJECTIFS!$C$16:$D$18,2,FALSE),IF(D111=OBJECTIFS!$C$47,VLOOKUP(F111,OBJECTIFS!$C$23:$D$25,2,FALSE),IF(D111=OBJECTIFS!$C$48,VLOOKUP(F111,OBJECTIFS!$C$30:$D$32,2,FALSE),IF(D111=OBJECTIFS!$C$49,VLOOKUP(F111,OBJECTIFS!$C$37:$D$39,2,FALSE))))))))</f>
        <v/>
      </c>
      <c r="J111" s="25"/>
      <c r="K111" s="90" t="str">
        <f>IF(OR($A111="",$D111="",J111=""),"",SUMIFS(OBJECTIFS!E$9:E$39,OBJECTIFS!$A$9:$A$39,$D111,OBJECTIFS!$C$9:$C$39,$F111))</f>
        <v/>
      </c>
      <c r="L111" s="90" t="str">
        <f>IF(OR(AND($D111=OBJECTIFS!$B$6,OBJECTIFS!E$8="dmt"),AND($D111=OBJECTIFS!$B$13,OBJECTIFS!$E$15="dmt"),AND($D111=OBJECTIFS!$B$20,OBJECTIFS!$E$22="dmt"),AND($D111=OBJECTIFS!$B$27,OBJECTIFS!$E$29="dmt"),AND($D111=OBJECTIFS!$B$34,OBJECTIFS!$E$36="dmt"),AND($D111=OBJECTIFS!$B$6,OBJECTIFS!$E$8="taux de chute"),AND($D111=OBJECTIFS!$B$13,OBJECTIFS!$E$15="taux de chute"),AND($D111=OBJECTIFS!$B$20,OBJECTIFS!$E$22="taux de chute"),AND($D111=OBJECTIFS!$B$27,OBJECTIFS!$E$29="taux de chute"),AND($D111=OBJECTIFS!$B$34,OBJECTIFS!$E$36="taux de chute")),IFERROR(K111/J111,""),IFERROR(J111/K111,""))</f>
        <v/>
      </c>
      <c r="M111" s="91">
        <f>IFERROR(IF(OR(J111="",K111="",L111=""),0,IF(L111&lt;OBJECTIFS!$E$56,0,IF(L111&lt;OBJECTIFS!$G$56,M$8*OBJECTIFS!$F$60,IF(L111&lt;OBJECTIFS!$I$56,M$8*OBJECTIFS!$H$60,M$8)))),0)</f>
        <v>0</v>
      </c>
      <c r="N111" s="161"/>
      <c r="O111" s="92" t="str">
        <f>IF(OR($A111="",$D111="",N111=""),"",SUMIFS(OBJECTIFS!F$9:F$39,OBJECTIFS!$A$9:$A$39,$D111,OBJECTIFS!$C$9:$C$39,$F111))</f>
        <v/>
      </c>
      <c r="P111" s="90" t="str">
        <f>IF(OR(AND($D111=OBJECTIFS!$B$6,OBJECTIFS!$F$8="dmt"),AND($D111=OBJECTIFS!$B$13,OBJECTIFS!$F$15="dmt"),AND($D111=OBJECTIFS!$B$20,OBJECTIFS!$F$22="dmt"),AND($D111=OBJECTIFS!$B$27,OBJECTIFS!$F$29="dmt"),AND($D111=OBJECTIFS!$B$34,OBJECTIFS!$F$36="dmt"),AND($D111=OBJECTIFS!$B$6,OBJECTIFS!$F$8="taux de chute"),AND($D111=OBJECTIFS!$B$13,OBJECTIFS!$F$15="taux de chute"),AND($D111=OBJECTIFS!$B$20,OBJECTIFS!$F$22="taux de chute"),AND($D111=OBJECTIFS!$B$27,OBJECTIFS!$F$29="taux de chute"),AND($D111=OBJECTIFS!$B$34,OBJECTIFS!$F$36="taux de chute")),IFERROR(O111/N111,""),IFERROR(N111/O111,""))</f>
        <v/>
      </c>
      <c r="Q111" s="91">
        <f>IFERROR(IF(OR(N111="",O111="",P111=""),0,IF(P111&lt;OBJECTIFS!$E$56,0,IF(P111&lt;OBJECTIFS!$G$56,Q$8*OBJECTIFS!$F$60,IF(P111&lt;OBJECTIFS!$I$56,Q$8*OBJECTIFS!$H$60,Q$8)))),0)</f>
        <v>0</v>
      </c>
      <c r="R111" s="164"/>
      <c r="S111" s="93" t="str">
        <f>IF(OR($A111="",$D111="",R111=""),"",SUMIFS(OBJECTIFS!G$9:G$39,OBJECTIFS!$A$9:$A$39,$D111,OBJECTIFS!$C$9:$C$39,$F111))</f>
        <v/>
      </c>
      <c r="T111" s="90" t="str">
        <f>IF(OR(AND($D111=OBJECTIFS!$B$6,OBJECTIFS!G$8="dmt"),AND($D111=OBJECTIFS!$B$13,OBJECTIFS!$G$15="dmt"),AND($D111=OBJECTIFS!$B$20,OBJECTIFS!$G$22="dmt"),AND($D111=OBJECTIFS!$B$27,OBJECTIFS!$G$29="dmt"),AND($D111=OBJECTIFS!$B$34,OBJECTIFS!$G$36="dmt"),AND($D111=OBJECTIFS!$B$6,OBJECTIFS!$G$8="taux de chute"),AND($D111=OBJECTIFS!$B$13,OBJECTIFS!$G$15="taux de chute"),AND($D111=OBJECTIFS!$B$20,OBJECTIFS!$G$22="taux de chute"),AND($D111=OBJECTIFS!$B$27,OBJECTIFS!$G$29="taux de chute"),AND($D111=OBJECTIFS!$B$34,OBJECTIFS!$G$36="taux de chute")),IFERROR(S111/R111,""),IFERROR(R111/S111,""))</f>
        <v/>
      </c>
      <c r="U111" s="94">
        <f>IFERROR(IF(OR(R111="",S111="",T111=""),0,IF(T111&lt;OBJECTIFS!$E$56,0,IF(T111&lt;OBJECTIFS!$G$56,U$8*OBJECTIFS!$F$60,IF(T111&lt;OBJECTIFS!$I$56,U$8*OBJECTIFS!$H$60,U$8)))),0)</f>
        <v>0</v>
      </c>
      <c r="V111" s="25"/>
      <c r="W111" s="90" t="str">
        <f>IF(OR($A111="",$D111="",V111=""),"",SUMIFS(OBJECTIFS!H$9:H$39,OBJECTIFS!$A$9:$A$39,$D111,OBJECTIFS!$C$9:$C$39,$F111))</f>
        <v/>
      </c>
      <c r="X111" s="90" t="str">
        <f>IF(OR(AND($D111=OBJECTIFS!$B$6,OBJECTIFS!H$8="dmt"),AND($D111=OBJECTIFS!$B$13,OBJECTIFS!$H$15="dmt"),AND($D111=OBJECTIFS!$B$20,OBJECTIFS!$H$22="dmt"),AND($D111=OBJECTIFS!$B$27,OBJECTIFS!$H$29="dmt"),AND($D111=OBJECTIFS!$B$34,OBJECTIFS!$H$36="dmt"),AND($D111=OBJECTIFS!$B$6,OBJECTIFS!$H$8="taux de chute"),AND($D111=OBJECTIFS!$B$13,OBJECTIFS!$H$15="taux de chute"),AND($D111=OBJECTIFS!$B$20,OBJECTIFS!$H$22="taux de chute"),AND($D111=OBJECTIFS!$B$27,OBJECTIFS!$H$29="taux de chute"),AND($D111=OBJECTIFS!$B$34,OBJECTIFS!$H$36="taux de chute")),IFERROR(W111/V111,""),IFERROR(V111/W111,""))</f>
        <v/>
      </c>
      <c r="Y111" s="91">
        <f>IFERROR(IF(OR(V111="",W111="",X111=""),0,IF(X111&lt;OBJECTIFS!$E$56,0,IF(X111&lt;OBJECTIFS!$G$56,Y$8*OBJECTIFS!$F$60,IF(X111&lt;OBJECTIFS!$I$56,Y$8*OBJECTIFS!$H$60,Y$8)))),0)</f>
        <v>0</v>
      </c>
      <c r="Z111" s="167"/>
      <c r="AA111" s="90" t="str">
        <f>IF(OR($A111="",$D111="",Z111=""),"",SUMIFS(OBJECTIFS!I$9:I$39,OBJECTIFS!$A$9:$A$39,$D111,OBJECTIFS!$C$9:$C$39,$F111))</f>
        <v/>
      </c>
      <c r="AB111" s="90" t="str">
        <f>IF(OR(AND($D111=OBJECTIFS!$B$6,OBJECTIFS!I$8="dmt"),AND($D111=OBJECTIFS!$B$13,OBJECTIFS!$I$15="dmt"),AND($D111=OBJECTIFS!$B$20,OBJECTIFS!$I$22="dmt"),AND($D111=OBJECTIFS!$B$27,OBJECTIFS!$I$29="dmt"),AND($D111=OBJECTIFS!$B$34,OBJECTIFS!$I$36="dmt"),AND($D111=OBJECTIFS!$B$6,OBJECTIFS!$I$8="taux de chute"),AND($D111=OBJECTIFS!$B$13,OBJECTIFS!$I$15="taux de chute"),AND($D111=OBJECTIFS!$B$20,OBJECTIFS!$I$22="taux de chute"),AND($D111=OBJECTIFS!$B$27,OBJECTIFS!$I$29="taux de chute"),AND($D111=OBJECTIFS!$B$34,OBJECTIFS!$I$36="taux de chute")),IFERROR(AA111/Z111,""),IFERROR(Z111/AA111,""))</f>
        <v/>
      </c>
      <c r="AC111" s="95">
        <f>IFERROR(IF(OR(Z111="",AA111="",AB111=""),0,IF(AB111&lt;OBJECTIFS!$E$56,0,IF(AB111&lt;OBJECTIFS!$G$56,AC$8*OBJECTIFS!$F$60,IF(AB111&lt;OBJECTIFS!$I$56,AC$8*OBJECTIFS!$H$60,AC$8)))),0)</f>
        <v>0</v>
      </c>
      <c r="AD111" s="186"/>
      <c r="AE111" s="187"/>
      <c r="AF111" s="96">
        <f t="shared" ca="1" si="20"/>
        <v>0</v>
      </c>
      <c r="AG111" s="63"/>
      <c r="AH111" s="186"/>
      <c r="AI111" s="24"/>
      <c r="AJ111" s="24"/>
      <c r="AK111" s="24"/>
      <c r="AL111" s="24"/>
      <c r="AM111" s="79">
        <f t="shared" si="21"/>
        <v>0</v>
      </c>
      <c r="AN111" s="79">
        <v>22</v>
      </c>
      <c r="AO111" s="80">
        <f t="shared" si="22"/>
        <v>0</v>
      </c>
      <c r="AP111" s="81" t="str">
        <f t="shared" ca="1" si="23"/>
        <v/>
      </c>
      <c r="AQ111" s="82"/>
      <c r="AR111" s="97">
        <f>IFERROR(VLOOKUP(B111,OBJECTIFS!$C$76:$E$137,2,FALSE),0)</f>
        <v>0</v>
      </c>
      <c r="AS111" s="98">
        <f>IFERROR(VLOOKUP(B111,OBJECTIFS!$H$76:$J$137,2,FALSE),0)</f>
        <v>0</v>
      </c>
      <c r="AT111" s="98">
        <f>IFERROR(VLOOKUP(B111,OBJECTIFS!$C$142:$E$203,2,FALSE),0)</f>
        <v>0</v>
      </c>
      <c r="AU111" s="98">
        <f>IFERROR(VLOOKUP(B111,OBJECTIFS!$H$142:$J$203,2,FALSE),0)</f>
        <v>0</v>
      </c>
      <c r="AV111" s="98">
        <f>IFERROR(VLOOKUP(B111,OBJECTIFS!$F$208:$H$269,3,FALSE),0)</f>
        <v>0</v>
      </c>
      <c r="AW111" s="81">
        <f t="shared" si="24"/>
        <v>0</v>
      </c>
      <c r="AX111" s="82"/>
      <c r="AY111" s="99" t="str">
        <f t="shared" ca="1" si="25"/>
        <v/>
      </c>
      <c r="AZ111" s="63"/>
      <c r="BA111" s="100">
        <f t="shared" ca="1" si="26"/>
        <v>0</v>
      </c>
      <c r="BB111" s="64" t="str">
        <f t="shared" ca="1" si="27"/>
        <v/>
      </c>
      <c r="BC111" s="101" t="str">
        <f t="shared" ca="1" si="28"/>
        <v/>
      </c>
    </row>
    <row r="112" spans="1:55" x14ac:dyDescent="0.2">
      <c r="A112" s="21"/>
      <c r="B112" s="22"/>
      <c r="C112" s="22"/>
      <c r="D112" s="23"/>
      <c r="E112" s="24"/>
      <c r="F112" s="34"/>
      <c r="H112" s="89" t="str">
        <f>IF(OR(D112="",F112="",A112=""),"",IF(E112="oui",0,IF(D112=OBJECTIFS!$C$45,VLOOKUP(F112,OBJECTIFS!$C$9:$D$11,2,FALSE),IF(D112=OBJECTIFS!$C$46,VLOOKUP(F112,OBJECTIFS!$C$16:$D$18,2,FALSE),IF(D112=OBJECTIFS!$C$47,VLOOKUP(F112,OBJECTIFS!$C$23:$D$25,2,FALSE),IF(D112=OBJECTIFS!$C$48,VLOOKUP(F112,OBJECTIFS!$C$30:$D$32,2,FALSE),IF(D112=OBJECTIFS!$C$49,VLOOKUP(F112,OBJECTIFS!$C$37:$D$39,2,FALSE))))))))</f>
        <v/>
      </c>
      <c r="J112" s="25"/>
      <c r="K112" s="90" t="str">
        <f>IF(OR($A112="",$D112="",J112=""),"",SUMIFS(OBJECTIFS!E$9:E$39,OBJECTIFS!$A$9:$A$39,$D112,OBJECTIFS!$C$9:$C$39,$F112))</f>
        <v/>
      </c>
      <c r="L112" s="90" t="str">
        <f>IF(OR(AND($D112=OBJECTIFS!$B$6,OBJECTIFS!E$8="dmt"),AND($D112=OBJECTIFS!$B$13,OBJECTIFS!$E$15="dmt"),AND($D112=OBJECTIFS!$B$20,OBJECTIFS!$E$22="dmt"),AND($D112=OBJECTIFS!$B$27,OBJECTIFS!$E$29="dmt"),AND($D112=OBJECTIFS!$B$34,OBJECTIFS!$E$36="dmt"),AND($D112=OBJECTIFS!$B$6,OBJECTIFS!$E$8="taux de chute"),AND($D112=OBJECTIFS!$B$13,OBJECTIFS!$E$15="taux de chute"),AND($D112=OBJECTIFS!$B$20,OBJECTIFS!$E$22="taux de chute"),AND($D112=OBJECTIFS!$B$27,OBJECTIFS!$E$29="taux de chute"),AND($D112=OBJECTIFS!$B$34,OBJECTIFS!$E$36="taux de chute")),IFERROR(K112/J112,""),IFERROR(J112/K112,""))</f>
        <v/>
      </c>
      <c r="M112" s="91">
        <f>IFERROR(IF(OR(J112="",K112="",L112=""),0,IF(L112&lt;OBJECTIFS!$E$56,0,IF(L112&lt;OBJECTIFS!$G$56,M$8*OBJECTIFS!$F$60,IF(L112&lt;OBJECTIFS!$I$56,M$8*OBJECTIFS!$H$60,M$8)))),0)</f>
        <v>0</v>
      </c>
      <c r="N112" s="161"/>
      <c r="O112" s="92" t="str">
        <f>IF(OR($A112="",$D112="",N112=""),"",SUMIFS(OBJECTIFS!F$9:F$39,OBJECTIFS!$A$9:$A$39,$D112,OBJECTIFS!$C$9:$C$39,$F112))</f>
        <v/>
      </c>
      <c r="P112" s="90" t="str">
        <f>IF(OR(AND($D112=OBJECTIFS!$B$6,OBJECTIFS!$F$8="dmt"),AND($D112=OBJECTIFS!$B$13,OBJECTIFS!$F$15="dmt"),AND($D112=OBJECTIFS!$B$20,OBJECTIFS!$F$22="dmt"),AND($D112=OBJECTIFS!$B$27,OBJECTIFS!$F$29="dmt"),AND($D112=OBJECTIFS!$B$34,OBJECTIFS!$F$36="dmt"),AND($D112=OBJECTIFS!$B$6,OBJECTIFS!$F$8="taux de chute"),AND($D112=OBJECTIFS!$B$13,OBJECTIFS!$F$15="taux de chute"),AND($D112=OBJECTIFS!$B$20,OBJECTIFS!$F$22="taux de chute"),AND($D112=OBJECTIFS!$B$27,OBJECTIFS!$F$29="taux de chute"),AND($D112=OBJECTIFS!$B$34,OBJECTIFS!$F$36="taux de chute")),IFERROR(O112/N112,""),IFERROR(N112/O112,""))</f>
        <v/>
      </c>
      <c r="Q112" s="91">
        <f>IFERROR(IF(OR(N112="",O112="",P112=""),0,IF(P112&lt;OBJECTIFS!$E$56,0,IF(P112&lt;OBJECTIFS!$G$56,Q$8*OBJECTIFS!$F$60,IF(P112&lt;OBJECTIFS!$I$56,Q$8*OBJECTIFS!$H$60,Q$8)))),0)</f>
        <v>0</v>
      </c>
      <c r="R112" s="164"/>
      <c r="S112" s="93" t="str">
        <f>IF(OR($A112="",$D112="",R112=""),"",SUMIFS(OBJECTIFS!G$9:G$39,OBJECTIFS!$A$9:$A$39,$D112,OBJECTIFS!$C$9:$C$39,$F112))</f>
        <v/>
      </c>
      <c r="T112" s="90" t="str">
        <f>IF(OR(AND($D112=OBJECTIFS!$B$6,OBJECTIFS!G$8="dmt"),AND($D112=OBJECTIFS!$B$13,OBJECTIFS!$G$15="dmt"),AND($D112=OBJECTIFS!$B$20,OBJECTIFS!$G$22="dmt"),AND($D112=OBJECTIFS!$B$27,OBJECTIFS!$G$29="dmt"),AND($D112=OBJECTIFS!$B$34,OBJECTIFS!$G$36="dmt"),AND($D112=OBJECTIFS!$B$6,OBJECTIFS!$G$8="taux de chute"),AND($D112=OBJECTIFS!$B$13,OBJECTIFS!$G$15="taux de chute"),AND($D112=OBJECTIFS!$B$20,OBJECTIFS!$G$22="taux de chute"),AND($D112=OBJECTIFS!$B$27,OBJECTIFS!$G$29="taux de chute"),AND($D112=OBJECTIFS!$B$34,OBJECTIFS!$G$36="taux de chute")),IFERROR(S112/R112,""),IFERROR(R112/S112,""))</f>
        <v/>
      </c>
      <c r="U112" s="94">
        <f>IFERROR(IF(OR(R112="",S112="",T112=""),0,IF(T112&lt;OBJECTIFS!$E$56,0,IF(T112&lt;OBJECTIFS!$G$56,U$8*OBJECTIFS!$F$60,IF(T112&lt;OBJECTIFS!$I$56,U$8*OBJECTIFS!$H$60,U$8)))),0)</f>
        <v>0</v>
      </c>
      <c r="V112" s="25"/>
      <c r="W112" s="90" t="str">
        <f>IF(OR($A112="",$D112="",V112=""),"",SUMIFS(OBJECTIFS!H$9:H$39,OBJECTIFS!$A$9:$A$39,$D112,OBJECTIFS!$C$9:$C$39,$F112))</f>
        <v/>
      </c>
      <c r="X112" s="90" t="str">
        <f>IF(OR(AND($D112=OBJECTIFS!$B$6,OBJECTIFS!H$8="dmt"),AND($D112=OBJECTIFS!$B$13,OBJECTIFS!$H$15="dmt"),AND($D112=OBJECTIFS!$B$20,OBJECTIFS!$H$22="dmt"),AND($D112=OBJECTIFS!$B$27,OBJECTIFS!$H$29="dmt"),AND($D112=OBJECTIFS!$B$34,OBJECTIFS!$H$36="dmt"),AND($D112=OBJECTIFS!$B$6,OBJECTIFS!$H$8="taux de chute"),AND($D112=OBJECTIFS!$B$13,OBJECTIFS!$H$15="taux de chute"),AND($D112=OBJECTIFS!$B$20,OBJECTIFS!$H$22="taux de chute"),AND($D112=OBJECTIFS!$B$27,OBJECTIFS!$H$29="taux de chute"),AND($D112=OBJECTIFS!$B$34,OBJECTIFS!$H$36="taux de chute")),IFERROR(W112/V112,""),IFERROR(V112/W112,""))</f>
        <v/>
      </c>
      <c r="Y112" s="91">
        <f>IFERROR(IF(OR(V112="",W112="",X112=""),0,IF(X112&lt;OBJECTIFS!$E$56,0,IF(X112&lt;OBJECTIFS!$G$56,Y$8*OBJECTIFS!$F$60,IF(X112&lt;OBJECTIFS!$I$56,Y$8*OBJECTIFS!$H$60,Y$8)))),0)</f>
        <v>0</v>
      </c>
      <c r="Z112" s="167"/>
      <c r="AA112" s="90" t="str">
        <f>IF(OR($A112="",$D112="",Z112=""),"",SUMIFS(OBJECTIFS!I$9:I$39,OBJECTIFS!$A$9:$A$39,$D112,OBJECTIFS!$C$9:$C$39,$F112))</f>
        <v/>
      </c>
      <c r="AB112" s="90" t="str">
        <f>IF(OR(AND($D112=OBJECTIFS!$B$6,OBJECTIFS!I$8="dmt"),AND($D112=OBJECTIFS!$B$13,OBJECTIFS!$I$15="dmt"),AND($D112=OBJECTIFS!$B$20,OBJECTIFS!$I$22="dmt"),AND($D112=OBJECTIFS!$B$27,OBJECTIFS!$I$29="dmt"),AND($D112=OBJECTIFS!$B$34,OBJECTIFS!$I$36="dmt"),AND($D112=OBJECTIFS!$B$6,OBJECTIFS!$I$8="taux de chute"),AND($D112=OBJECTIFS!$B$13,OBJECTIFS!$I$15="taux de chute"),AND($D112=OBJECTIFS!$B$20,OBJECTIFS!$I$22="taux de chute"),AND($D112=OBJECTIFS!$B$27,OBJECTIFS!$I$29="taux de chute"),AND($D112=OBJECTIFS!$B$34,OBJECTIFS!$I$36="taux de chute")),IFERROR(AA112/Z112,""),IFERROR(Z112/AA112,""))</f>
        <v/>
      </c>
      <c r="AC112" s="95">
        <f>IFERROR(IF(OR(Z112="",AA112="",AB112=""),0,IF(AB112&lt;OBJECTIFS!$E$56,0,IF(AB112&lt;OBJECTIFS!$G$56,AC$8*OBJECTIFS!$F$60,IF(AB112&lt;OBJECTIFS!$I$56,AC$8*OBJECTIFS!$H$60,AC$8)))),0)</f>
        <v>0</v>
      </c>
      <c r="AD112" s="186"/>
      <c r="AE112" s="187"/>
      <c r="AF112" s="96">
        <f t="shared" ca="1" si="20"/>
        <v>0</v>
      </c>
      <c r="AG112" s="63"/>
      <c r="AH112" s="186"/>
      <c r="AI112" s="24"/>
      <c r="AJ112" s="24"/>
      <c r="AK112" s="24"/>
      <c r="AL112" s="24"/>
      <c r="AM112" s="79">
        <f t="shared" si="21"/>
        <v>0</v>
      </c>
      <c r="AN112" s="79">
        <v>22</v>
      </c>
      <c r="AO112" s="80">
        <f t="shared" si="22"/>
        <v>0</v>
      </c>
      <c r="AP112" s="81" t="str">
        <f t="shared" ca="1" si="23"/>
        <v/>
      </c>
      <c r="AQ112" s="82"/>
      <c r="AR112" s="97">
        <f>IFERROR(VLOOKUP(B112,OBJECTIFS!$C$76:$E$137,2,FALSE),0)</f>
        <v>0</v>
      </c>
      <c r="AS112" s="98">
        <f>IFERROR(VLOOKUP(B112,OBJECTIFS!$H$76:$J$137,2,FALSE),0)</f>
        <v>0</v>
      </c>
      <c r="AT112" s="98">
        <f>IFERROR(VLOOKUP(B112,OBJECTIFS!$C$142:$E$203,2,FALSE),0)</f>
        <v>0</v>
      </c>
      <c r="AU112" s="98">
        <f>IFERROR(VLOOKUP(B112,OBJECTIFS!$H$142:$J$203,2,FALSE),0)</f>
        <v>0</v>
      </c>
      <c r="AV112" s="98">
        <f>IFERROR(VLOOKUP(B112,OBJECTIFS!$F$208:$H$269,3,FALSE),0)</f>
        <v>0</v>
      </c>
      <c r="AW112" s="81">
        <f t="shared" si="24"/>
        <v>0</v>
      </c>
      <c r="AX112" s="82"/>
      <c r="AY112" s="99" t="str">
        <f t="shared" ca="1" si="25"/>
        <v/>
      </c>
      <c r="AZ112" s="63"/>
      <c r="BA112" s="100">
        <f t="shared" ca="1" si="26"/>
        <v>0</v>
      </c>
      <c r="BB112" s="64" t="str">
        <f t="shared" ca="1" si="27"/>
        <v/>
      </c>
      <c r="BC112" s="101" t="str">
        <f t="shared" ca="1" si="28"/>
        <v/>
      </c>
    </row>
    <row r="113" spans="1:55" x14ac:dyDescent="0.2">
      <c r="A113" s="21"/>
      <c r="B113" s="22"/>
      <c r="C113" s="22"/>
      <c r="D113" s="23"/>
      <c r="E113" s="24"/>
      <c r="F113" s="34"/>
      <c r="H113" s="89" t="str">
        <f>IF(OR(D113="",F113="",A113=""),"",IF(E113="oui",0,IF(D113=OBJECTIFS!$C$45,VLOOKUP(F113,OBJECTIFS!$C$9:$D$11,2,FALSE),IF(D113=OBJECTIFS!$C$46,VLOOKUP(F113,OBJECTIFS!$C$16:$D$18,2,FALSE),IF(D113=OBJECTIFS!$C$47,VLOOKUP(F113,OBJECTIFS!$C$23:$D$25,2,FALSE),IF(D113=OBJECTIFS!$C$48,VLOOKUP(F113,OBJECTIFS!$C$30:$D$32,2,FALSE),IF(D113=OBJECTIFS!$C$49,VLOOKUP(F113,OBJECTIFS!$C$37:$D$39,2,FALSE))))))))</f>
        <v/>
      </c>
      <c r="J113" s="25"/>
      <c r="K113" s="90" t="str">
        <f>IF(OR($A113="",$D113="",J113=""),"",SUMIFS(OBJECTIFS!E$9:E$39,OBJECTIFS!$A$9:$A$39,$D113,OBJECTIFS!$C$9:$C$39,$F113))</f>
        <v/>
      </c>
      <c r="L113" s="90" t="str">
        <f>IF(OR(AND($D113=OBJECTIFS!$B$6,OBJECTIFS!E$8="dmt"),AND($D113=OBJECTIFS!$B$13,OBJECTIFS!$E$15="dmt"),AND($D113=OBJECTIFS!$B$20,OBJECTIFS!$E$22="dmt"),AND($D113=OBJECTIFS!$B$27,OBJECTIFS!$E$29="dmt"),AND($D113=OBJECTIFS!$B$34,OBJECTIFS!$E$36="dmt"),AND($D113=OBJECTIFS!$B$6,OBJECTIFS!$E$8="taux de chute"),AND($D113=OBJECTIFS!$B$13,OBJECTIFS!$E$15="taux de chute"),AND($D113=OBJECTIFS!$B$20,OBJECTIFS!$E$22="taux de chute"),AND($D113=OBJECTIFS!$B$27,OBJECTIFS!$E$29="taux de chute"),AND($D113=OBJECTIFS!$B$34,OBJECTIFS!$E$36="taux de chute")),IFERROR(K113/J113,""),IFERROR(J113/K113,""))</f>
        <v/>
      </c>
      <c r="M113" s="91">
        <f>IFERROR(IF(OR(J113="",K113="",L113=""),0,IF(L113&lt;OBJECTIFS!$E$56,0,IF(L113&lt;OBJECTIFS!$G$56,M$8*OBJECTIFS!$F$60,IF(L113&lt;OBJECTIFS!$I$56,M$8*OBJECTIFS!$H$60,M$8)))),0)</f>
        <v>0</v>
      </c>
      <c r="N113" s="161"/>
      <c r="O113" s="92" t="str">
        <f>IF(OR($A113="",$D113="",N113=""),"",SUMIFS(OBJECTIFS!F$9:F$39,OBJECTIFS!$A$9:$A$39,$D113,OBJECTIFS!$C$9:$C$39,$F113))</f>
        <v/>
      </c>
      <c r="P113" s="90" t="str">
        <f>IF(OR(AND($D113=OBJECTIFS!$B$6,OBJECTIFS!$F$8="dmt"),AND($D113=OBJECTIFS!$B$13,OBJECTIFS!$F$15="dmt"),AND($D113=OBJECTIFS!$B$20,OBJECTIFS!$F$22="dmt"),AND($D113=OBJECTIFS!$B$27,OBJECTIFS!$F$29="dmt"),AND($D113=OBJECTIFS!$B$34,OBJECTIFS!$F$36="dmt"),AND($D113=OBJECTIFS!$B$6,OBJECTIFS!$F$8="taux de chute"),AND($D113=OBJECTIFS!$B$13,OBJECTIFS!$F$15="taux de chute"),AND($D113=OBJECTIFS!$B$20,OBJECTIFS!$F$22="taux de chute"),AND($D113=OBJECTIFS!$B$27,OBJECTIFS!$F$29="taux de chute"),AND($D113=OBJECTIFS!$B$34,OBJECTIFS!$F$36="taux de chute")),IFERROR(O113/N113,""),IFERROR(N113/O113,""))</f>
        <v/>
      </c>
      <c r="Q113" s="91">
        <f>IFERROR(IF(OR(N113="",O113="",P113=""),0,IF(P113&lt;OBJECTIFS!$E$56,0,IF(P113&lt;OBJECTIFS!$G$56,Q$8*OBJECTIFS!$F$60,IF(P113&lt;OBJECTIFS!$I$56,Q$8*OBJECTIFS!$H$60,Q$8)))),0)</f>
        <v>0</v>
      </c>
      <c r="R113" s="164"/>
      <c r="S113" s="93" t="str">
        <f>IF(OR($A113="",$D113="",R113=""),"",SUMIFS(OBJECTIFS!G$9:G$39,OBJECTIFS!$A$9:$A$39,$D113,OBJECTIFS!$C$9:$C$39,$F113))</f>
        <v/>
      </c>
      <c r="T113" s="90" t="str">
        <f>IF(OR(AND($D113=OBJECTIFS!$B$6,OBJECTIFS!G$8="dmt"),AND($D113=OBJECTIFS!$B$13,OBJECTIFS!$G$15="dmt"),AND($D113=OBJECTIFS!$B$20,OBJECTIFS!$G$22="dmt"),AND($D113=OBJECTIFS!$B$27,OBJECTIFS!$G$29="dmt"),AND($D113=OBJECTIFS!$B$34,OBJECTIFS!$G$36="dmt"),AND($D113=OBJECTIFS!$B$6,OBJECTIFS!$G$8="taux de chute"),AND($D113=OBJECTIFS!$B$13,OBJECTIFS!$G$15="taux de chute"),AND($D113=OBJECTIFS!$B$20,OBJECTIFS!$G$22="taux de chute"),AND($D113=OBJECTIFS!$B$27,OBJECTIFS!$G$29="taux de chute"),AND($D113=OBJECTIFS!$B$34,OBJECTIFS!$G$36="taux de chute")),IFERROR(S113/R113,""),IFERROR(R113/S113,""))</f>
        <v/>
      </c>
      <c r="U113" s="94">
        <f>IFERROR(IF(OR(R113="",S113="",T113=""),0,IF(T113&lt;OBJECTIFS!$E$56,0,IF(T113&lt;OBJECTIFS!$G$56,U$8*OBJECTIFS!$F$60,IF(T113&lt;OBJECTIFS!$I$56,U$8*OBJECTIFS!$H$60,U$8)))),0)</f>
        <v>0</v>
      </c>
      <c r="V113" s="25"/>
      <c r="W113" s="90" t="str">
        <f>IF(OR($A113="",$D113="",V113=""),"",SUMIFS(OBJECTIFS!H$9:H$39,OBJECTIFS!$A$9:$A$39,$D113,OBJECTIFS!$C$9:$C$39,$F113))</f>
        <v/>
      </c>
      <c r="X113" s="90" t="str">
        <f>IF(OR(AND($D113=OBJECTIFS!$B$6,OBJECTIFS!H$8="dmt"),AND($D113=OBJECTIFS!$B$13,OBJECTIFS!$H$15="dmt"),AND($D113=OBJECTIFS!$B$20,OBJECTIFS!$H$22="dmt"),AND($D113=OBJECTIFS!$B$27,OBJECTIFS!$H$29="dmt"),AND($D113=OBJECTIFS!$B$34,OBJECTIFS!$H$36="dmt"),AND($D113=OBJECTIFS!$B$6,OBJECTIFS!$H$8="taux de chute"),AND($D113=OBJECTIFS!$B$13,OBJECTIFS!$H$15="taux de chute"),AND($D113=OBJECTIFS!$B$20,OBJECTIFS!$H$22="taux de chute"),AND($D113=OBJECTIFS!$B$27,OBJECTIFS!$H$29="taux de chute"),AND($D113=OBJECTIFS!$B$34,OBJECTIFS!$H$36="taux de chute")),IFERROR(W113/V113,""),IFERROR(V113/W113,""))</f>
        <v/>
      </c>
      <c r="Y113" s="91">
        <f>IFERROR(IF(OR(V113="",W113="",X113=""),0,IF(X113&lt;OBJECTIFS!$E$56,0,IF(X113&lt;OBJECTIFS!$G$56,Y$8*OBJECTIFS!$F$60,IF(X113&lt;OBJECTIFS!$I$56,Y$8*OBJECTIFS!$H$60,Y$8)))),0)</f>
        <v>0</v>
      </c>
      <c r="Z113" s="167"/>
      <c r="AA113" s="90" t="str">
        <f>IF(OR($A113="",$D113="",Z113=""),"",SUMIFS(OBJECTIFS!I$9:I$39,OBJECTIFS!$A$9:$A$39,$D113,OBJECTIFS!$C$9:$C$39,$F113))</f>
        <v/>
      </c>
      <c r="AB113" s="90" t="str">
        <f>IF(OR(AND($D113=OBJECTIFS!$B$6,OBJECTIFS!I$8="dmt"),AND($D113=OBJECTIFS!$B$13,OBJECTIFS!$I$15="dmt"),AND($D113=OBJECTIFS!$B$20,OBJECTIFS!$I$22="dmt"),AND($D113=OBJECTIFS!$B$27,OBJECTIFS!$I$29="dmt"),AND($D113=OBJECTIFS!$B$34,OBJECTIFS!$I$36="dmt"),AND($D113=OBJECTIFS!$B$6,OBJECTIFS!$I$8="taux de chute"),AND($D113=OBJECTIFS!$B$13,OBJECTIFS!$I$15="taux de chute"),AND($D113=OBJECTIFS!$B$20,OBJECTIFS!$I$22="taux de chute"),AND($D113=OBJECTIFS!$B$27,OBJECTIFS!$I$29="taux de chute"),AND($D113=OBJECTIFS!$B$34,OBJECTIFS!$I$36="taux de chute")),IFERROR(AA113/Z113,""),IFERROR(Z113/AA113,""))</f>
        <v/>
      </c>
      <c r="AC113" s="95">
        <f>IFERROR(IF(OR(Z113="",AA113="",AB113=""),0,IF(AB113&lt;OBJECTIFS!$E$56,0,IF(AB113&lt;OBJECTIFS!$G$56,AC$8*OBJECTIFS!$F$60,IF(AB113&lt;OBJECTIFS!$I$56,AC$8*OBJECTIFS!$H$60,AC$8)))),0)</f>
        <v>0</v>
      </c>
      <c r="AD113" s="186"/>
      <c r="AE113" s="187"/>
      <c r="AF113" s="96">
        <f t="shared" ca="1" si="20"/>
        <v>0</v>
      </c>
      <c r="AG113" s="63"/>
      <c r="AH113" s="186"/>
      <c r="AI113" s="24"/>
      <c r="AJ113" s="24"/>
      <c r="AK113" s="24"/>
      <c r="AL113" s="24"/>
      <c r="AM113" s="79">
        <f t="shared" si="21"/>
        <v>0</v>
      </c>
      <c r="AN113" s="79">
        <v>22</v>
      </c>
      <c r="AO113" s="80">
        <f t="shared" si="22"/>
        <v>0</v>
      </c>
      <c r="AP113" s="81" t="str">
        <f t="shared" ca="1" si="23"/>
        <v/>
      </c>
      <c r="AQ113" s="82"/>
      <c r="AR113" s="97">
        <f>IFERROR(VLOOKUP(B113,OBJECTIFS!$C$76:$E$137,2,FALSE),0)</f>
        <v>0</v>
      </c>
      <c r="AS113" s="98">
        <f>IFERROR(VLOOKUP(B113,OBJECTIFS!$H$76:$J$137,2,FALSE),0)</f>
        <v>0</v>
      </c>
      <c r="AT113" s="98">
        <f>IFERROR(VLOOKUP(B113,OBJECTIFS!$C$142:$E$203,2,FALSE),0)</f>
        <v>0</v>
      </c>
      <c r="AU113" s="98">
        <f>IFERROR(VLOOKUP(B113,OBJECTIFS!$H$142:$J$203,2,FALSE),0)</f>
        <v>0</v>
      </c>
      <c r="AV113" s="98">
        <f>IFERROR(VLOOKUP(B113,OBJECTIFS!$F$208:$H$269,3,FALSE),0)</f>
        <v>0</v>
      </c>
      <c r="AW113" s="81">
        <f t="shared" si="24"/>
        <v>0</v>
      </c>
      <c r="AX113" s="82"/>
      <c r="AY113" s="99" t="str">
        <f t="shared" ca="1" si="25"/>
        <v/>
      </c>
      <c r="AZ113" s="63"/>
      <c r="BA113" s="100">
        <f t="shared" ca="1" si="26"/>
        <v>0</v>
      </c>
      <c r="BB113" s="64" t="str">
        <f t="shared" ca="1" si="27"/>
        <v/>
      </c>
      <c r="BC113" s="101" t="str">
        <f t="shared" ca="1" si="28"/>
        <v/>
      </c>
    </row>
    <row r="114" spans="1:55" x14ac:dyDescent="0.2">
      <c r="A114" s="21"/>
      <c r="B114" s="22"/>
      <c r="C114" s="22"/>
      <c r="D114" s="23"/>
      <c r="E114" s="24"/>
      <c r="F114" s="34"/>
      <c r="H114" s="89" t="str">
        <f>IF(OR(D114="",F114="",A114=""),"",IF(E114="oui",0,IF(D114=OBJECTIFS!$C$45,VLOOKUP(F114,OBJECTIFS!$C$9:$D$11,2,FALSE),IF(D114=OBJECTIFS!$C$46,VLOOKUP(F114,OBJECTIFS!$C$16:$D$18,2,FALSE),IF(D114=OBJECTIFS!$C$47,VLOOKUP(F114,OBJECTIFS!$C$23:$D$25,2,FALSE),IF(D114=OBJECTIFS!$C$48,VLOOKUP(F114,OBJECTIFS!$C$30:$D$32,2,FALSE),IF(D114=OBJECTIFS!$C$49,VLOOKUP(F114,OBJECTIFS!$C$37:$D$39,2,FALSE))))))))</f>
        <v/>
      </c>
      <c r="J114" s="25"/>
      <c r="K114" s="90" t="str">
        <f>IF(OR($A114="",$D114="",J114=""),"",SUMIFS(OBJECTIFS!E$9:E$39,OBJECTIFS!$A$9:$A$39,$D114,OBJECTIFS!$C$9:$C$39,$F114))</f>
        <v/>
      </c>
      <c r="L114" s="90" t="str">
        <f>IF(OR(AND($D114=OBJECTIFS!$B$6,OBJECTIFS!E$8="dmt"),AND($D114=OBJECTIFS!$B$13,OBJECTIFS!$E$15="dmt"),AND($D114=OBJECTIFS!$B$20,OBJECTIFS!$E$22="dmt"),AND($D114=OBJECTIFS!$B$27,OBJECTIFS!$E$29="dmt"),AND($D114=OBJECTIFS!$B$34,OBJECTIFS!$E$36="dmt"),AND($D114=OBJECTIFS!$B$6,OBJECTIFS!$E$8="taux de chute"),AND($D114=OBJECTIFS!$B$13,OBJECTIFS!$E$15="taux de chute"),AND($D114=OBJECTIFS!$B$20,OBJECTIFS!$E$22="taux de chute"),AND($D114=OBJECTIFS!$B$27,OBJECTIFS!$E$29="taux de chute"),AND($D114=OBJECTIFS!$B$34,OBJECTIFS!$E$36="taux de chute")),IFERROR(K114/J114,""),IFERROR(J114/K114,""))</f>
        <v/>
      </c>
      <c r="M114" s="91">
        <f>IFERROR(IF(OR(J114="",K114="",L114=""),0,IF(L114&lt;OBJECTIFS!$E$56,0,IF(L114&lt;OBJECTIFS!$G$56,M$8*OBJECTIFS!$F$60,IF(L114&lt;OBJECTIFS!$I$56,M$8*OBJECTIFS!$H$60,M$8)))),0)</f>
        <v>0</v>
      </c>
      <c r="N114" s="161"/>
      <c r="O114" s="92" t="str">
        <f>IF(OR($A114="",$D114="",N114=""),"",SUMIFS(OBJECTIFS!F$9:F$39,OBJECTIFS!$A$9:$A$39,$D114,OBJECTIFS!$C$9:$C$39,$F114))</f>
        <v/>
      </c>
      <c r="P114" s="90" t="str">
        <f>IF(OR(AND($D114=OBJECTIFS!$B$6,OBJECTIFS!$F$8="dmt"),AND($D114=OBJECTIFS!$B$13,OBJECTIFS!$F$15="dmt"),AND($D114=OBJECTIFS!$B$20,OBJECTIFS!$F$22="dmt"),AND($D114=OBJECTIFS!$B$27,OBJECTIFS!$F$29="dmt"),AND($D114=OBJECTIFS!$B$34,OBJECTIFS!$F$36="dmt"),AND($D114=OBJECTIFS!$B$6,OBJECTIFS!$F$8="taux de chute"),AND($D114=OBJECTIFS!$B$13,OBJECTIFS!$F$15="taux de chute"),AND($D114=OBJECTIFS!$B$20,OBJECTIFS!$F$22="taux de chute"),AND($D114=OBJECTIFS!$B$27,OBJECTIFS!$F$29="taux de chute"),AND($D114=OBJECTIFS!$B$34,OBJECTIFS!$F$36="taux de chute")),IFERROR(O114/N114,""),IFERROR(N114/O114,""))</f>
        <v/>
      </c>
      <c r="Q114" s="91">
        <f>IFERROR(IF(OR(N114="",O114="",P114=""),0,IF(P114&lt;OBJECTIFS!$E$56,0,IF(P114&lt;OBJECTIFS!$G$56,Q$8*OBJECTIFS!$F$60,IF(P114&lt;OBJECTIFS!$I$56,Q$8*OBJECTIFS!$H$60,Q$8)))),0)</f>
        <v>0</v>
      </c>
      <c r="R114" s="164"/>
      <c r="S114" s="93" t="str">
        <f>IF(OR($A114="",$D114="",R114=""),"",SUMIFS(OBJECTIFS!G$9:G$39,OBJECTIFS!$A$9:$A$39,$D114,OBJECTIFS!$C$9:$C$39,$F114))</f>
        <v/>
      </c>
      <c r="T114" s="90" t="str">
        <f>IF(OR(AND($D114=OBJECTIFS!$B$6,OBJECTIFS!G$8="dmt"),AND($D114=OBJECTIFS!$B$13,OBJECTIFS!$G$15="dmt"),AND($D114=OBJECTIFS!$B$20,OBJECTIFS!$G$22="dmt"),AND($D114=OBJECTIFS!$B$27,OBJECTIFS!$G$29="dmt"),AND($D114=OBJECTIFS!$B$34,OBJECTIFS!$G$36="dmt"),AND($D114=OBJECTIFS!$B$6,OBJECTIFS!$G$8="taux de chute"),AND($D114=OBJECTIFS!$B$13,OBJECTIFS!$G$15="taux de chute"),AND($D114=OBJECTIFS!$B$20,OBJECTIFS!$G$22="taux de chute"),AND($D114=OBJECTIFS!$B$27,OBJECTIFS!$G$29="taux de chute"),AND($D114=OBJECTIFS!$B$34,OBJECTIFS!$G$36="taux de chute")),IFERROR(S114/R114,""),IFERROR(R114/S114,""))</f>
        <v/>
      </c>
      <c r="U114" s="94">
        <f>IFERROR(IF(OR(R114="",S114="",T114=""),0,IF(T114&lt;OBJECTIFS!$E$56,0,IF(T114&lt;OBJECTIFS!$G$56,U$8*OBJECTIFS!$F$60,IF(T114&lt;OBJECTIFS!$I$56,U$8*OBJECTIFS!$H$60,U$8)))),0)</f>
        <v>0</v>
      </c>
      <c r="V114" s="25"/>
      <c r="W114" s="90" t="str">
        <f>IF(OR($A114="",$D114="",V114=""),"",SUMIFS(OBJECTIFS!H$9:H$39,OBJECTIFS!$A$9:$A$39,$D114,OBJECTIFS!$C$9:$C$39,$F114))</f>
        <v/>
      </c>
      <c r="X114" s="90" t="str">
        <f>IF(OR(AND($D114=OBJECTIFS!$B$6,OBJECTIFS!H$8="dmt"),AND($D114=OBJECTIFS!$B$13,OBJECTIFS!$H$15="dmt"),AND($D114=OBJECTIFS!$B$20,OBJECTIFS!$H$22="dmt"),AND($D114=OBJECTIFS!$B$27,OBJECTIFS!$H$29="dmt"),AND($D114=OBJECTIFS!$B$34,OBJECTIFS!$H$36="dmt"),AND($D114=OBJECTIFS!$B$6,OBJECTIFS!$H$8="taux de chute"),AND($D114=OBJECTIFS!$B$13,OBJECTIFS!$H$15="taux de chute"),AND($D114=OBJECTIFS!$B$20,OBJECTIFS!$H$22="taux de chute"),AND($D114=OBJECTIFS!$B$27,OBJECTIFS!$H$29="taux de chute"),AND($D114=OBJECTIFS!$B$34,OBJECTIFS!$H$36="taux de chute")),IFERROR(W114/V114,""),IFERROR(V114/W114,""))</f>
        <v/>
      </c>
      <c r="Y114" s="91">
        <f>IFERROR(IF(OR(V114="",W114="",X114=""),0,IF(X114&lt;OBJECTIFS!$E$56,0,IF(X114&lt;OBJECTIFS!$G$56,Y$8*OBJECTIFS!$F$60,IF(X114&lt;OBJECTIFS!$I$56,Y$8*OBJECTIFS!$H$60,Y$8)))),0)</f>
        <v>0</v>
      </c>
      <c r="Z114" s="167"/>
      <c r="AA114" s="90" t="str">
        <f>IF(OR($A114="",$D114="",Z114=""),"",SUMIFS(OBJECTIFS!I$9:I$39,OBJECTIFS!$A$9:$A$39,$D114,OBJECTIFS!$C$9:$C$39,$F114))</f>
        <v/>
      </c>
      <c r="AB114" s="90" t="str">
        <f>IF(OR(AND($D114=OBJECTIFS!$B$6,OBJECTIFS!I$8="dmt"),AND($D114=OBJECTIFS!$B$13,OBJECTIFS!$I$15="dmt"),AND($D114=OBJECTIFS!$B$20,OBJECTIFS!$I$22="dmt"),AND($D114=OBJECTIFS!$B$27,OBJECTIFS!$I$29="dmt"),AND($D114=OBJECTIFS!$B$34,OBJECTIFS!$I$36="dmt"),AND($D114=OBJECTIFS!$B$6,OBJECTIFS!$I$8="taux de chute"),AND($D114=OBJECTIFS!$B$13,OBJECTIFS!$I$15="taux de chute"),AND($D114=OBJECTIFS!$B$20,OBJECTIFS!$I$22="taux de chute"),AND($D114=OBJECTIFS!$B$27,OBJECTIFS!$I$29="taux de chute"),AND($D114=OBJECTIFS!$B$34,OBJECTIFS!$I$36="taux de chute")),IFERROR(AA114/Z114,""),IFERROR(Z114/AA114,""))</f>
        <v/>
      </c>
      <c r="AC114" s="95">
        <f>IFERROR(IF(OR(Z114="",AA114="",AB114=""),0,IF(AB114&lt;OBJECTIFS!$E$56,0,IF(AB114&lt;OBJECTIFS!$G$56,AC$8*OBJECTIFS!$F$60,IF(AB114&lt;OBJECTIFS!$I$56,AC$8*OBJECTIFS!$H$60,AC$8)))),0)</f>
        <v>0</v>
      </c>
      <c r="AD114" s="186"/>
      <c r="AE114" s="187"/>
      <c r="AF114" s="96">
        <f t="shared" ca="1" si="20"/>
        <v>0</v>
      </c>
      <c r="AG114" s="63"/>
      <c r="AH114" s="186"/>
      <c r="AI114" s="24"/>
      <c r="AJ114" s="24"/>
      <c r="AK114" s="24"/>
      <c r="AL114" s="24"/>
      <c r="AM114" s="79">
        <f t="shared" si="21"/>
        <v>0</v>
      </c>
      <c r="AN114" s="79">
        <v>22</v>
      </c>
      <c r="AO114" s="80">
        <f t="shared" si="22"/>
        <v>0</v>
      </c>
      <c r="AP114" s="81" t="str">
        <f t="shared" ca="1" si="23"/>
        <v/>
      </c>
      <c r="AQ114" s="82"/>
      <c r="AR114" s="97">
        <f>IFERROR(VLOOKUP(B114,OBJECTIFS!$C$76:$E$137,2,FALSE),0)</f>
        <v>0</v>
      </c>
      <c r="AS114" s="98">
        <f>IFERROR(VLOOKUP(B114,OBJECTIFS!$H$76:$J$137,2,FALSE),0)</f>
        <v>0</v>
      </c>
      <c r="AT114" s="98">
        <f>IFERROR(VLOOKUP(B114,OBJECTIFS!$C$142:$E$203,2,FALSE),0)</f>
        <v>0</v>
      </c>
      <c r="AU114" s="98">
        <f>IFERROR(VLOOKUP(B114,OBJECTIFS!$H$142:$J$203,2,FALSE),0)</f>
        <v>0</v>
      </c>
      <c r="AV114" s="98">
        <f>IFERROR(VLOOKUP(B114,OBJECTIFS!$F$208:$H$269,3,FALSE),0)</f>
        <v>0</v>
      </c>
      <c r="AW114" s="81">
        <f t="shared" si="24"/>
        <v>0</v>
      </c>
      <c r="AX114" s="82"/>
      <c r="AY114" s="99" t="str">
        <f t="shared" ca="1" si="25"/>
        <v/>
      </c>
      <c r="AZ114" s="63"/>
      <c r="BA114" s="100">
        <f t="shared" ca="1" si="26"/>
        <v>0</v>
      </c>
      <c r="BB114" s="64" t="str">
        <f t="shared" ca="1" si="27"/>
        <v/>
      </c>
      <c r="BC114" s="101" t="str">
        <f t="shared" ca="1" si="28"/>
        <v/>
      </c>
    </row>
    <row r="115" spans="1:55" x14ac:dyDescent="0.2">
      <c r="A115" s="21"/>
      <c r="B115" s="22"/>
      <c r="C115" s="22"/>
      <c r="D115" s="23"/>
      <c r="E115" s="24"/>
      <c r="F115" s="34"/>
      <c r="H115" s="89" t="str">
        <f>IF(OR(D115="",F115="",A115=""),"",IF(E115="oui",0,IF(D115=OBJECTIFS!$C$45,VLOOKUP(F115,OBJECTIFS!$C$9:$D$11,2,FALSE),IF(D115=OBJECTIFS!$C$46,VLOOKUP(F115,OBJECTIFS!$C$16:$D$18,2,FALSE),IF(D115=OBJECTIFS!$C$47,VLOOKUP(F115,OBJECTIFS!$C$23:$D$25,2,FALSE),IF(D115=OBJECTIFS!$C$48,VLOOKUP(F115,OBJECTIFS!$C$30:$D$32,2,FALSE),IF(D115=OBJECTIFS!$C$49,VLOOKUP(F115,OBJECTIFS!$C$37:$D$39,2,FALSE))))))))</f>
        <v/>
      </c>
      <c r="J115" s="25"/>
      <c r="K115" s="90" t="str">
        <f>IF(OR($A115="",$D115="",J115=""),"",SUMIFS(OBJECTIFS!E$9:E$39,OBJECTIFS!$A$9:$A$39,$D115,OBJECTIFS!$C$9:$C$39,$F115))</f>
        <v/>
      </c>
      <c r="L115" s="90" t="str">
        <f>IF(OR(AND($D115=OBJECTIFS!$B$6,OBJECTIFS!E$8="dmt"),AND($D115=OBJECTIFS!$B$13,OBJECTIFS!$E$15="dmt"),AND($D115=OBJECTIFS!$B$20,OBJECTIFS!$E$22="dmt"),AND($D115=OBJECTIFS!$B$27,OBJECTIFS!$E$29="dmt"),AND($D115=OBJECTIFS!$B$34,OBJECTIFS!$E$36="dmt"),AND($D115=OBJECTIFS!$B$6,OBJECTIFS!$E$8="taux de chute"),AND($D115=OBJECTIFS!$B$13,OBJECTIFS!$E$15="taux de chute"),AND($D115=OBJECTIFS!$B$20,OBJECTIFS!$E$22="taux de chute"),AND($D115=OBJECTIFS!$B$27,OBJECTIFS!$E$29="taux de chute"),AND($D115=OBJECTIFS!$B$34,OBJECTIFS!$E$36="taux de chute")),IFERROR(K115/J115,""),IFERROR(J115/K115,""))</f>
        <v/>
      </c>
      <c r="M115" s="91">
        <f>IFERROR(IF(OR(J115="",K115="",L115=""),0,IF(L115&lt;OBJECTIFS!$E$56,0,IF(L115&lt;OBJECTIFS!$G$56,M$8*OBJECTIFS!$F$60,IF(L115&lt;OBJECTIFS!$I$56,M$8*OBJECTIFS!$H$60,M$8)))),0)</f>
        <v>0</v>
      </c>
      <c r="N115" s="161"/>
      <c r="O115" s="92" t="str">
        <f>IF(OR($A115="",$D115="",N115=""),"",SUMIFS(OBJECTIFS!F$9:F$39,OBJECTIFS!$A$9:$A$39,$D115,OBJECTIFS!$C$9:$C$39,$F115))</f>
        <v/>
      </c>
      <c r="P115" s="90" t="str">
        <f>IF(OR(AND($D115=OBJECTIFS!$B$6,OBJECTIFS!$F$8="dmt"),AND($D115=OBJECTIFS!$B$13,OBJECTIFS!$F$15="dmt"),AND($D115=OBJECTIFS!$B$20,OBJECTIFS!$F$22="dmt"),AND($D115=OBJECTIFS!$B$27,OBJECTIFS!$F$29="dmt"),AND($D115=OBJECTIFS!$B$34,OBJECTIFS!$F$36="dmt"),AND($D115=OBJECTIFS!$B$6,OBJECTIFS!$F$8="taux de chute"),AND($D115=OBJECTIFS!$B$13,OBJECTIFS!$F$15="taux de chute"),AND($D115=OBJECTIFS!$B$20,OBJECTIFS!$F$22="taux de chute"),AND($D115=OBJECTIFS!$B$27,OBJECTIFS!$F$29="taux de chute"),AND($D115=OBJECTIFS!$B$34,OBJECTIFS!$F$36="taux de chute")),IFERROR(O115/N115,""),IFERROR(N115/O115,""))</f>
        <v/>
      </c>
      <c r="Q115" s="91">
        <f>IFERROR(IF(OR(N115="",O115="",P115=""),0,IF(P115&lt;OBJECTIFS!$E$56,0,IF(P115&lt;OBJECTIFS!$G$56,Q$8*OBJECTIFS!$F$60,IF(P115&lt;OBJECTIFS!$I$56,Q$8*OBJECTIFS!$H$60,Q$8)))),0)</f>
        <v>0</v>
      </c>
      <c r="R115" s="164"/>
      <c r="S115" s="93" t="str">
        <f>IF(OR($A115="",$D115="",R115=""),"",SUMIFS(OBJECTIFS!G$9:G$39,OBJECTIFS!$A$9:$A$39,$D115,OBJECTIFS!$C$9:$C$39,$F115))</f>
        <v/>
      </c>
      <c r="T115" s="90" t="str">
        <f>IF(OR(AND($D115=OBJECTIFS!$B$6,OBJECTIFS!G$8="dmt"),AND($D115=OBJECTIFS!$B$13,OBJECTIFS!$G$15="dmt"),AND($D115=OBJECTIFS!$B$20,OBJECTIFS!$G$22="dmt"),AND($D115=OBJECTIFS!$B$27,OBJECTIFS!$G$29="dmt"),AND($D115=OBJECTIFS!$B$34,OBJECTIFS!$G$36="dmt"),AND($D115=OBJECTIFS!$B$6,OBJECTIFS!$G$8="taux de chute"),AND($D115=OBJECTIFS!$B$13,OBJECTIFS!$G$15="taux de chute"),AND($D115=OBJECTIFS!$B$20,OBJECTIFS!$G$22="taux de chute"),AND($D115=OBJECTIFS!$B$27,OBJECTIFS!$G$29="taux de chute"),AND($D115=OBJECTIFS!$B$34,OBJECTIFS!$G$36="taux de chute")),IFERROR(S115/R115,""),IFERROR(R115/S115,""))</f>
        <v/>
      </c>
      <c r="U115" s="94">
        <f>IFERROR(IF(OR(R115="",S115="",T115=""),0,IF(T115&lt;OBJECTIFS!$E$56,0,IF(T115&lt;OBJECTIFS!$G$56,U$8*OBJECTIFS!$F$60,IF(T115&lt;OBJECTIFS!$I$56,U$8*OBJECTIFS!$H$60,U$8)))),0)</f>
        <v>0</v>
      </c>
      <c r="V115" s="25"/>
      <c r="W115" s="90" t="str">
        <f>IF(OR($A115="",$D115="",V115=""),"",SUMIFS(OBJECTIFS!H$9:H$39,OBJECTIFS!$A$9:$A$39,$D115,OBJECTIFS!$C$9:$C$39,$F115))</f>
        <v/>
      </c>
      <c r="X115" s="90" t="str">
        <f>IF(OR(AND($D115=OBJECTIFS!$B$6,OBJECTIFS!H$8="dmt"),AND($D115=OBJECTIFS!$B$13,OBJECTIFS!$H$15="dmt"),AND($D115=OBJECTIFS!$B$20,OBJECTIFS!$H$22="dmt"),AND($D115=OBJECTIFS!$B$27,OBJECTIFS!$H$29="dmt"),AND($D115=OBJECTIFS!$B$34,OBJECTIFS!$H$36="dmt"),AND($D115=OBJECTIFS!$B$6,OBJECTIFS!$H$8="taux de chute"),AND($D115=OBJECTIFS!$B$13,OBJECTIFS!$H$15="taux de chute"),AND($D115=OBJECTIFS!$B$20,OBJECTIFS!$H$22="taux de chute"),AND($D115=OBJECTIFS!$B$27,OBJECTIFS!$H$29="taux de chute"),AND($D115=OBJECTIFS!$B$34,OBJECTIFS!$H$36="taux de chute")),IFERROR(W115/V115,""),IFERROR(V115/W115,""))</f>
        <v/>
      </c>
      <c r="Y115" s="91">
        <f>IFERROR(IF(OR(V115="",W115="",X115=""),0,IF(X115&lt;OBJECTIFS!$E$56,0,IF(X115&lt;OBJECTIFS!$G$56,Y$8*OBJECTIFS!$F$60,IF(X115&lt;OBJECTIFS!$I$56,Y$8*OBJECTIFS!$H$60,Y$8)))),0)</f>
        <v>0</v>
      </c>
      <c r="Z115" s="167"/>
      <c r="AA115" s="90" t="str">
        <f>IF(OR($A115="",$D115="",Z115=""),"",SUMIFS(OBJECTIFS!I$9:I$39,OBJECTIFS!$A$9:$A$39,$D115,OBJECTIFS!$C$9:$C$39,$F115))</f>
        <v/>
      </c>
      <c r="AB115" s="90" t="str">
        <f>IF(OR(AND($D115=OBJECTIFS!$B$6,OBJECTIFS!I$8="dmt"),AND($D115=OBJECTIFS!$B$13,OBJECTIFS!$I$15="dmt"),AND($D115=OBJECTIFS!$B$20,OBJECTIFS!$I$22="dmt"),AND($D115=OBJECTIFS!$B$27,OBJECTIFS!$I$29="dmt"),AND($D115=OBJECTIFS!$B$34,OBJECTIFS!$I$36="dmt"),AND($D115=OBJECTIFS!$B$6,OBJECTIFS!$I$8="taux de chute"),AND($D115=OBJECTIFS!$B$13,OBJECTIFS!$I$15="taux de chute"),AND($D115=OBJECTIFS!$B$20,OBJECTIFS!$I$22="taux de chute"),AND($D115=OBJECTIFS!$B$27,OBJECTIFS!$I$29="taux de chute"),AND($D115=OBJECTIFS!$B$34,OBJECTIFS!$I$36="taux de chute")),IFERROR(AA115/Z115,""),IFERROR(Z115/AA115,""))</f>
        <v/>
      </c>
      <c r="AC115" s="95">
        <f>IFERROR(IF(OR(Z115="",AA115="",AB115=""),0,IF(AB115&lt;OBJECTIFS!$E$56,0,IF(AB115&lt;OBJECTIFS!$G$56,AC$8*OBJECTIFS!$F$60,IF(AB115&lt;OBJECTIFS!$I$56,AC$8*OBJECTIFS!$H$60,AC$8)))),0)</f>
        <v>0</v>
      </c>
      <c r="AD115" s="186"/>
      <c r="AE115" s="187"/>
      <c r="AF115" s="96">
        <f t="shared" ca="1" si="2"/>
        <v>0</v>
      </c>
      <c r="AG115" s="63"/>
      <c r="AH115" s="186"/>
      <c r="AI115" s="24"/>
      <c r="AJ115" s="24"/>
      <c r="AK115" s="24"/>
      <c r="AL115" s="24"/>
      <c r="AM115" s="79">
        <f t="shared" si="3"/>
        <v>0</v>
      </c>
      <c r="AN115" s="79">
        <v>22</v>
      </c>
      <c r="AO115" s="80">
        <f t="shared" si="4"/>
        <v>0</v>
      </c>
      <c r="AP115" s="81" t="str">
        <f t="shared" ca="1" si="5"/>
        <v/>
      </c>
      <c r="AQ115" s="82"/>
      <c r="AR115" s="97">
        <f>IFERROR(VLOOKUP(B115,OBJECTIFS!$C$76:$E$137,2,FALSE),0)</f>
        <v>0</v>
      </c>
      <c r="AS115" s="98">
        <f>IFERROR(VLOOKUP(B115,OBJECTIFS!$H$76:$J$137,2,FALSE),0)</f>
        <v>0</v>
      </c>
      <c r="AT115" s="98">
        <f>IFERROR(VLOOKUP(B115,OBJECTIFS!$C$142:$E$203,2,FALSE),0)</f>
        <v>0</v>
      </c>
      <c r="AU115" s="98">
        <f>IFERROR(VLOOKUP(B115,OBJECTIFS!$H$142:$J$203,2,FALSE),0)</f>
        <v>0</v>
      </c>
      <c r="AV115" s="98">
        <f>IFERROR(VLOOKUP(B115,OBJECTIFS!$F$208:$H$269,3,FALSE),0)</f>
        <v>0</v>
      </c>
      <c r="AW115" s="81">
        <f t="shared" si="6"/>
        <v>0</v>
      </c>
      <c r="AX115" s="82"/>
      <c r="AY115" s="99" t="str">
        <f t="shared" ca="1" si="7"/>
        <v/>
      </c>
      <c r="AZ115" s="63"/>
      <c r="BA115" s="100">
        <f t="shared" ca="1" si="8"/>
        <v>0</v>
      </c>
      <c r="BB115" s="64" t="str">
        <f t="shared" ca="1" si="9"/>
        <v/>
      </c>
      <c r="BC115" s="101" t="str">
        <f t="shared" ca="1" si="10"/>
        <v/>
      </c>
    </row>
    <row r="116" spans="1:55" x14ac:dyDescent="0.2">
      <c r="A116" s="21"/>
      <c r="B116" s="22"/>
      <c r="C116" s="22"/>
      <c r="D116" s="23"/>
      <c r="E116" s="24"/>
      <c r="F116" s="34"/>
      <c r="H116" s="89" t="str">
        <f>IF(OR(D116="",F116="",A116=""),"",IF(E116="oui",0,IF(D116=OBJECTIFS!$C$45,VLOOKUP(F116,OBJECTIFS!$C$9:$D$11,2,FALSE),IF(D116=OBJECTIFS!$C$46,VLOOKUP(F116,OBJECTIFS!$C$16:$D$18,2,FALSE),IF(D116=OBJECTIFS!$C$47,VLOOKUP(F116,OBJECTIFS!$C$23:$D$25,2,FALSE),IF(D116=OBJECTIFS!$C$48,VLOOKUP(F116,OBJECTIFS!$C$30:$D$32,2,FALSE),IF(D116=OBJECTIFS!$C$49,VLOOKUP(F116,OBJECTIFS!$C$37:$D$39,2,FALSE))))))))</f>
        <v/>
      </c>
      <c r="J116" s="25"/>
      <c r="K116" s="90" t="str">
        <f>IF(OR($A116="",$D116="",J116=""),"",SUMIFS(OBJECTIFS!E$9:E$39,OBJECTIFS!$A$9:$A$39,$D116,OBJECTIFS!$C$9:$C$39,$F116))</f>
        <v/>
      </c>
      <c r="L116" s="90" t="str">
        <f>IF(OR(AND($D116=OBJECTIFS!$B$6,OBJECTIFS!E$8="dmt"),AND($D116=OBJECTIFS!$B$13,OBJECTIFS!$E$15="dmt"),AND($D116=OBJECTIFS!$B$20,OBJECTIFS!$E$22="dmt"),AND($D116=OBJECTIFS!$B$27,OBJECTIFS!$E$29="dmt"),AND($D116=OBJECTIFS!$B$34,OBJECTIFS!$E$36="dmt"),AND($D116=OBJECTIFS!$B$6,OBJECTIFS!$E$8="taux de chute"),AND($D116=OBJECTIFS!$B$13,OBJECTIFS!$E$15="taux de chute"),AND($D116=OBJECTIFS!$B$20,OBJECTIFS!$E$22="taux de chute"),AND($D116=OBJECTIFS!$B$27,OBJECTIFS!$E$29="taux de chute"),AND($D116=OBJECTIFS!$B$34,OBJECTIFS!$E$36="taux de chute")),IFERROR(K116/J116,""),IFERROR(J116/K116,""))</f>
        <v/>
      </c>
      <c r="M116" s="91">
        <f>IFERROR(IF(OR(J116="",K116="",L116=""),0,IF(L116&lt;OBJECTIFS!$E$56,0,IF(L116&lt;OBJECTIFS!$G$56,M$8*OBJECTIFS!$F$60,IF(L116&lt;OBJECTIFS!$I$56,M$8*OBJECTIFS!$H$60,M$8)))),0)</f>
        <v>0</v>
      </c>
      <c r="N116" s="161"/>
      <c r="O116" s="92" t="str">
        <f>IF(OR($A116="",$D116="",N116=""),"",SUMIFS(OBJECTIFS!F$9:F$39,OBJECTIFS!$A$9:$A$39,$D116,OBJECTIFS!$C$9:$C$39,$F116))</f>
        <v/>
      </c>
      <c r="P116" s="90" t="str">
        <f>IF(OR(AND($D116=OBJECTIFS!$B$6,OBJECTIFS!$F$8="dmt"),AND($D116=OBJECTIFS!$B$13,OBJECTIFS!$F$15="dmt"),AND($D116=OBJECTIFS!$B$20,OBJECTIFS!$F$22="dmt"),AND($D116=OBJECTIFS!$B$27,OBJECTIFS!$F$29="dmt"),AND($D116=OBJECTIFS!$B$34,OBJECTIFS!$F$36="dmt"),AND($D116=OBJECTIFS!$B$6,OBJECTIFS!$F$8="taux de chute"),AND($D116=OBJECTIFS!$B$13,OBJECTIFS!$F$15="taux de chute"),AND($D116=OBJECTIFS!$B$20,OBJECTIFS!$F$22="taux de chute"),AND($D116=OBJECTIFS!$B$27,OBJECTIFS!$F$29="taux de chute"),AND($D116=OBJECTIFS!$B$34,OBJECTIFS!$F$36="taux de chute")),IFERROR(O116/N116,""),IFERROR(N116/O116,""))</f>
        <v/>
      </c>
      <c r="Q116" s="91">
        <f>IFERROR(IF(OR(N116="",O116="",P116=""),0,IF(P116&lt;OBJECTIFS!$E$56,0,IF(P116&lt;OBJECTIFS!$G$56,Q$8*OBJECTIFS!$F$60,IF(P116&lt;OBJECTIFS!$I$56,Q$8*OBJECTIFS!$H$60,Q$8)))),0)</f>
        <v>0</v>
      </c>
      <c r="R116" s="164"/>
      <c r="S116" s="93" t="str">
        <f>IF(OR($A116="",$D116="",R116=""),"",SUMIFS(OBJECTIFS!G$9:G$39,OBJECTIFS!$A$9:$A$39,$D116,OBJECTIFS!$C$9:$C$39,$F116))</f>
        <v/>
      </c>
      <c r="T116" s="90" t="str">
        <f>IF(OR(AND($D116=OBJECTIFS!$B$6,OBJECTIFS!G$8="dmt"),AND($D116=OBJECTIFS!$B$13,OBJECTIFS!$G$15="dmt"),AND($D116=OBJECTIFS!$B$20,OBJECTIFS!$G$22="dmt"),AND($D116=OBJECTIFS!$B$27,OBJECTIFS!$G$29="dmt"),AND($D116=OBJECTIFS!$B$34,OBJECTIFS!$G$36="dmt"),AND($D116=OBJECTIFS!$B$6,OBJECTIFS!$G$8="taux de chute"),AND($D116=OBJECTIFS!$B$13,OBJECTIFS!$G$15="taux de chute"),AND($D116=OBJECTIFS!$B$20,OBJECTIFS!$G$22="taux de chute"),AND($D116=OBJECTIFS!$B$27,OBJECTIFS!$G$29="taux de chute"),AND($D116=OBJECTIFS!$B$34,OBJECTIFS!$G$36="taux de chute")),IFERROR(S116/R116,""),IFERROR(R116/S116,""))</f>
        <v/>
      </c>
      <c r="U116" s="94">
        <f>IFERROR(IF(OR(R116="",S116="",T116=""),0,IF(T116&lt;OBJECTIFS!$E$56,0,IF(T116&lt;OBJECTIFS!$G$56,U$8*OBJECTIFS!$F$60,IF(T116&lt;OBJECTIFS!$I$56,U$8*OBJECTIFS!$H$60,U$8)))),0)</f>
        <v>0</v>
      </c>
      <c r="V116" s="25"/>
      <c r="W116" s="90" t="str">
        <f>IF(OR($A116="",$D116="",V116=""),"",SUMIFS(OBJECTIFS!H$9:H$39,OBJECTIFS!$A$9:$A$39,$D116,OBJECTIFS!$C$9:$C$39,$F116))</f>
        <v/>
      </c>
      <c r="X116" s="90" t="str">
        <f>IF(OR(AND($D116=OBJECTIFS!$B$6,OBJECTIFS!H$8="dmt"),AND($D116=OBJECTIFS!$B$13,OBJECTIFS!$H$15="dmt"),AND($D116=OBJECTIFS!$B$20,OBJECTIFS!$H$22="dmt"),AND($D116=OBJECTIFS!$B$27,OBJECTIFS!$H$29="dmt"),AND($D116=OBJECTIFS!$B$34,OBJECTIFS!$H$36="dmt"),AND($D116=OBJECTIFS!$B$6,OBJECTIFS!$H$8="taux de chute"),AND($D116=OBJECTIFS!$B$13,OBJECTIFS!$H$15="taux de chute"),AND($D116=OBJECTIFS!$B$20,OBJECTIFS!$H$22="taux de chute"),AND($D116=OBJECTIFS!$B$27,OBJECTIFS!$H$29="taux de chute"),AND($D116=OBJECTIFS!$B$34,OBJECTIFS!$H$36="taux de chute")),IFERROR(W116/V116,""),IFERROR(V116/W116,""))</f>
        <v/>
      </c>
      <c r="Y116" s="91">
        <f>IFERROR(IF(OR(V116="",W116="",X116=""),0,IF(X116&lt;OBJECTIFS!$E$56,0,IF(X116&lt;OBJECTIFS!$G$56,Y$8*OBJECTIFS!$F$60,IF(X116&lt;OBJECTIFS!$I$56,Y$8*OBJECTIFS!$H$60,Y$8)))),0)</f>
        <v>0</v>
      </c>
      <c r="Z116" s="167"/>
      <c r="AA116" s="90" t="str">
        <f>IF(OR($A116="",$D116="",Z116=""),"",SUMIFS(OBJECTIFS!I$9:I$39,OBJECTIFS!$A$9:$A$39,$D116,OBJECTIFS!$C$9:$C$39,$F116))</f>
        <v/>
      </c>
      <c r="AB116" s="90" t="str">
        <f>IF(OR(AND($D116=OBJECTIFS!$B$6,OBJECTIFS!I$8="dmt"),AND($D116=OBJECTIFS!$B$13,OBJECTIFS!$I$15="dmt"),AND($D116=OBJECTIFS!$B$20,OBJECTIFS!$I$22="dmt"),AND($D116=OBJECTIFS!$B$27,OBJECTIFS!$I$29="dmt"),AND($D116=OBJECTIFS!$B$34,OBJECTIFS!$I$36="dmt"),AND($D116=OBJECTIFS!$B$6,OBJECTIFS!$I$8="taux de chute"),AND($D116=OBJECTIFS!$B$13,OBJECTIFS!$I$15="taux de chute"),AND($D116=OBJECTIFS!$B$20,OBJECTIFS!$I$22="taux de chute"),AND($D116=OBJECTIFS!$B$27,OBJECTIFS!$I$29="taux de chute"),AND($D116=OBJECTIFS!$B$34,OBJECTIFS!$I$36="taux de chute")),IFERROR(AA116/Z116,""),IFERROR(Z116/AA116,""))</f>
        <v/>
      </c>
      <c r="AC116" s="95">
        <f>IFERROR(IF(OR(Z116="",AA116="",AB116=""),0,IF(AB116&lt;OBJECTIFS!$E$56,0,IF(AB116&lt;OBJECTIFS!$G$56,AC$8*OBJECTIFS!$F$60,IF(AB116&lt;OBJECTIFS!$I$56,AC$8*OBJECTIFS!$H$60,AC$8)))),0)</f>
        <v>0</v>
      </c>
      <c r="AD116" s="186"/>
      <c r="AE116" s="187"/>
      <c r="AF116" s="96">
        <f t="shared" ca="1" si="2"/>
        <v>0</v>
      </c>
      <c r="AG116" s="63"/>
      <c r="AH116" s="186"/>
      <c r="AI116" s="24"/>
      <c r="AJ116" s="24"/>
      <c r="AK116" s="24"/>
      <c r="AL116" s="24"/>
      <c r="AM116" s="79">
        <f t="shared" si="3"/>
        <v>0</v>
      </c>
      <c r="AN116" s="79">
        <v>22</v>
      </c>
      <c r="AO116" s="80">
        <f t="shared" si="4"/>
        <v>0</v>
      </c>
      <c r="AP116" s="81" t="str">
        <f t="shared" ca="1" si="5"/>
        <v/>
      </c>
      <c r="AQ116" s="82"/>
      <c r="AR116" s="97">
        <f>IFERROR(VLOOKUP(B116,OBJECTIFS!$C$76:$E$137,2,FALSE),0)</f>
        <v>0</v>
      </c>
      <c r="AS116" s="98">
        <f>IFERROR(VLOOKUP(B116,OBJECTIFS!$H$76:$J$137,2,FALSE),0)</f>
        <v>0</v>
      </c>
      <c r="AT116" s="98">
        <f>IFERROR(VLOOKUP(B116,OBJECTIFS!$C$142:$E$203,2,FALSE),0)</f>
        <v>0</v>
      </c>
      <c r="AU116" s="98">
        <f>IFERROR(VLOOKUP(B116,OBJECTIFS!$H$142:$J$203,2,FALSE),0)</f>
        <v>0</v>
      </c>
      <c r="AV116" s="98">
        <f>IFERROR(VLOOKUP(B116,OBJECTIFS!$F$208:$H$269,3,FALSE),0)</f>
        <v>0</v>
      </c>
      <c r="AW116" s="81">
        <f t="shared" si="6"/>
        <v>0</v>
      </c>
      <c r="AX116" s="82"/>
      <c r="AY116" s="99" t="str">
        <f t="shared" ca="1" si="7"/>
        <v/>
      </c>
      <c r="AZ116" s="63"/>
      <c r="BA116" s="100">
        <f t="shared" ca="1" si="8"/>
        <v>0</v>
      </c>
      <c r="BB116" s="64" t="str">
        <f t="shared" ca="1" si="9"/>
        <v/>
      </c>
      <c r="BC116" s="101" t="str">
        <f t="shared" ca="1" si="10"/>
        <v/>
      </c>
    </row>
    <row r="117" spans="1:55" x14ac:dyDescent="0.2">
      <c r="A117" s="21"/>
      <c r="B117" s="22"/>
      <c r="C117" s="22"/>
      <c r="D117" s="23"/>
      <c r="E117" s="24"/>
      <c r="F117" s="34"/>
      <c r="H117" s="89" t="str">
        <f>IF(OR(D117="",F117="",A117=""),"",IF(E117="oui",0,IF(D117=OBJECTIFS!$C$45,VLOOKUP(F117,OBJECTIFS!$C$9:$D$11,2,FALSE),IF(D117=OBJECTIFS!$C$46,VLOOKUP(F117,OBJECTIFS!$C$16:$D$18,2,FALSE),IF(D117=OBJECTIFS!$C$47,VLOOKUP(F117,OBJECTIFS!$C$23:$D$25,2,FALSE),IF(D117=OBJECTIFS!$C$48,VLOOKUP(F117,OBJECTIFS!$C$30:$D$32,2,FALSE),IF(D117=OBJECTIFS!$C$49,VLOOKUP(F117,OBJECTIFS!$C$37:$D$39,2,FALSE))))))))</f>
        <v/>
      </c>
      <c r="J117" s="25"/>
      <c r="K117" s="90" t="str">
        <f>IF(OR($A117="",$D117="",J117=""),"",SUMIFS(OBJECTIFS!E$9:E$39,OBJECTIFS!$A$9:$A$39,$D117,OBJECTIFS!$C$9:$C$39,$F117))</f>
        <v/>
      </c>
      <c r="L117" s="90" t="str">
        <f>IF(OR(AND($D117=OBJECTIFS!$B$6,OBJECTIFS!E$8="dmt"),AND($D117=OBJECTIFS!$B$13,OBJECTIFS!$E$15="dmt"),AND($D117=OBJECTIFS!$B$20,OBJECTIFS!$E$22="dmt"),AND($D117=OBJECTIFS!$B$27,OBJECTIFS!$E$29="dmt"),AND($D117=OBJECTIFS!$B$34,OBJECTIFS!$E$36="dmt"),AND($D117=OBJECTIFS!$B$6,OBJECTIFS!$E$8="taux de chute"),AND($D117=OBJECTIFS!$B$13,OBJECTIFS!$E$15="taux de chute"),AND($D117=OBJECTIFS!$B$20,OBJECTIFS!$E$22="taux de chute"),AND($D117=OBJECTIFS!$B$27,OBJECTIFS!$E$29="taux de chute"),AND($D117=OBJECTIFS!$B$34,OBJECTIFS!$E$36="taux de chute")),IFERROR(K117/J117,""),IFERROR(J117/K117,""))</f>
        <v/>
      </c>
      <c r="M117" s="91">
        <f>IFERROR(IF(OR(J117="",K117="",L117=""),0,IF(L117&lt;OBJECTIFS!$E$56,0,IF(L117&lt;OBJECTIFS!$G$56,M$8*OBJECTIFS!$F$60,IF(L117&lt;OBJECTIFS!$I$56,M$8*OBJECTIFS!$H$60,M$8)))),0)</f>
        <v>0</v>
      </c>
      <c r="N117" s="161"/>
      <c r="O117" s="92" t="str">
        <f>IF(OR($A117="",$D117="",N117=""),"",SUMIFS(OBJECTIFS!F$9:F$39,OBJECTIFS!$A$9:$A$39,$D117,OBJECTIFS!$C$9:$C$39,$F117))</f>
        <v/>
      </c>
      <c r="P117" s="90" t="str">
        <f>IF(OR(AND($D117=OBJECTIFS!$B$6,OBJECTIFS!$F$8="dmt"),AND($D117=OBJECTIFS!$B$13,OBJECTIFS!$F$15="dmt"),AND($D117=OBJECTIFS!$B$20,OBJECTIFS!$F$22="dmt"),AND($D117=OBJECTIFS!$B$27,OBJECTIFS!$F$29="dmt"),AND($D117=OBJECTIFS!$B$34,OBJECTIFS!$F$36="dmt"),AND($D117=OBJECTIFS!$B$6,OBJECTIFS!$F$8="taux de chute"),AND($D117=OBJECTIFS!$B$13,OBJECTIFS!$F$15="taux de chute"),AND($D117=OBJECTIFS!$B$20,OBJECTIFS!$F$22="taux de chute"),AND($D117=OBJECTIFS!$B$27,OBJECTIFS!$F$29="taux de chute"),AND($D117=OBJECTIFS!$B$34,OBJECTIFS!$F$36="taux de chute")),IFERROR(O117/N117,""),IFERROR(N117/O117,""))</f>
        <v/>
      </c>
      <c r="Q117" s="91">
        <f>IFERROR(IF(OR(N117="",O117="",P117=""),0,IF(P117&lt;OBJECTIFS!$E$56,0,IF(P117&lt;OBJECTIFS!$G$56,Q$8*OBJECTIFS!$F$60,IF(P117&lt;OBJECTIFS!$I$56,Q$8*OBJECTIFS!$H$60,Q$8)))),0)</f>
        <v>0</v>
      </c>
      <c r="R117" s="164"/>
      <c r="S117" s="93" t="str">
        <f>IF(OR($A117="",$D117="",R117=""),"",SUMIFS(OBJECTIFS!G$9:G$39,OBJECTIFS!$A$9:$A$39,$D117,OBJECTIFS!$C$9:$C$39,$F117))</f>
        <v/>
      </c>
      <c r="T117" s="90" t="str">
        <f>IF(OR(AND($D117=OBJECTIFS!$B$6,OBJECTIFS!G$8="dmt"),AND($D117=OBJECTIFS!$B$13,OBJECTIFS!$G$15="dmt"),AND($D117=OBJECTIFS!$B$20,OBJECTIFS!$G$22="dmt"),AND($D117=OBJECTIFS!$B$27,OBJECTIFS!$G$29="dmt"),AND($D117=OBJECTIFS!$B$34,OBJECTIFS!$G$36="dmt"),AND($D117=OBJECTIFS!$B$6,OBJECTIFS!$G$8="taux de chute"),AND($D117=OBJECTIFS!$B$13,OBJECTIFS!$G$15="taux de chute"),AND($D117=OBJECTIFS!$B$20,OBJECTIFS!$G$22="taux de chute"),AND($D117=OBJECTIFS!$B$27,OBJECTIFS!$G$29="taux de chute"),AND($D117=OBJECTIFS!$B$34,OBJECTIFS!$G$36="taux de chute")),IFERROR(S117/R117,""),IFERROR(R117/S117,""))</f>
        <v/>
      </c>
      <c r="U117" s="94">
        <f>IFERROR(IF(OR(R117="",S117="",T117=""),0,IF(T117&lt;OBJECTIFS!$E$56,0,IF(T117&lt;OBJECTIFS!$G$56,U$8*OBJECTIFS!$F$60,IF(T117&lt;OBJECTIFS!$I$56,U$8*OBJECTIFS!$H$60,U$8)))),0)</f>
        <v>0</v>
      </c>
      <c r="V117" s="25"/>
      <c r="W117" s="90" t="str">
        <f>IF(OR($A117="",$D117="",V117=""),"",SUMIFS(OBJECTIFS!H$9:H$39,OBJECTIFS!$A$9:$A$39,$D117,OBJECTIFS!$C$9:$C$39,$F117))</f>
        <v/>
      </c>
      <c r="X117" s="90" t="str">
        <f>IF(OR(AND($D117=OBJECTIFS!$B$6,OBJECTIFS!H$8="dmt"),AND($D117=OBJECTIFS!$B$13,OBJECTIFS!$H$15="dmt"),AND($D117=OBJECTIFS!$B$20,OBJECTIFS!$H$22="dmt"),AND($D117=OBJECTIFS!$B$27,OBJECTIFS!$H$29="dmt"),AND($D117=OBJECTIFS!$B$34,OBJECTIFS!$H$36="dmt"),AND($D117=OBJECTIFS!$B$6,OBJECTIFS!$H$8="taux de chute"),AND($D117=OBJECTIFS!$B$13,OBJECTIFS!$H$15="taux de chute"),AND($D117=OBJECTIFS!$B$20,OBJECTIFS!$H$22="taux de chute"),AND($D117=OBJECTIFS!$B$27,OBJECTIFS!$H$29="taux de chute"),AND($D117=OBJECTIFS!$B$34,OBJECTIFS!$H$36="taux de chute")),IFERROR(W117/V117,""),IFERROR(V117/W117,""))</f>
        <v/>
      </c>
      <c r="Y117" s="91">
        <f>IFERROR(IF(OR(V117="",W117="",X117=""),0,IF(X117&lt;OBJECTIFS!$E$56,0,IF(X117&lt;OBJECTIFS!$G$56,Y$8*OBJECTIFS!$F$60,IF(X117&lt;OBJECTIFS!$I$56,Y$8*OBJECTIFS!$H$60,Y$8)))),0)</f>
        <v>0</v>
      </c>
      <c r="Z117" s="167"/>
      <c r="AA117" s="90" t="str">
        <f>IF(OR($A117="",$D117="",Z117=""),"",SUMIFS(OBJECTIFS!I$9:I$39,OBJECTIFS!$A$9:$A$39,$D117,OBJECTIFS!$C$9:$C$39,$F117))</f>
        <v/>
      </c>
      <c r="AB117" s="90" t="str">
        <f>IF(OR(AND($D117=OBJECTIFS!$B$6,OBJECTIFS!I$8="dmt"),AND($D117=OBJECTIFS!$B$13,OBJECTIFS!$I$15="dmt"),AND($D117=OBJECTIFS!$B$20,OBJECTIFS!$I$22="dmt"),AND($D117=OBJECTIFS!$B$27,OBJECTIFS!$I$29="dmt"),AND($D117=OBJECTIFS!$B$34,OBJECTIFS!$I$36="dmt"),AND($D117=OBJECTIFS!$B$6,OBJECTIFS!$I$8="taux de chute"),AND($D117=OBJECTIFS!$B$13,OBJECTIFS!$I$15="taux de chute"),AND($D117=OBJECTIFS!$B$20,OBJECTIFS!$I$22="taux de chute"),AND($D117=OBJECTIFS!$B$27,OBJECTIFS!$I$29="taux de chute"),AND($D117=OBJECTIFS!$B$34,OBJECTIFS!$I$36="taux de chute")),IFERROR(AA117/Z117,""),IFERROR(Z117/AA117,""))</f>
        <v/>
      </c>
      <c r="AC117" s="95">
        <f>IFERROR(IF(OR(Z117="",AA117="",AB117=""),0,IF(AB117&lt;OBJECTIFS!$E$56,0,IF(AB117&lt;OBJECTIFS!$G$56,AC$8*OBJECTIFS!$F$60,IF(AB117&lt;OBJECTIFS!$I$56,AC$8*OBJECTIFS!$H$60,AC$8)))),0)</f>
        <v>0</v>
      </c>
      <c r="AD117" s="186"/>
      <c r="AE117" s="187"/>
      <c r="AF117" s="96">
        <f t="shared" ca="1" si="2"/>
        <v>0</v>
      </c>
      <c r="AG117" s="63"/>
      <c r="AH117" s="186"/>
      <c r="AI117" s="24"/>
      <c r="AJ117" s="24"/>
      <c r="AK117" s="24"/>
      <c r="AL117" s="24"/>
      <c r="AM117" s="79">
        <f t="shared" si="3"/>
        <v>0</v>
      </c>
      <c r="AN117" s="79">
        <v>22</v>
      </c>
      <c r="AO117" s="80">
        <f t="shared" si="4"/>
        <v>0</v>
      </c>
      <c r="AP117" s="81" t="str">
        <f t="shared" ca="1" si="5"/>
        <v/>
      </c>
      <c r="AQ117" s="82"/>
      <c r="AR117" s="97">
        <f>IFERROR(VLOOKUP(B117,OBJECTIFS!$C$76:$E$137,2,FALSE),0)</f>
        <v>0</v>
      </c>
      <c r="AS117" s="98">
        <f>IFERROR(VLOOKUP(B117,OBJECTIFS!$H$76:$J$137,2,FALSE),0)</f>
        <v>0</v>
      </c>
      <c r="AT117" s="98">
        <f>IFERROR(VLOOKUP(B117,OBJECTIFS!$C$142:$E$203,2,FALSE),0)</f>
        <v>0</v>
      </c>
      <c r="AU117" s="98">
        <f>IFERROR(VLOOKUP(B117,OBJECTIFS!$H$142:$J$203,2,FALSE),0)</f>
        <v>0</v>
      </c>
      <c r="AV117" s="98">
        <f>IFERROR(VLOOKUP(B117,OBJECTIFS!$F$208:$H$269,3,FALSE),0)</f>
        <v>0</v>
      </c>
      <c r="AW117" s="81">
        <f t="shared" si="6"/>
        <v>0</v>
      </c>
      <c r="AX117" s="82"/>
      <c r="AY117" s="99" t="str">
        <f t="shared" ca="1" si="7"/>
        <v/>
      </c>
      <c r="AZ117" s="63"/>
      <c r="BA117" s="100">
        <f t="shared" ca="1" si="8"/>
        <v>0</v>
      </c>
      <c r="BB117" s="64" t="str">
        <f t="shared" ca="1" si="9"/>
        <v/>
      </c>
      <c r="BC117" s="101" t="str">
        <f t="shared" ca="1" si="10"/>
        <v/>
      </c>
    </row>
    <row r="118" spans="1:55" x14ac:dyDescent="0.2">
      <c r="A118" s="21"/>
      <c r="B118" s="22"/>
      <c r="C118" s="22"/>
      <c r="D118" s="23"/>
      <c r="E118" s="24"/>
      <c r="F118" s="34"/>
      <c r="H118" s="89" t="str">
        <f>IF(OR(D118="",F118="",A118=""),"",IF(E118="oui",0,IF(D118=OBJECTIFS!$C$45,VLOOKUP(F118,OBJECTIFS!$C$9:$D$11,2,FALSE),IF(D118=OBJECTIFS!$C$46,VLOOKUP(F118,OBJECTIFS!$C$16:$D$18,2,FALSE),IF(D118=OBJECTIFS!$C$47,VLOOKUP(F118,OBJECTIFS!$C$23:$D$25,2,FALSE),IF(D118=OBJECTIFS!$C$48,VLOOKUP(F118,OBJECTIFS!$C$30:$D$32,2,FALSE),IF(D118=OBJECTIFS!$C$49,VLOOKUP(F118,OBJECTIFS!$C$37:$D$39,2,FALSE))))))))</f>
        <v/>
      </c>
      <c r="J118" s="25"/>
      <c r="K118" s="90" t="str">
        <f>IF(OR($A118="",$D118="",J118=""),"",SUMIFS(OBJECTIFS!E$9:E$39,OBJECTIFS!$A$9:$A$39,$D118,OBJECTIFS!$C$9:$C$39,$F118))</f>
        <v/>
      </c>
      <c r="L118" s="90" t="str">
        <f>IF(OR(AND($D118=OBJECTIFS!$B$6,OBJECTIFS!E$8="dmt"),AND($D118=OBJECTIFS!$B$13,OBJECTIFS!$E$15="dmt"),AND($D118=OBJECTIFS!$B$20,OBJECTIFS!$E$22="dmt"),AND($D118=OBJECTIFS!$B$27,OBJECTIFS!$E$29="dmt"),AND($D118=OBJECTIFS!$B$34,OBJECTIFS!$E$36="dmt"),AND($D118=OBJECTIFS!$B$6,OBJECTIFS!$E$8="taux de chute"),AND($D118=OBJECTIFS!$B$13,OBJECTIFS!$E$15="taux de chute"),AND($D118=OBJECTIFS!$B$20,OBJECTIFS!$E$22="taux de chute"),AND($D118=OBJECTIFS!$B$27,OBJECTIFS!$E$29="taux de chute"),AND($D118=OBJECTIFS!$B$34,OBJECTIFS!$E$36="taux de chute")),IFERROR(K118/J118,""),IFERROR(J118/K118,""))</f>
        <v/>
      </c>
      <c r="M118" s="91">
        <f>IFERROR(IF(OR(J118="",K118="",L118=""),0,IF(L118&lt;OBJECTIFS!$E$56,0,IF(L118&lt;OBJECTIFS!$G$56,M$8*OBJECTIFS!$F$60,IF(L118&lt;OBJECTIFS!$I$56,M$8*OBJECTIFS!$H$60,M$8)))),0)</f>
        <v>0</v>
      </c>
      <c r="N118" s="161"/>
      <c r="O118" s="92" t="str">
        <f>IF(OR($A118="",$D118="",N118=""),"",SUMIFS(OBJECTIFS!F$9:F$39,OBJECTIFS!$A$9:$A$39,$D118,OBJECTIFS!$C$9:$C$39,$F118))</f>
        <v/>
      </c>
      <c r="P118" s="90" t="str">
        <f>IF(OR(AND($D118=OBJECTIFS!$B$6,OBJECTIFS!$F$8="dmt"),AND($D118=OBJECTIFS!$B$13,OBJECTIFS!$F$15="dmt"),AND($D118=OBJECTIFS!$B$20,OBJECTIFS!$F$22="dmt"),AND($D118=OBJECTIFS!$B$27,OBJECTIFS!$F$29="dmt"),AND($D118=OBJECTIFS!$B$34,OBJECTIFS!$F$36="dmt"),AND($D118=OBJECTIFS!$B$6,OBJECTIFS!$F$8="taux de chute"),AND($D118=OBJECTIFS!$B$13,OBJECTIFS!$F$15="taux de chute"),AND($D118=OBJECTIFS!$B$20,OBJECTIFS!$F$22="taux de chute"),AND($D118=OBJECTIFS!$B$27,OBJECTIFS!$F$29="taux de chute"),AND($D118=OBJECTIFS!$B$34,OBJECTIFS!$F$36="taux de chute")),IFERROR(O118/N118,""),IFERROR(N118/O118,""))</f>
        <v/>
      </c>
      <c r="Q118" s="91">
        <f>IFERROR(IF(OR(N118="",O118="",P118=""),0,IF(P118&lt;OBJECTIFS!$E$56,0,IF(P118&lt;OBJECTIFS!$G$56,Q$8*OBJECTIFS!$F$60,IF(P118&lt;OBJECTIFS!$I$56,Q$8*OBJECTIFS!$H$60,Q$8)))),0)</f>
        <v>0</v>
      </c>
      <c r="R118" s="164"/>
      <c r="S118" s="93" t="str">
        <f>IF(OR($A118="",$D118="",R118=""),"",SUMIFS(OBJECTIFS!G$9:G$39,OBJECTIFS!$A$9:$A$39,$D118,OBJECTIFS!$C$9:$C$39,$F118))</f>
        <v/>
      </c>
      <c r="T118" s="90" t="str">
        <f>IF(OR(AND($D118=OBJECTIFS!$B$6,OBJECTIFS!G$8="dmt"),AND($D118=OBJECTIFS!$B$13,OBJECTIFS!$G$15="dmt"),AND($D118=OBJECTIFS!$B$20,OBJECTIFS!$G$22="dmt"),AND($D118=OBJECTIFS!$B$27,OBJECTIFS!$G$29="dmt"),AND($D118=OBJECTIFS!$B$34,OBJECTIFS!$G$36="dmt"),AND($D118=OBJECTIFS!$B$6,OBJECTIFS!$G$8="taux de chute"),AND($D118=OBJECTIFS!$B$13,OBJECTIFS!$G$15="taux de chute"),AND($D118=OBJECTIFS!$B$20,OBJECTIFS!$G$22="taux de chute"),AND($D118=OBJECTIFS!$B$27,OBJECTIFS!$G$29="taux de chute"),AND($D118=OBJECTIFS!$B$34,OBJECTIFS!$G$36="taux de chute")),IFERROR(S118/R118,""),IFERROR(R118/S118,""))</f>
        <v/>
      </c>
      <c r="U118" s="94">
        <f>IFERROR(IF(OR(R118="",S118="",T118=""),0,IF(T118&lt;OBJECTIFS!$E$56,0,IF(T118&lt;OBJECTIFS!$G$56,U$8*OBJECTIFS!$F$60,IF(T118&lt;OBJECTIFS!$I$56,U$8*OBJECTIFS!$H$60,U$8)))),0)</f>
        <v>0</v>
      </c>
      <c r="V118" s="25"/>
      <c r="W118" s="90" t="str">
        <f>IF(OR($A118="",$D118="",V118=""),"",SUMIFS(OBJECTIFS!H$9:H$39,OBJECTIFS!$A$9:$A$39,$D118,OBJECTIFS!$C$9:$C$39,$F118))</f>
        <v/>
      </c>
      <c r="X118" s="90" t="str">
        <f>IF(OR(AND($D118=OBJECTIFS!$B$6,OBJECTIFS!H$8="dmt"),AND($D118=OBJECTIFS!$B$13,OBJECTIFS!$H$15="dmt"),AND($D118=OBJECTIFS!$B$20,OBJECTIFS!$H$22="dmt"),AND($D118=OBJECTIFS!$B$27,OBJECTIFS!$H$29="dmt"),AND($D118=OBJECTIFS!$B$34,OBJECTIFS!$H$36="dmt"),AND($D118=OBJECTIFS!$B$6,OBJECTIFS!$H$8="taux de chute"),AND($D118=OBJECTIFS!$B$13,OBJECTIFS!$H$15="taux de chute"),AND($D118=OBJECTIFS!$B$20,OBJECTIFS!$H$22="taux de chute"),AND($D118=OBJECTIFS!$B$27,OBJECTIFS!$H$29="taux de chute"),AND($D118=OBJECTIFS!$B$34,OBJECTIFS!$H$36="taux de chute")),IFERROR(W118/V118,""),IFERROR(V118/W118,""))</f>
        <v/>
      </c>
      <c r="Y118" s="91">
        <f>IFERROR(IF(OR(V118="",W118="",X118=""),0,IF(X118&lt;OBJECTIFS!$E$56,0,IF(X118&lt;OBJECTIFS!$G$56,Y$8*OBJECTIFS!$F$60,IF(X118&lt;OBJECTIFS!$I$56,Y$8*OBJECTIFS!$H$60,Y$8)))),0)</f>
        <v>0</v>
      </c>
      <c r="Z118" s="167"/>
      <c r="AA118" s="90" t="str">
        <f>IF(OR($A118="",$D118="",Z118=""),"",SUMIFS(OBJECTIFS!I$9:I$39,OBJECTIFS!$A$9:$A$39,$D118,OBJECTIFS!$C$9:$C$39,$F118))</f>
        <v/>
      </c>
      <c r="AB118" s="90" t="str">
        <f>IF(OR(AND($D118=OBJECTIFS!$B$6,OBJECTIFS!I$8="dmt"),AND($D118=OBJECTIFS!$B$13,OBJECTIFS!$I$15="dmt"),AND($D118=OBJECTIFS!$B$20,OBJECTIFS!$I$22="dmt"),AND($D118=OBJECTIFS!$B$27,OBJECTIFS!$I$29="dmt"),AND($D118=OBJECTIFS!$B$34,OBJECTIFS!$I$36="dmt"),AND($D118=OBJECTIFS!$B$6,OBJECTIFS!$I$8="taux de chute"),AND($D118=OBJECTIFS!$B$13,OBJECTIFS!$I$15="taux de chute"),AND($D118=OBJECTIFS!$B$20,OBJECTIFS!$I$22="taux de chute"),AND($D118=OBJECTIFS!$B$27,OBJECTIFS!$I$29="taux de chute"),AND($D118=OBJECTIFS!$B$34,OBJECTIFS!$I$36="taux de chute")),IFERROR(AA118/Z118,""),IFERROR(Z118/AA118,""))</f>
        <v/>
      </c>
      <c r="AC118" s="95">
        <f>IFERROR(IF(OR(Z118="",AA118="",AB118=""),0,IF(AB118&lt;OBJECTIFS!$E$56,0,IF(AB118&lt;OBJECTIFS!$G$56,AC$8*OBJECTIFS!$F$60,IF(AB118&lt;OBJECTIFS!$I$56,AC$8*OBJECTIFS!$H$60,AC$8)))),0)</f>
        <v>0</v>
      </c>
      <c r="AD118" s="186"/>
      <c r="AE118" s="187"/>
      <c r="AF118" s="96">
        <f t="shared" ca="1" si="2"/>
        <v>0</v>
      </c>
      <c r="AG118" s="63"/>
      <c r="AH118" s="186"/>
      <c r="AI118" s="24"/>
      <c r="AJ118" s="24"/>
      <c r="AK118" s="24"/>
      <c r="AL118" s="24"/>
      <c r="AM118" s="79">
        <f t="shared" si="3"/>
        <v>0</v>
      </c>
      <c r="AN118" s="79">
        <v>22</v>
      </c>
      <c r="AO118" s="80">
        <f t="shared" si="4"/>
        <v>0</v>
      </c>
      <c r="AP118" s="81" t="str">
        <f t="shared" ca="1" si="5"/>
        <v/>
      </c>
      <c r="AQ118" s="82"/>
      <c r="AR118" s="97">
        <f>IFERROR(VLOOKUP(B118,OBJECTIFS!$C$76:$E$137,2,FALSE),0)</f>
        <v>0</v>
      </c>
      <c r="AS118" s="98">
        <f>IFERROR(VLOOKUP(B118,OBJECTIFS!$H$76:$J$137,2,FALSE),0)</f>
        <v>0</v>
      </c>
      <c r="AT118" s="98">
        <f>IFERROR(VLOOKUP(B118,OBJECTIFS!$C$142:$E$203,2,FALSE),0)</f>
        <v>0</v>
      </c>
      <c r="AU118" s="98">
        <f>IFERROR(VLOOKUP(B118,OBJECTIFS!$H$142:$J$203,2,FALSE),0)</f>
        <v>0</v>
      </c>
      <c r="AV118" s="98">
        <f>IFERROR(VLOOKUP(B118,OBJECTIFS!$F$208:$H$269,3,FALSE),0)</f>
        <v>0</v>
      </c>
      <c r="AW118" s="81">
        <f t="shared" si="6"/>
        <v>0</v>
      </c>
      <c r="AX118" s="82"/>
      <c r="AY118" s="99" t="str">
        <f t="shared" ca="1" si="7"/>
        <v/>
      </c>
      <c r="AZ118" s="63"/>
      <c r="BA118" s="100">
        <f t="shared" ca="1" si="8"/>
        <v>0</v>
      </c>
      <c r="BB118" s="64" t="str">
        <f t="shared" ca="1" si="9"/>
        <v/>
      </c>
      <c r="BC118" s="101" t="str">
        <f t="shared" ca="1" si="10"/>
        <v/>
      </c>
    </row>
    <row r="119" spans="1:55" x14ac:dyDescent="0.2">
      <c r="A119" s="21"/>
      <c r="B119" s="22"/>
      <c r="C119" s="22"/>
      <c r="D119" s="23"/>
      <c r="E119" s="24"/>
      <c r="F119" s="34"/>
      <c r="H119" s="89" t="str">
        <f>IF(OR(D119="",F119="",A119=""),"",IF(E119="oui",0,IF(D119=OBJECTIFS!$C$45,VLOOKUP(F119,OBJECTIFS!$C$9:$D$11,2,FALSE),IF(D119=OBJECTIFS!$C$46,VLOOKUP(F119,OBJECTIFS!$C$16:$D$18,2,FALSE),IF(D119=OBJECTIFS!$C$47,VLOOKUP(F119,OBJECTIFS!$C$23:$D$25,2,FALSE),IF(D119=OBJECTIFS!$C$48,VLOOKUP(F119,OBJECTIFS!$C$30:$D$32,2,FALSE),IF(D119=OBJECTIFS!$C$49,VLOOKUP(F119,OBJECTIFS!$C$37:$D$39,2,FALSE))))))))</f>
        <v/>
      </c>
      <c r="J119" s="25"/>
      <c r="K119" s="90" t="str">
        <f>IF(OR($A119="",$D119="",J119=""),"",SUMIFS(OBJECTIFS!E$9:E$39,OBJECTIFS!$A$9:$A$39,$D119,OBJECTIFS!$C$9:$C$39,$F119))</f>
        <v/>
      </c>
      <c r="L119" s="90" t="str">
        <f>IF(OR(AND($D119=OBJECTIFS!$B$6,OBJECTIFS!E$8="dmt"),AND($D119=OBJECTIFS!$B$13,OBJECTIFS!$E$15="dmt"),AND($D119=OBJECTIFS!$B$20,OBJECTIFS!$E$22="dmt"),AND($D119=OBJECTIFS!$B$27,OBJECTIFS!$E$29="dmt"),AND($D119=OBJECTIFS!$B$34,OBJECTIFS!$E$36="dmt"),AND($D119=OBJECTIFS!$B$6,OBJECTIFS!$E$8="taux de chute"),AND($D119=OBJECTIFS!$B$13,OBJECTIFS!$E$15="taux de chute"),AND($D119=OBJECTIFS!$B$20,OBJECTIFS!$E$22="taux de chute"),AND($D119=OBJECTIFS!$B$27,OBJECTIFS!$E$29="taux de chute"),AND($D119=OBJECTIFS!$B$34,OBJECTIFS!$E$36="taux de chute")),IFERROR(K119/J119,""),IFERROR(J119/K119,""))</f>
        <v/>
      </c>
      <c r="M119" s="91">
        <f>IFERROR(IF(OR(J119="",K119="",L119=""),0,IF(L119&lt;OBJECTIFS!$E$56,0,IF(L119&lt;OBJECTIFS!$G$56,M$8*OBJECTIFS!$F$60,IF(L119&lt;OBJECTIFS!$I$56,M$8*OBJECTIFS!$H$60,M$8)))),0)</f>
        <v>0</v>
      </c>
      <c r="N119" s="161"/>
      <c r="O119" s="92" t="str">
        <f>IF(OR($A119="",$D119="",N119=""),"",SUMIFS(OBJECTIFS!F$9:F$39,OBJECTIFS!$A$9:$A$39,$D119,OBJECTIFS!$C$9:$C$39,$F119))</f>
        <v/>
      </c>
      <c r="P119" s="90" t="str">
        <f>IF(OR(AND($D119=OBJECTIFS!$B$6,OBJECTIFS!$F$8="dmt"),AND($D119=OBJECTIFS!$B$13,OBJECTIFS!$F$15="dmt"),AND($D119=OBJECTIFS!$B$20,OBJECTIFS!$F$22="dmt"),AND($D119=OBJECTIFS!$B$27,OBJECTIFS!$F$29="dmt"),AND($D119=OBJECTIFS!$B$34,OBJECTIFS!$F$36="dmt"),AND($D119=OBJECTIFS!$B$6,OBJECTIFS!$F$8="taux de chute"),AND($D119=OBJECTIFS!$B$13,OBJECTIFS!$F$15="taux de chute"),AND($D119=OBJECTIFS!$B$20,OBJECTIFS!$F$22="taux de chute"),AND($D119=OBJECTIFS!$B$27,OBJECTIFS!$F$29="taux de chute"),AND($D119=OBJECTIFS!$B$34,OBJECTIFS!$F$36="taux de chute")),IFERROR(O119/N119,""),IFERROR(N119/O119,""))</f>
        <v/>
      </c>
      <c r="Q119" s="91">
        <f>IFERROR(IF(OR(N119="",O119="",P119=""),0,IF(P119&lt;OBJECTIFS!$E$56,0,IF(P119&lt;OBJECTIFS!$G$56,Q$8*OBJECTIFS!$F$60,IF(P119&lt;OBJECTIFS!$I$56,Q$8*OBJECTIFS!$H$60,Q$8)))),0)</f>
        <v>0</v>
      </c>
      <c r="R119" s="164"/>
      <c r="S119" s="93" t="str">
        <f>IF(OR($A119="",$D119="",R119=""),"",SUMIFS(OBJECTIFS!G$9:G$39,OBJECTIFS!$A$9:$A$39,$D119,OBJECTIFS!$C$9:$C$39,$F119))</f>
        <v/>
      </c>
      <c r="T119" s="90" t="str">
        <f>IF(OR(AND($D119=OBJECTIFS!$B$6,OBJECTIFS!G$8="dmt"),AND($D119=OBJECTIFS!$B$13,OBJECTIFS!$G$15="dmt"),AND($D119=OBJECTIFS!$B$20,OBJECTIFS!$G$22="dmt"),AND($D119=OBJECTIFS!$B$27,OBJECTIFS!$G$29="dmt"),AND($D119=OBJECTIFS!$B$34,OBJECTIFS!$G$36="dmt"),AND($D119=OBJECTIFS!$B$6,OBJECTIFS!$G$8="taux de chute"),AND($D119=OBJECTIFS!$B$13,OBJECTIFS!$G$15="taux de chute"),AND($D119=OBJECTIFS!$B$20,OBJECTIFS!$G$22="taux de chute"),AND($D119=OBJECTIFS!$B$27,OBJECTIFS!$G$29="taux de chute"),AND($D119=OBJECTIFS!$B$34,OBJECTIFS!$G$36="taux de chute")),IFERROR(S119/R119,""),IFERROR(R119/S119,""))</f>
        <v/>
      </c>
      <c r="U119" s="94">
        <f>IFERROR(IF(OR(R119="",S119="",T119=""),0,IF(T119&lt;OBJECTIFS!$E$56,0,IF(T119&lt;OBJECTIFS!$G$56,U$8*OBJECTIFS!$F$60,IF(T119&lt;OBJECTIFS!$I$56,U$8*OBJECTIFS!$H$60,U$8)))),0)</f>
        <v>0</v>
      </c>
      <c r="V119" s="25"/>
      <c r="W119" s="90" t="str">
        <f>IF(OR($A119="",$D119="",V119=""),"",SUMIFS(OBJECTIFS!H$9:H$39,OBJECTIFS!$A$9:$A$39,$D119,OBJECTIFS!$C$9:$C$39,$F119))</f>
        <v/>
      </c>
      <c r="X119" s="90" t="str">
        <f>IF(OR(AND($D119=OBJECTIFS!$B$6,OBJECTIFS!H$8="dmt"),AND($D119=OBJECTIFS!$B$13,OBJECTIFS!$H$15="dmt"),AND($D119=OBJECTIFS!$B$20,OBJECTIFS!$H$22="dmt"),AND($D119=OBJECTIFS!$B$27,OBJECTIFS!$H$29="dmt"),AND($D119=OBJECTIFS!$B$34,OBJECTIFS!$H$36="dmt"),AND($D119=OBJECTIFS!$B$6,OBJECTIFS!$H$8="taux de chute"),AND($D119=OBJECTIFS!$B$13,OBJECTIFS!$H$15="taux de chute"),AND($D119=OBJECTIFS!$B$20,OBJECTIFS!$H$22="taux de chute"),AND($D119=OBJECTIFS!$B$27,OBJECTIFS!$H$29="taux de chute"),AND($D119=OBJECTIFS!$B$34,OBJECTIFS!$H$36="taux de chute")),IFERROR(W119/V119,""),IFERROR(V119/W119,""))</f>
        <v/>
      </c>
      <c r="Y119" s="91">
        <f>IFERROR(IF(OR(V119="",W119="",X119=""),0,IF(X119&lt;OBJECTIFS!$E$56,0,IF(X119&lt;OBJECTIFS!$G$56,Y$8*OBJECTIFS!$F$60,IF(X119&lt;OBJECTIFS!$I$56,Y$8*OBJECTIFS!$H$60,Y$8)))),0)</f>
        <v>0</v>
      </c>
      <c r="Z119" s="167"/>
      <c r="AA119" s="90" t="str">
        <f>IF(OR($A119="",$D119="",Z119=""),"",SUMIFS(OBJECTIFS!I$9:I$39,OBJECTIFS!$A$9:$A$39,$D119,OBJECTIFS!$C$9:$C$39,$F119))</f>
        <v/>
      </c>
      <c r="AB119" s="90" t="str">
        <f>IF(OR(AND($D119=OBJECTIFS!$B$6,OBJECTIFS!I$8="dmt"),AND($D119=OBJECTIFS!$B$13,OBJECTIFS!$I$15="dmt"),AND($D119=OBJECTIFS!$B$20,OBJECTIFS!$I$22="dmt"),AND($D119=OBJECTIFS!$B$27,OBJECTIFS!$I$29="dmt"),AND($D119=OBJECTIFS!$B$34,OBJECTIFS!$I$36="dmt"),AND($D119=OBJECTIFS!$B$6,OBJECTIFS!$I$8="taux de chute"),AND($D119=OBJECTIFS!$B$13,OBJECTIFS!$I$15="taux de chute"),AND($D119=OBJECTIFS!$B$20,OBJECTIFS!$I$22="taux de chute"),AND($D119=OBJECTIFS!$B$27,OBJECTIFS!$I$29="taux de chute"),AND($D119=OBJECTIFS!$B$34,OBJECTIFS!$I$36="taux de chute")),IFERROR(AA119/Z119,""),IFERROR(Z119/AA119,""))</f>
        <v/>
      </c>
      <c r="AC119" s="95">
        <f>IFERROR(IF(OR(Z119="",AA119="",AB119=""),0,IF(AB119&lt;OBJECTIFS!$E$56,0,IF(AB119&lt;OBJECTIFS!$G$56,AC$8*OBJECTIFS!$F$60,IF(AB119&lt;OBJECTIFS!$I$56,AC$8*OBJECTIFS!$H$60,AC$8)))),0)</f>
        <v>0</v>
      </c>
      <c r="AD119" s="186"/>
      <c r="AE119" s="187"/>
      <c r="AF119" s="96">
        <f t="shared" ca="1" si="2"/>
        <v>0</v>
      </c>
      <c r="AG119" s="63"/>
      <c r="AH119" s="186"/>
      <c r="AI119" s="24"/>
      <c r="AJ119" s="24"/>
      <c r="AK119" s="24"/>
      <c r="AL119" s="24"/>
      <c r="AM119" s="79">
        <f t="shared" si="3"/>
        <v>0</v>
      </c>
      <c r="AN119" s="79">
        <v>22</v>
      </c>
      <c r="AO119" s="80">
        <f t="shared" si="4"/>
        <v>0</v>
      </c>
      <c r="AP119" s="81" t="str">
        <f t="shared" ca="1" si="5"/>
        <v/>
      </c>
      <c r="AQ119" s="82"/>
      <c r="AR119" s="97">
        <f>IFERROR(VLOOKUP(B119,OBJECTIFS!$C$76:$E$137,2,FALSE),0)</f>
        <v>0</v>
      </c>
      <c r="AS119" s="98">
        <f>IFERROR(VLOOKUP(B119,OBJECTIFS!$H$76:$J$137,2,FALSE),0)</f>
        <v>0</v>
      </c>
      <c r="AT119" s="98">
        <f>IFERROR(VLOOKUP(B119,OBJECTIFS!$C$142:$E$203,2,FALSE),0)</f>
        <v>0</v>
      </c>
      <c r="AU119" s="98">
        <f>IFERROR(VLOOKUP(B119,OBJECTIFS!$H$142:$J$203,2,FALSE),0)</f>
        <v>0</v>
      </c>
      <c r="AV119" s="98">
        <f>IFERROR(VLOOKUP(B119,OBJECTIFS!$F$208:$H$269,3,FALSE),0)</f>
        <v>0</v>
      </c>
      <c r="AW119" s="81">
        <f t="shared" si="6"/>
        <v>0</v>
      </c>
      <c r="AX119" s="82"/>
      <c r="AY119" s="99" t="str">
        <f t="shared" ca="1" si="7"/>
        <v/>
      </c>
      <c r="AZ119" s="63"/>
      <c r="BA119" s="100">
        <f t="shared" ca="1" si="8"/>
        <v>0</v>
      </c>
      <c r="BB119" s="64" t="str">
        <f t="shared" ca="1" si="9"/>
        <v/>
      </c>
      <c r="BC119" s="101" t="str">
        <f t="shared" ca="1" si="10"/>
        <v/>
      </c>
    </row>
    <row r="120" spans="1:55" x14ac:dyDescent="0.2">
      <c r="A120" s="21"/>
      <c r="B120" s="22"/>
      <c r="C120" s="22"/>
      <c r="D120" s="23"/>
      <c r="E120" s="24"/>
      <c r="F120" s="34"/>
      <c r="H120" s="89" t="str">
        <f>IF(OR(D120="",F120="",A120=""),"",IF(E120="oui",0,IF(D120=OBJECTIFS!$C$45,VLOOKUP(F120,OBJECTIFS!$C$9:$D$11,2,FALSE),IF(D120=OBJECTIFS!$C$46,VLOOKUP(F120,OBJECTIFS!$C$16:$D$18,2,FALSE),IF(D120=OBJECTIFS!$C$47,VLOOKUP(F120,OBJECTIFS!$C$23:$D$25,2,FALSE),IF(D120=OBJECTIFS!$C$48,VLOOKUP(F120,OBJECTIFS!$C$30:$D$32,2,FALSE),IF(D120=OBJECTIFS!$C$49,VLOOKUP(F120,OBJECTIFS!$C$37:$D$39,2,FALSE))))))))</f>
        <v/>
      </c>
      <c r="J120" s="25"/>
      <c r="K120" s="90" t="str">
        <f>IF(OR($A120="",$D120="",J120=""),"",SUMIFS(OBJECTIFS!E$9:E$39,OBJECTIFS!$A$9:$A$39,$D120,OBJECTIFS!$C$9:$C$39,$F120))</f>
        <v/>
      </c>
      <c r="L120" s="90" t="str">
        <f>IF(OR(AND($D120=OBJECTIFS!$B$6,OBJECTIFS!E$8="dmt"),AND($D120=OBJECTIFS!$B$13,OBJECTIFS!$E$15="dmt"),AND($D120=OBJECTIFS!$B$20,OBJECTIFS!$E$22="dmt"),AND($D120=OBJECTIFS!$B$27,OBJECTIFS!$E$29="dmt"),AND($D120=OBJECTIFS!$B$34,OBJECTIFS!$E$36="dmt"),AND($D120=OBJECTIFS!$B$6,OBJECTIFS!$E$8="taux de chute"),AND($D120=OBJECTIFS!$B$13,OBJECTIFS!$E$15="taux de chute"),AND($D120=OBJECTIFS!$B$20,OBJECTIFS!$E$22="taux de chute"),AND($D120=OBJECTIFS!$B$27,OBJECTIFS!$E$29="taux de chute"),AND($D120=OBJECTIFS!$B$34,OBJECTIFS!$E$36="taux de chute")),IFERROR(K120/J120,""),IFERROR(J120/K120,""))</f>
        <v/>
      </c>
      <c r="M120" s="91">
        <f>IFERROR(IF(OR(J120="",K120="",L120=""),0,IF(L120&lt;OBJECTIFS!$E$56,0,IF(L120&lt;OBJECTIFS!$G$56,M$8*OBJECTIFS!$F$60,IF(L120&lt;OBJECTIFS!$I$56,M$8*OBJECTIFS!$H$60,M$8)))),0)</f>
        <v>0</v>
      </c>
      <c r="N120" s="161"/>
      <c r="O120" s="92" t="str">
        <f>IF(OR($A120="",$D120="",N120=""),"",SUMIFS(OBJECTIFS!F$9:F$39,OBJECTIFS!$A$9:$A$39,$D120,OBJECTIFS!$C$9:$C$39,$F120))</f>
        <v/>
      </c>
      <c r="P120" s="90" t="str">
        <f>IF(OR(AND($D120=OBJECTIFS!$B$6,OBJECTIFS!$F$8="dmt"),AND($D120=OBJECTIFS!$B$13,OBJECTIFS!$F$15="dmt"),AND($D120=OBJECTIFS!$B$20,OBJECTIFS!$F$22="dmt"),AND($D120=OBJECTIFS!$B$27,OBJECTIFS!$F$29="dmt"),AND($D120=OBJECTIFS!$B$34,OBJECTIFS!$F$36="dmt"),AND($D120=OBJECTIFS!$B$6,OBJECTIFS!$F$8="taux de chute"),AND($D120=OBJECTIFS!$B$13,OBJECTIFS!$F$15="taux de chute"),AND($D120=OBJECTIFS!$B$20,OBJECTIFS!$F$22="taux de chute"),AND($D120=OBJECTIFS!$B$27,OBJECTIFS!$F$29="taux de chute"),AND($D120=OBJECTIFS!$B$34,OBJECTIFS!$F$36="taux de chute")),IFERROR(O120/N120,""),IFERROR(N120/O120,""))</f>
        <v/>
      </c>
      <c r="Q120" s="91">
        <f>IFERROR(IF(OR(N120="",O120="",P120=""),0,IF(P120&lt;OBJECTIFS!$E$56,0,IF(P120&lt;OBJECTIFS!$G$56,Q$8*OBJECTIFS!$F$60,IF(P120&lt;OBJECTIFS!$I$56,Q$8*OBJECTIFS!$H$60,Q$8)))),0)</f>
        <v>0</v>
      </c>
      <c r="R120" s="164"/>
      <c r="S120" s="93" t="str">
        <f>IF(OR($A120="",$D120="",R120=""),"",SUMIFS(OBJECTIFS!G$9:G$39,OBJECTIFS!$A$9:$A$39,$D120,OBJECTIFS!$C$9:$C$39,$F120))</f>
        <v/>
      </c>
      <c r="T120" s="90" t="str">
        <f>IF(OR(AND($D120=OBJECTIFS!$B$6,OBJECTIFS!G$8="dmt"),AND($D120=OBJECTIFS!$B$13,OBJECTIFS!$G$15="dmt"),AND($D120=OBJECTIFS!$B$20,OBJECTIFS!$G$22="dmt"),AND($D120=OBJECTIFS!$B$27,OBJECTIFS!$G$29="dmt"),AND($D120=OBJECTIFS!$B$34,OBJECTIFS!$G$36="dmt"),AND($D120=OBJECTIFS!$B$6,OBJECTIFS!$G$8="taux de chute"),AND($D120=OBJECTIFS!$B$13,OBJECTIFS!$G$15="taux de chute"),AND($D120=OBJECTIFS!$B$20,OBJECTIFS!$G$22="taux de chute"),AND($D120=OBJECTIFS!$B$27,OBJECTIFS!$G$29="taux de chute"),AND($D120=OBJECTIFS!$B$34,OBJECTIFS!$G$36="taux de chute")),IFERROR(S120/R120,""),IFERROR(R120/S120,""))</f>
        <v/>
      </c>
      <c r="U120" s="94">
        <f>IFERROR(IF(OR(R120="",S120="",T120=""),0,IF(T120&lt;OBJECTIFS!$E$56,0,IF(T120&lt;OBJECTIFS!$G$56,U$8*OBJECTIFS!$F$60,IF(T120&lt;OBJECTIFS!$I$56,U$8*OBJECTIFS!$H$60,U$8)))),0)</f>
        <v>0</v>
      </c>
      <c r="V120" s="25"/>
      <c r="W120" s="90" t="str">
        <f>IF(OR($A120="",$D120="",V120=""),"",SUMIFS(OBJECTIFS!H$9:H$39,OBJECTIFS!$A$9:$A$39,$D120,OBJECTIFS!$C$9:$C$39,$F120))</f>
        <v/>
      </c>
      <c r="X120" s="90" t="str">
        <f>IF(OR(AND($D120=OBJECTIFS!$B$6,OBJECTIFS!H$8="dmt"),AND($D120=OBJECTIFS!$B$13,OBJECTIFS!$H$15="dmt"),AND($D120=OBJECTIFS!$B$20,OBJECTIFS!$H$22="dmt"),AND($D120=OBJECTIFS!$B$27,OBJECTIFS!$H$29="dmt"),AND($D120=OBJECTIFS!$B$34,OBJECTIFS!$H$36="dmt"),AND($D120=OBJECTIFS!$B$6,OBJECTIFS!$H$8="taux de chute"),AND($D120=OBJECTIFS!$B$13,OBJECTIFS!$H$15="taux de chute"),AND($D120=OBJECTIFS!$B$20,OBJECTIFS!$H$22="taux de chute"),AND($D120=OBJECTIFS!$B$27,OBJECTIFS!$H$29="taux de chute"),AND($D120=OBJECTIFS!$B$34,OBJECTIFS!$H$36="taux de chute")),IFERROR(W120/V120,""),IFERROR(V120/W120,""))</f>
        <v/>
      </c>
      <c r="Y120" s="91">
        <f>IFERROR(IF(OR(V120="",W120="",X120=""),0,IF(X120&lt;OBJECTIFS!$E$56,0,IF(X120&lt;OBJECTIFS!$G$56,Y$8*OBJECTIFS!$F$60,IF(X120&lt;OBJECTIFS!$I$56,Y$8*OBJECTIFS!$H$60,Y$8)))),0)</f>
        <v>0</v>
      </c>
      <c r="Z120" s="167"/>
      <c r="AA120" s="90" t="str">
        <f>IF(OR($A120="",$D120="",Z120=""),"",SUMIFS(OBJECTIFS!I$9:I$39,OBJECTIFS!$A$9:$A$39,$D120,OBJECTIFS!$C$9:$C$39,$F120))</f>
        <v/>
      </c>
      <c r="AB120" s="90" t="str">
        <f>IF(OR(AND($D120=OBJECTIFS!$B$6,OBJECTIFS!I$8="dmt"),AND($D120=OBJECTIFS!$B$13,OBJECTIFS!$I$15="dmt"),AND($D120=OBJECTIFS!$B$20,OBJECTIFS!$I$22="dmt"),AND($D120=OBJECTIFS!$B$27,OBJECTIFS!$I$29="dmt"),AND($D120=OBJECTIFS!$B$34,OBJECTIFS!$I$36="dmt"),AND($D120=OBJECTIFS!$B$6,OBJECTIFS!$I$8="taux de chute"),AND($D120=OBJECTIFS!$B$13,OBJECTIFS!$I$15="taux de chute"),AND($D120=OBJECTIFS!$B$20,OBJECTIFS!$I$22="taux de chute"),AND($D120=OBJECTIFS!$B$27,OBJECTIFS!$I$29="taux de chute"),AND($D120=OBJECTIFS!$B$34,OBJECTIFS!$I$36="taux de chute")),IFERROR(AA120/Z120,""),IFERROR(Z120/AA120,""))</f>
        <v/>
      </c>
      <c r="AC120" s="95">
        <f>IFERROR(IF(OR(Z120="",AA120="",AB120=""),0,IF(AB120&lt;OBJECTIFS!$E$56,0,IF(AB120&lt;OBJECTIFS!$G$56,AC$8*OBJECTIFS!$F$60,IF(AB120&lt;OBJECTIFS!$I$56,AC$8*OBJECTIFS!$H$60,AC$8)))),0)</f>
        <v>0</v>
      </c>
      <c r="AD120" s="186"/>
      <c r="AE120" s="187"/>
      <c r="AF120" s="96">
        <f t="shared" ca="1" si="2"/>
        <v>0</v>
      </c>
      <c r="AG120" s="63"/>
      <c r="AH120" s="186"/>
      <c r="AI120" s="24"/>
      <c r="AJ120" s="24"/>
      <c r="AK120" s="24"/>
      <c r="AL120" s="24"/>
      <c r="AM120" s="79">
        <f t="shared" si="3"/>
        <v>0</v>
      </c>
      <c r="AN120" s="79">
        <v>22</v>
      </c>
      <c r="AO120" s="80">
        <f t="shared" si="4"/>
        <v>0</v>
      </c>
      <c r="AP120" s="81" t="str">
        <f t="shared" ca="1" si="5"/>
        <v/>
      </c>
      <c r="AQ120" s="82"/>
      <c r="AR120" s="97">
        <f>IFERROR(VLOOKUP(B120,OBJECTIFS!$C$76:$E$137,2,FALSE),0)</f>
        <v>0</v>
      </c>
      <c r="AS120" s="98">
        <f>IFERROR(VLOOKUP(B120,OBJECTIFS!$H$76:$J$137,2,FALSE),0)</f>
        <v>0</v>
      </c>
      <c r="AT120" s="98">
        <f>IFERROR(VLOOKUP(B120,OBJECTIFS!$C$142:$E$203,2,FALSE),0)</f>
        <v>0</v>
      </c>
      <c r="AU120" s="98">
        <f>IFERROR(VLOOKUP(B120,OBJECTIFS!$H$142:$J$203,2,FALSE),0)</f>
        <v>0</v>
      </c>
      <c r="AV120" s="98">
        <f>IFERROR(VLOOKUP(B120,OBJECTIFS!$F$208:$H$269,3,FALSE),0)</f>
        <v>0</v>
      </c>
      <c r="AW120" s="81">
        <f t="shared" si="6"/>
        <v>0</v>
      </c>
      <c r="AX120" s="82"/>
      <c r="AY120" s="99" t="str">
        <f t="shared" ca="1" si="7"/>
        <v/>
      </c>
      <c r="AZ120" s="63"/>
      <c r="BA120" s="100">
        <f t="shared" ca="1" si="8"/>
        <v>0</v>
      </c>
      <c r="BB120" s="64" t="str">
        <f t="shared" ca="1" si="9"/>
        <v/>
      </c>
      <c r="BC120" s="101" t="str">
        <f t="shared" ca="1" si="10"/>
        <v/>
      </c>
    </row>
    <row r="121" spans="1:55" x14ac:dyDescent="0.2">
      <c r="A121" s="21"/>
      <c r="B121" s="22"/>
      <c r="C121" s="22"/>
      <c r="D121" s="23"/>
      <c r="E121" s="24"/>
      <c r="F121" s="34"/>
      <c r="H121" s="89" t="str">
        <f>IF(OR(D121="",F121="",A121=""),"",IF(E121="oui",0,IF(D121=OBJECTIFS!$C$45,VLOOKUP(F121,OBJECTIFS!$C$9:$D$11,2,FALSE),IF(D121=OBJECTIFS!$C$46,VLOOKUP(F121,OBJECTIFS!$C$16:$D$18,2,FALSE),IF(D121=OBJECTIFS!$C$47,VLOOKUP(F121,OBJECTIFS!$C$23:$D$25,2,FALSE),IF(D121=OBJECTIFS!$C$48,VLOOKUP(F121,OBJECTIFS!$C$30:$D$32,2,FALSE),IF(D121=OBJECTIFS!$C$49,VLOOKUP(F121,OBJECTIFS!$C$37:$D$39,2,FALSE))))))))</f>
        <v/>
      </c>
      <c r="J121" s="25"/>
      <c r="K121" s="90" t="str">
        <f>IF(OR($A121="",$D121="",J121=""),"",SUMIFS(OBJECTIFS!E$9:E$39,OBJECTIFS!$A$9:$A$39,$D121,OBJECTIFS!$C$9:$C$39,$F121))</f>
        <v/>
      </c>
      <c r="L121" s="90" t="str">
        <f>IF(OR(AND($D121=OBJECTIFS!$B$6,OBJECTIFS!E$8="dmt"),AND($D121=OBJECTIFS!$B$13,OBJECTIFS!$E$15="dmt"),AND($D121=OBJECTIFS!$B$20,OBJECTIFS!$E$22="dmt"),AND($D121=OBJECTIFS!$B$27,OBJECTIFS!$E$29="dmt"),AND($D121=OBJECTIFS!$B$34,OBJECTIFS!$E$36="dmt"),AND($D121=OBJECTIFS!$B$6,OBJECTIFS!$E$8="taux de chute"),AND($D121=OBJECTIFS!$B$13,OBJECTIFS!$E$15="taux de chute"),AND($D121=OBJECTIFS!$B$20,OBJECTIFS!$E$22="taux de chute"),AND($D121=OBJECTIFS!$B$27,OBJECTIFS!$E$29="taux de chute"),AND($D121=OBJECTIFS!$B$34,OBJECTIFS!$E$36="taux de chute")),IFERROR(K121/J121,""),IFERROR(J121/K121,""))</f>
        <v/>
      </c>
      <c r="M121" s="91">
        <f>IFERROR(IF(OR(J121="",K121="",L121=""),0,IF(L121&lt;OBJECTIFS!$E$56,0,IF(L121&lt;OBJECTIFS!$G$56,M$8*OBJECTIFS!$F$60,IF(L121&lt;OBJECTIFS!$I$56,M$8*OBJECTIFS!$H$60,M$8)))),0)</f>
        <v>0</v>
      </c>
      <c r="N121" s="161"/>
      <c r="O121" s="92" t="str">
        <f>IF(OR($A121="",$D121="",N121=""),"",SUMIFS(OBJECTIFS!F$9:F$39,OBJECTIFS!$A$9:$A$39,$D121,OBJECTIFS!$C$9:$C$39,$F121))</f>
        <v/>
      </c>
      <c r="P121" s="90" t="str">
        <f>IF(OR(AND($D121=OBJECTIFS!$B$6,OBJECTIFS!$F$8="dmt"),AND($D121=OBJECTIFS!$B$13,OBJECTIFS!$F$15="dmt"),AND($D121=OBJECTIFS!$B$20,OBJECTIFS!$F$22="dmt"),AND($D121=OBJECTIFS!$B$27,OBJECTIFS!$F$29="dmt"),AND($D121=OBJECTIFS!$B$34,OBJECTIFS!$F$36="dmt"),AND($D121=OBJECTIFS!$B$6,OBJECTIFS!$F$8="taux de chute"),AND($D121=OBJECTIFS!$B$13,OBJECTIFS!$F$15="taux de chute"),AND($D121=OBJECTIFS!$B$20,OBJECTIFS!$F$22="taux de chute"),AND($D121=OBJECTIFS!$B$27,OBJECTIFS!$F$29="taux de chute"),AND($D121=OBJECTIFS!$B$34,OBJECTIFS!$F$36="taux de chute")),IFERROR(O121/N121,""),IFERROR(N121/O121,""))</f>
        <v/>
      </c>
      <c r="Q121" s="91">
        <f>IFERROR(IF(OR(N121="",O121="",P121=""),0,IF(P121&lt;OBJECTIFS!$E$56,0,IF(P121&lt;OBJECTIFS!$G$56,Q$8*OBJECTIFS!$F$60,IF(P121&lt;OBJECTIFS!$I$56,Q$8*OBJECTIFS!$H$60,Q$8)))),0)</f>
        <v>0</v>
      </c>
      <c r="R121" s="164"/>
      <c r="S121" s="93" t="str">
        <f>IF(OR($A121="",$D121="",R121=""),"",SUMIFS(OBJECTIFS!G$9:G$39,OBJECTIFS!$A$9:$A$39,$D121,OBJECTIFS!$C$9:$C$39,$F121))</f>
        <v/>
      </c>
      <c r="T121" s="90" t="str">
        <f>IF(OR(AND($D121=OBJECTIFS!$B$6,OBJECTIFS!G$8="dmt"),AND($D121=OBJECTIFS!$B$13,OBJECTIFS!$G$15="dmt"),AND($D121=OBJECTIFS!$B$20,OBJECTIFS!$G$22="dmt"),AND($D121=OBJECTIFS!$B$27,OBJECTIFS!$G$29="dmt"),AND($D121=OBJECTIFS!$B$34,OBJECTIFS!$G$36="dmt"),AND($D121=OBJECTIFS!$B$6,OBJECTIFS!$G$8="taux de chute"),AND($D121=OBJECTIFS!$B$13,OBJECTIFS!$G$15="taux de chute"),AND($D121=OBJECTIFS!$B$20,OBJECTIFS!$G$22="taux de chute"),AND($D121=OBJECTIFS!$B$27,OBJECTIFS!$G$29="taux de chute"),AND($D121=OBJECTIFS!$B$34,OBJECTIFS!$G$36="taux de chute")),IFERROR(S121/R121,""),IFERROR(R121/S121,""))</f>
        <v/>
      </c>
      <c r="U121" s="94">
        <f>IFERROR(IF(OR(R121="",S121="",T121=""),0,IF(T121&lt;OBJECTIFS!$E$56,0,IF(T121&lt;OBJECTIFS!$G$56,U$8*OBJECTIFS!$F$60,IF(T121&lt;OBJECTIFS!$I$56,U$8*OBJECTIFS!$H$60,U$8)))),0)</f>
        <v>0</v>
      </c>
      <c r="V121" s="25"/>
      <c r="W121" s="90" t="str">
        <f>IF(OR($A121="",$D121="",V121=""),"",SUMIFS(OBJECTIFS!H$9:H$39,OBJECTIFS!$A$9:$A$39,$D121,OBJECTIFS!$C$9:$C$39,$F121))</f>
        <v/>
      </c>
      <c r="X121" s="90" t="str">
        <f>IF(OR(AND($D121=OBJECTIFS!$B$6,OBJECTIFS!H$8="dmt"),AND($D121=OBJECTIFS!$B$13,OBJECTIFS!$H$15="dmt"),AND($D121=OBJECTIFS!$B$20,OBJECTIFS!$H$22="dmt"),AND($D121=OBJECTIFS!$B$27,OBJECTIFS!$H$29="dmt"),AND($D121=OBJECTIFS!$B$34,OBJECTIFS!$H$36="dmt"),AND($D121=OBJECTIFS!$B$6,OBJECTIFS!$H$8="taux de chute"),AND($D121=OBJECTIFS!$B$13,OBJECTIFS!$H$15="taux de chute"),AND($D121=OBJECTIFS!$B$20,OBJECTIFS!$H$22="taux de chute"),AND($D121=OBJECTIFS!$B$27,OBJECTIFS!$H$29="taux de chute"),AND($D121=OBJECTIFS!$B$34,OBJECTIFS!$H$36="taux de chute")),IFERROR(W121/V121,""),IFERROR(V121/W121,""))</f>
        <v/>
      </c>
      <c r="Y121" s="91">
        <f>IFERROR(IF(OR(V121="",W121="",X121=""),0,IF(X121&lt;OBJECTIFS!$E$56,0,IF(X121&lt;OBJECTIFS!$G$56,Y$8*OBJECTIFS!$F$60,IF(X121&lt;OBJECTIFS!$I$56,Y$8*OBJECTIFS!$H$60,Y$8)))),0)</f>
        <v>0</v>
      </c>
      <c r="Z121" s="167"/>
      <c r="AA121" s="90" t="str">
        <f>IF(OR($A121="",$D121="",Z121=""),"",SUMIFS(OBJECTIFS!I$9:I$39,OBJECTIFS!$A$9:$A$39,$D121,OBJECTIFS!$C$9:$C$39,$F121))</f>
        <v/>
      </c>
      <c r="AB121" s="90" t="str">
        <f>IF(OR(AND($D121=OBJECTIFS!$B$6,OBJECTIFS!I$8="dmt"),AND($D121=OBJECTIFS!$B$13,OBJECTIFS!$I$15="dmt"),AND($D121=OBJECTIFS!$B$20,OBJECTIFS!$I$22="dmt"),AND($D121=OBJECTIFS!$B$27,OBJECTIFS!$I$29="dmt"),AND($D121=OBJECTIFS!$B$34,OBJECTIFS!$I$36="dmt"),AND($D121=OBJECTIFS!$B$6,OBJECTIFS!$I$8="taux de chute"),AND($D121=OBJECTIFS!$B$13,OBJECTIFS!$I$15="taux de chute"),AND($D121=OBJECTIFS!$B$20,OBJECTIFS!$I$22="taux de chute"),AND($D121=OBJECTIFS!$B$27,OBJECTIFS!$I$29="taux de chute"),AND($D121=OBJECTIFS!$B$34,OBJECTIFS!$I$36="taux de chute")),IFERROR(AA121/Z121,""),IFERROR(Z121/AA121,""))</f>
        <v/>
      </c>
      <c r="AC121" s="95">
        <f>IFERROR(IF(OR(Z121="",AA121="",AB121=""),0,IF(AB121&lt;OBJECTIFS!$E$56,0,IF(AB121&lt;OBJECTIFS!$G$56,AC$8*OBJECTIFS!$F$60,IF(AB121&lt;OBJECTIFS!$I$56,AC$8*OBJECTIFS!$H$60,AC$8)))),0)</f>
        <v>0</v>
      </c>
      <c r="AD121" s="186"/>
      <c r="AE121" s="187"/>
      <c r="AF121" s="96">
        <f t="shared" ca="1" si="2"/>
        <v>0</v>
      </c>
      <c r="AG121" s="63"/>
      <c r="AH121" s="186"/>
      <c r="AI121" s="24"/>
      <c r="AJ121" s="24"/>
      <c r="AK121" s="24"/>
      <c r="AL121" s="24"/>
      <c r="AM121" s="79">
        <f t="shared" si="3"/>
        <v>0</v>
      </c>
      <c r="AN121" s="79">
        <v>22</v>
      </c>
      <c r="AO121" s="80">
        <f t="shared" si="4"/>
        <v>0</v>
      </c>
      <c r="AP121" s="81" t="str">
        <f t="shared" ca="1" si="5"/>
        <v/>
      </c>
      <c r="AQ121" s="82"/>
      <c r="AR121" s="97">
        <f>IFERROR(VLOOKUP(B121,OBJECTIFS!$C$76:$E$137,2,FALSE),0)</f>
        <v>0</v>
      </c>
      <c r="AS121" s="98">
        <f>IFERROR(VLOOKUP(B121,OBJECTIFS!$H$76:$J$137,2,FALSE),0)</f>
        <v>0</v>
      </c>
      <c r="AT121" s="98">
        <f>IFERROR(VLOOKUP(B121,OBJECTIFS!$C$142:$E$203,2,FALSE),0)</f>
        <v>0</v>
      </c>
      <c r="AU121" s="98">
        <f>IFERROR(VLOOKUP(B121,OBJECTIFS!$H$142:$J$203,2,FALSE),0)</f>
        <v>0</v>
      </c>
      <c r="AV121" s="98">
        <f>IFERROR(VLOOKUP(B121,OBJECTIFS!$F$208:$H$269,3,FALSE),0)</f>
        <v>0</v>
      </c>
      <c r="AW121" s="81">
        <f t="shared" si="6"/>
        <v>0</v>
      </c>
      <c r="AX121" s="82"/>
      <c r="AY121" s="99" t="str">
        <f t="shared" ca="1" si="7"/>
        <v/>
      </c>
      <c r="AZ121" s="63"/>
      <c r="BA121" s="100">
        <f t="shared" ca="1" si="8"/>
        <v>0</v>
      </c>
      <c r="BB121" s="64" t="str">
        <f t="shared" ca="1" si="9"/>
        <v/>
      </c>
      <c r="BC121" s="101" t="str">
        <f t="shared" ca="1" si="10"/>
        <v/>
      </c>
    </row>
    <row r="122" spans="1:55" x14ac:dyDescent="0.2">
      <c r="A122" s="21"/>
      <c r="B122" s="22"/>
      <c r="C122" s="22"/>
      <c r="D122" s="23"/>
      <c r="E122" s="24"/>
      <c r="F122" s="34"/>
      <c r="H122" s="89" t="str">
        <f>IF(OR(D122="",F122="",A122=""),"",IF(E122="oui",0,IF(D122=OBJECTIFS!$C$45,VLOOKUP(F122,OBJECTIFS!$C$9:$D$11,2,FALSE),IF(D122=OBJECTIFS!$C$46,VLOOKUP(F122,OBJECTIFS!$C$16:$D$18,2,FALSE),IF(D122=OBJECTIFS!$C$47,VLOOKUP(F122,OBJECTIFS!$C$23:$D$25,2,FALSE),IF(D122=OBJECTIFS!$C$48,VLOOKUP(F122,OBJECTIFS!$C$30:$D$32,2,FALSE),IF(D122=OBJECTIFS!$C$49,VLOOKUP(F122,OBJECTIFS!$C$37:$D$39,2,FALSE))))))))</f>
        <v/>
      </c>
      <c r="J122" s="25"/>
      <c r="K122" s="90" t="str">
        <f>IF(OR($A122="",$D122="",J122=""),"",SUMIFS(OBJECTIFS!E$9:E$39,OBJECTIFS!$A$9:$A$39,$D122,OBJECTIFS!$C$9:$C$39,$F122))</f>
        <v/>
      </c>
      <c r="L122" s="90" t="str">
        <f>IF(OR(AND($D122=OBJECTIFS!$B$6,OBJECTIFS!E$8="dmt"),AND($D122=OBJECTIFS!$B$13,OBJECTIFS!$E$15="dmt"),AND($D122=OBJECTIFS!$B$20,OBJECTIFS!$E$22="dmt"),AND($D122=OBJECTIFS!$B$27,OBJECTIFS!$E$29="dmt"),AND($D122=OBJECTIFS!$B$34,OBJECTIFS!$E$36="dmt"),AND($D122=OBJECTIFS!$B$6,OBJECTIFS!$E$8="taux de chute"),AND($D122=OBJECTIFS!$B$13,OBJECTIFS!$E$15="taux de chute"),AND($D122=OBJECTIFS!$B$20,OBJECTIFS!$E$22="taux de chute"),AND($D122=OBJECTIFS!$B$27,OBJECTIFS!$E$29="taux de chute"),AND($D122=OBJECTIFS!$B$34,OBJECTIFS!$E$36="taux de chute")),IFERROR(K122/J122,""),IFERROR(J122/K122,""))</f>
        <v/>
      </c>
      <c r="M122" s="91">
        <f>IFERROR(IF(OR(J122="",K122="",L122=""),0,IF(L122&lt;OBJECTIFS!$E$56,0,IF(L122&lt;OBJECTIFS!$G$56,M$8*OBJECTIFS!$F$60,IF(L122&lt;OBJECTIFS!$I$56,M$8*OBJECTIFS!$H$60,M$8)))),0)</f>
        <v>0</v>
      </c>
      <c r="N122" s="161"/>
      <c r="O122" s="92" t="str">
        <f>IF(OR($A122="",$D122="",N122=""),"",SUMIFS(OBJECTIFS!F$9:F$39,OBJECTIFS!$A$9:$A$39,$D122,OBJECTIFS!$C$9:$C$39,$F122))</f>
        <v/>
      </c>
      <c r="P122" s="90" t="str">
        <f>IF(OR(AND($D122=OBJECTIFS!$B$6,OBJECTIFS!$F$8="dmt"),AND($D122=OBJECTIFS!$B$13,OBJECTIFS!$F$15="dmt"),AND($D122=OBJECTIFS!$B$20,OBJECTIFS!$F$22="dmt"),AND($D122=OBJECTIFS!$B$27,OBJECTIFS!$F$29="dmt"),AND($D122=OBJECTIFS!$B$34,OBJECTIFS!$F$36="dmt"),AND($D122=OBJECTIFS!$B$6,OBJECTIFS!$F$8="taux de chute"),AND($D122=OBJECTIFS!$B$13,OBJECTIFS!$F$15="taux de chute"),AND($D122=OBJECTIFS!$B$20,OBJECTIFS!$F$22="taux de chute"),AND($D122=OBJECTIFS!$B$27,OBJECTIFS!$F$29="taux de chute"),AND($D122=OBJECTIFS!$B$34,OBJECTIFS!$F$36="taux de chute")),IFERROR(O122/N122,""),IFERROR(N122/O122,""))</f>
        <v/>
      </c>
      <c r="Q122" s="91">
        <f>IFERROR(IF(OR(N122="",O122="",P122=""),0,IF(P122&lt;OBJECTIFS!$E$56,0,IF(P122&lt;OBJECTIFS!$G$56,Q$8*OBJECTIFS!$F$60,IF(P122&lt;OBJECTIFS!$I$56,Q$8*OBJECTIFS!$H$60,Q$8)))),0)</f>
        <v>0</v>
      </c>
      <c r="R122" s="164"/>
      <c r="S122" s="93" t="str">
        <f>IF(OR($A122="",$D122="",R122=""),"",SUMIFS(OBJECTIFS!G$9:G$39,OBJECTIFS!$A$9:$A$39,$D122,OBJECTIFS!$C$9:$C$39,$F122))</f>
        <v/>
      </c>
      <c r="T122" s="90" t="str">
        <f>IF(OR(AND($D122=OBJECTIFS!$B$6,OBJECTIFS!G$8="dmt"),AND($D122=OBJECTIFS!$B$13,OBJECTIFS!$G$15="dmt"),AND($D122=OBJECTIFS!$B$20,OBJECTIFS!$G$22="dmt"),AND($D122=OBJECTIFS!$B$27,OBJECTIFS!$G$29="dmt"),AND($D122=OBJECTIFS!$B$34,OBJECTIFS!$G$36="dmt"),AND($D122=OBJECTIFS!$B$6,OBJECTIFS!$G$8="taux de chute"),AND($D122=OBJECTIFS!$B$13,OBJECTIFS!$G$15="taux de chute"),AND($D122=OBJECTIFS!$B$20,OBJECTIFS!$G$22="taux de chute"),AND($D122=OBJECTIFS!$B$27,OBJECTIFS!$G$29="taux de chute"),AND($D122=OBJECTIFS!$B$34,OBJECTIFS!$G$36="taux de chute")),IFERROR(S122/R122,""),IFERROR(R122/S122,""))</f>
        <v/>
      </c>
      <c r="U122" s="94">
        <f>IFERROR(IF(OR(R122="",S122="",T122=""),0,IF(T122&lt;OBJECTIFS!$E$56,0,IF(T122&lt;OBJECTIFS!$G$56,U$8*OBJECTIFS!$F$60,IF(T122&lt;OBJECTIFS!$I$56,U$8*OBJECTIFS!$H$60,U$8)))),0)</f>
        <v>0</v>
      </c>
      <c r="V122" s="25"/>
      <c r="W122" s="90" t="str">
        <f>IF(OR($A122="",$D122="",V122=""),"",SUMIFS(OBJECTIFS!H$9:H$39,OBJECTIFS!$A$9:$A$39,$D122,OBJECTIFS!$C$9:$C$39,$F122))</f>
        <v/>
      </c>
      <c r="X122" s="90" t="str">
        <f>IF(OR(AND($D122=OBJECTIFS!$B$6,OBJECTIFS!H$8="dmt"),AND($D122=OBJECTIFS!$B$13,OBJECTIFS!$H$15="dmt"),AND($D122=OBJECTIFS!$B$20,OBJECTIFS!$H$22="dmt"),AND($D122=OBJECTIFS!$B$27,OBJECTIFS!$H$29="dmt"),AND($D122=OBJECTIFS!$B$34,OBJECTIFS!$H$36="dmt"),AND($D122=OBJECTIFS!$B$6,OBJECTIFS!$H$8="taux de chute"),AND($D122=OBJECTIFS!$B$13,OBJECTIFS!$H$15="taux de chute"),AND($D122=OBJECTIFS!$B$20,OBJECTIFS!$H$22="taux de chute"),AND($D122=OBJECTIFS!$B$27,OBJECTIFS!$H$29="taux de chute"),AND($D122=OBJECTIFS!$B$34,OBJECTIFS!$H$36="taux de chute")),IFERROR(W122/V122,""),IFERROR(V122/W122,""))</f>
        <v/>
      </c>
      <c r="Y122" s="91">
        <f>IFERROR(IF(OR(V122="",W122="",X122=""),0,IF(X122&lt;OBJECTIFS!$E$56,0,IF(X122&lt;OBJECTIFS!$G$56,Y$8*OBJECTIFS!$F$60,IF(X122&lt;OBJECTIFS!$I$56,Y$8*OBJECTIFS!$H$60,Y$8)))),0)</f>
        <v>0</v>
      </c>
      <c r="Z122" s="167"/>
      <c r="AA122" s="90" t="str">
        <f>IF(OR($A122="",$D122="",Z122=""),"",SUMIFS(OBJECTIFS!I$9:I$39,OBJECTIFS!$A$9:$A$39,$D122,OBJECTIFS!$C$9:$C$39,$F122))</f>
        <v/>
      </c>
      <c r="AB122" s="90" t="str">
        <f>IF(OR(AND($D122=OBJECTIFS!$B$6,OBJECTIFS!I$8="dmt"),AND($D122=OBJECTIFS!$B$13,OBJECTIFS!$I$15="dmt"),AND($D122=OBJECTIFS!$B$20,OBJECTIFS!$I$22="dmt"),AND($D122=OBJECTIFS!$B$27,OBJECTIFS!$I$29="dmt"),AND($D122=OBJECTIFS!$B$34,OBJECTIFS!$I$36="dmt"),AND($D122=OBJECTIFS!$B$6,OBJECTIFS!$I$8="taux de chute"),AND($D122=OBJECTIFS!$B$13,OBJECTIFS!$I$15="taux de chute"),AND($D122=OBJECTIFS!$B$20,OBJECTIFS!$I$22="taux de chute"),AND($D122=OBJECTIFS!$B$27,OBJECTIFS!$I$29="taux de chute"),AND($D122=OBJECTIFS!$B$34,OBJECTIFS!$I$36="taux de chute")),IFERROR(AA122/Z122,""),IFERROR(Z122/AA122,""))</f>
        <v/>
      </c>
      <c r="AC122" s="95">
        <f>IFERROR(IF(OR(Z122="",AA122="",AB122=""),0,IF(AB122&lt;OBJECTIFS!$E$56,0,IF(AB122&lt;OBJECTIFS!$G$56,AC$8*OBJECTIFS!$F$60,IF(AB122&lt;OBJECTIFS!$I$56,AC$8*OBJECTIFS!$H$60,AC$8)))),0)</f>
        <v>0</v>
      </c>
      <c r="AD122" s="186"/>
      <c r="AE122" s="187"/>
      <c r="AF122" s="96">
        <f t="shared" ca="1" si="2"/>
        <v>0</v>
      </c>
      <c r="AG122" s="63"/>
      <c r="AH122" s="186"/>
      <c r="AI122" s="24"/>
      <c r="AJ122" s="24"/>
      <c r="AK122" s="24"/>
      <c r="AL122" s="24"/>
      <c r="AM122" s="79">
        <f t="shared" si="3"/>
        <v>0</v>
      </c>
      <c r="AN122" s="79">
        <v>22</v>
      </c>
      <c r="AO122" s="80">
        <f t="shared" si="4"/>
        <v>0</v>
      </c>
      <c r="AP122" s="81" t="str">
        <f t="shared" ca="1" si="5"/>
        <v/>
      </c>
      <c r="AQ122" s="82"/>
      <c r="AR122" s="97">
        <f>IFERROR(VLOOKUP(B122,OBJECTIFS!$C$76:$E$137,2,FALSE),0)</f>
        <v>0</v>
      </c>
      <c r="AS122" s="98">
        <f>IFERROR(VLOOKUP(B122,OBJECTIFS!$H$76:$J$137,2,FALSE),0)</f>
        <v>0</v>
      </c>
      <c r="AT122" s="98">
        <f>IFERROR(VLOOKUP(B122,OBJECTIFS!$C$142:$E$203,2,FALSE),0)</f>
        <v>0</v>
      </c>
      <c r="AU122" s="98">
        <f>IFERROR(VLOOKUP(B122,OBJECTIFS!$H$142:$J$203,2,FALSE),0)</f>
        <v>0</v>
      </c>
      <c r="AV122" s="98">
        <f>IFERROR(VLOOKUP(B122,OBJECTIFS!$F$208:$H$269,3,FALSE),0)</f>
        <v>0</v>
      </c>
      <c r="AW122" s="81">
        <f t="shared" si="6"/>
        <v>0</v>
      </c>
      <c r="AX122" s="82"/>
      <c r="AY122" s="99" t="str">
        <f t="shared" ca="1" si="7"/>
        <v/>
      </c>
      <c r="AZ122" s="63"/>
      <c r="BA122" s="100">
        <f t="shared" ca="1" si="8"/>
        <v>0</v>
      </c>
      <c r="BB122" s="64" t="str">
        <f t="shared" ca="1" si="9"/>
        <v/>
      </c>
      <c r="BC122" s="101" t="str">
        <f t="shared" ca="1" si="10"/>
        <v/>
      </c>
    </row>
    <row r="123" spans="1:55" x14ac:dyDescent="0.2">
      <c r="A123" s="21"/>
      <c r="B123" s="22"/>
      <c r="C123" s="22"/>
      <c r="D123" s="23"/>
      <c r="E123" s="24"/>
      <c r="F123" s="34"/>
      <c r="H123" s="89" t="str">
        <f>IF(OR(D123="",F123="",A123=""),"",IF(E123="oui",0,IF(D123=OBJECTIFS!$C$45,VLOOKUP(F123,OBJECTIFS!$C$9:$D$11,2,FALSE),IF(D123=OBJECTIFS!$C$46,VLOOKUP(F123,OBJECTIFS!$C$16:$D$18,2,FALSE),IF(D123=OBJECTIFS!$C$47,VLOOKUP(F123,OBJECTIFS!$C$23:$D$25,2,FALSE),IF(D123=OBJECTIFS!$C$48,VLOOKUP(F123,OBJECTIFS!$C$30:$D$32,2,FALSE),IF(D123=OBJECTIFS!$C$49,VLOOKUP(F123,OBJECTIFS!$C$37:$D$39,2,FALSE))))))))</f>
        <v/>
      </c>
      <c r="J123" s="25"/>
      <c r="K123" s="90" t="str">
        <f>IF(OR($A123="",$D123="",J123=""),"",SUMIFS(OBJECTIFS!E$9:E$39,OBJECTIFS!$A$9:$A$39,$D123,OBJECTIFS!$C$9:$C$39,$F123))</f>
        <v/>
      </c>
      <c r="L123" s="90" t="str">
        <f>IF(OR(AND($D123=OBJECTIFS!$B$6,OBJECTIFS!E$8="dmt"),AND($D123=OBJECTIFS!$B$13,OBJECTIFS!$E$15="dmt"),AND($D123=OBJECTIFS!$B$20,OBJECTIFS!$E$22="dmt"),AND($D123=OBJECTIFS!$B$27,OBJECTIFS!$E$29="dmt"),AND($D123=OBJECTIFS!$B$34,OBJECTIFS!$E$36="dmt"),AND($D123=OBJECTIFS!$B$6,OBJECTIFS!$E$8="taux de chute"),AND($D123=OBJECTIFS!$B$13,OBJECTIFS!$E$15="taux de chute"),AND($D123=OBJECTIFS!$B$20,OBJECTIFS!$E$22="taux de chute"),AND($D123=OBJECTIFS!$B$27,OBJECTIFS!$E$29="taux de chute"),AND($D123=OBJECTIFS!$B$34,OBJECTIFS!$E$36="taux de chute")),IFERROR(K123/J123,""),IFERROR(J123/K123,""))</f>
        <v/>
      </c>
      <c r="M123" s="91">
        <f>IFERROR(IF(OR(J123="",K123="",L123=""),0,IF(L123&lt;OBJECTIFS!$E$56,0,IF(L123&lt;OBJECTIFS!$G$56,M$8*OBJECTIFS!$F$60,IF(L123&lt;OBJECTIFS!$I$56,M$8*OBJECTIFS!$H$60,M$8)))),0)</f>
        <v>0</v>
      </c>
      <c r="N123" s="161"/>
      <c r="O123" s="92" t="str">
        <f>IF(OR($A123="",$D123="",N123=""),"",SUMIFS(OBJECTIFS!F$9:F$39,OBJECTIFS!$A$9:$A$39,$D123,OBJECTIFS!$C$9:$C$39,$F123))</f>
        <v/>
      </c>
      <c r="P123" s="90" t="str">
        <f>IF(OR(AND($D123=OBJECTIFS!$B$6,OBJECTIFS!$F$8="dmt"),AND($D123=OBJECTIFS!$B$13,OBJECTIFS!$F$15="dmt"),AND($D123=OBJECTIFS!$B$20,OBJECTIFS!$F$22="dmt"),AND($D123=OBJECTIFS!$B$27,OBJECTIFS!$F$29="dmt"),AND($D123=OBJECTIFS!$B$34,OBJECTIFS!$F$36="dmt"),AND($D123=OBJECTIFS!$B$6,OBJECTIFS!$F$8="taux de chute"),AND($D123=OBJECTIFS!$B$13,OBJECTIFS!$F$15="taux de chute"),AND($D123=OBJECTIFS!$B$20,OBJECTIFS!$F$22="taux de chute"),AND($D123=OBJECTIFS!$B$27,OBJECTIFS!$F$29="taux de chute"),AND($D123=OBJECTIFS!$B$34,OBJECTIFS!$F$36="taux de chute")),IFERROR(O123/N123,""),IFERROR(N123/O123,""))</f>
        <v/>
      </c>
      <c r="Q123" s="91">
        <f>IFERROR(IF(OR(N123="",O123="",P123=""),0,IF(P123&lt;OBJECTIFS!$E$56,0,IF(P123&lt;OBJECTIFS!$G$56,Q$8*OBJECTIFS!$F$60,IF(P123&lt;OBJECTIFS!$I$56,Q$8*OBJECTIFS!$H$60,Q$8)))),0)</f>
        <v>0</v>
      </c>
      <c r="R123" s="164"/>
      <c r="S123" s="93" t="str">
        <f>IF(OR($A123="",$D123="",R123=""),"",SUMIFS(OBJECTIFS!G$9:G$39,OBJECTIFS!$A$9:$A$39,$D123,OBJECTIFS!$C$9:$C$39,$F123))</f>
        <v/>
      </c>
      <c r="T123" s="90" t="str">
        <f>IF(OR(AND($D123=OBJECTIFS!$B$6,OBJECTIFS!G$8="dmt"),AND($D123=OBJECTIFS!$B$13,OBJECTIFS!$G$15="dmt"),AND($D123=OBJECTIFS!$B$20,OBJECTIFS!$G$22="dmt"),AND($D123=OBJECTIFS!$B$27,OBJECTIFS!$G$29="dmt"),AND($D123=OBJECTIFS!$B$34,OBJECTIFS!$G$36="dmt"),AND($D123=OBJECTIFS!$B$6,OBJECTIFS!$G$8="taux de chute"),AND($D123=OBJECTIFS!$B$13,OBJECTIFS!$G$15="taux de chute"),AND($D123=OBJECTIFS!$B$20,OBJECTIFS!$G$22="taux de chute"),AND($D123=OBJECTIFS!$B$27,OBJECTIFS!$G$29="taux de chute"),AND($D123=OBJECTIFS!$B$34,OBJECTIFS!$G$36="taux de chute")),IFERROR(S123/R123,""),IFERROR(R123/S123,""))</f>
        <v/>
      </c>
      <c r="U123" s="94">
        <f>IFERROR(IF(OR(R123="",S123="",T123=""),0,IF(T123&lt;OBJECTIFS!$E$56,0,IF(T123&lt;OBJECTIFS!$G$56,U$8*OBJECTIFS!$F$60,IF(T123&lt;OBJECTIFS!$I$56,U$8*OBJECTIFS!$H$60,U$8)))),0)</f>
        <v>0</v>
      </c>
      <c r="V123" s="25"/>
      <c r="W123" s="90" t="str">
        <f>IF(OR($A123="",$D123="",V123=""),"",SUMIFS(OBJECTIFS!H$9:H$39,OBJECTIFS!$A$9:$A$39,$D123,OBJECTIFS!$C$9:$C$39,$F123))</f>
        <v/>
      </c>
      <c r="X123" s="90" t="str">
        <f>IF(OR(AND($D123=OBJECTIFS!$B$6,OBJECTIFS!H$8="dmt"),AND($D123=OBJECTIFS!$B$13,OBJECTIFS!$H$15="dmt"),AND($D123=OBJECTIFS!$B$20,OBJECTIFS!$H$22="dmt"),AND($D123=OBJECTIFS!$B$27,OBJECTIFS!$H$29="dmt"),AND($D123=OBJECTIFS!$B$34,OBJECTIFS!$H$36="dmt"),AND($D123=OBJECTIFS!$B$6,OBJECTIFS!$H$8="taux de chute"),AND($D123=OBJECTIFS!$B$13,OBJECTIFS!$H$15="taux de chute"),AND($D123=OBJECTIFS!$B$20,OBJECTIFS!$H$22="taux de chute"),AND($D123=OBJECTIFS!$B$27,OBJECTIFS!$H$29="taux de chute"),AND($D123=OBJECTIFS!$B$34,OBJECTIFS!$H$36="taux de chute")),IFERROR(W123/V123,""),IFERROR(V123/W123,""))</f>
        <v/>
      </c>
      <c r="Y123" s="91">
        <f>IFERROR(IF(OR(V123="",W123="",X123=""),0,IF(X123&lt;OBJECTIFS!$E$56,0,IF(X123&lt;OBJECTIFS!$G$56,Y$8*OBJECTIFS!$F$60,IF(X123&lt;OBJECTIFS!$I$56,Y$8*OBJECTIFS!$H$60,Y$8)))),0)</f>
        <v>0</v>
      </c>
      <c r="Z123" s="167"/>
      <c r="AA123" s="90" t="str">
        <f>IF(OR($A123="",$D123="",Z123=""),"",SUMIFS(OBJECTIFS!I$9:I$39,OBJECTIFS!$A$9:$A$39,$D123,OBJECTIFS!$C$9:$C$39,$F123))</f>
        <v/>
      </c>
      <c r="AB123" s="90" t="str">
        <f>IF(OR(AND($D123=OBJECTIFS!$B$6,OBJECTIFS!I$8="dmt"),AND($D123=OBJECTIFS!$B$13,OBJECTIFS!$I$15="dmt"),AND($D123=OBJECTIFS!$B$20,OBJECTIFS!$I$22="dmt"),AND($D123=OBJECTIFS!$B$27,OBJECTIFS!$I$29="dmt"),AND($D123=OBJECTIFS!$B$34,OBJECTIFS!$I$36="dmt"),AND($D123=OBJECTIFS!$B$6,OBJECTIFS!$I$8="taux de chute"),AND($D123=OBJECTIFS!$B$13,OBJECTIFS!$I$15="taux de chute"),AND($D123=OBJECTIFS!$B$20,OBJECTIFS!$I$22="taux de chute"),AND($D123=OBJECTIFS!$B$27,OBJECTIFS!$I$29="taux de chute"),AND($D123=OBJECTIFS!$B$34,OBJECTIFS!$I$36="taux de chute")),IFERROR(AA123/Z123,""),IFERROR(Z123/AA123,""))</f>
        <v/>
      </c>
      <c r="AC123" s="95">
        <f>IFERROR(IF(OR(Z123="",AA123="",AB123=""),0,IF(AB123&lt;OBJECTIFS!$E$56,0,IF(AB123&lt;OBJECTIFS!$G$56,AC$8*OBJECTIFS!$F$60,IF(AB123&lt;OBJECTIFS!$I$56,AC$8*OBJECTIFS!$H$60,AC$8)))),0)</f>
        <v>0</v>
      </c>
      <c r="AD123" s="186"/>
      <c r="AE123" s="187"/>
      <c r="AF123" s="96">
        <f t="shared" ca="1" si="2"/>
        <v>0</v>
      </c>
      <c r="AG123" s="63"/>
      <c r="AH123" s="186"/>
      <c r="AI123" s="24"/>
      <c r="AJ123" s="24"/>
      <c r="AK123" s="24"/>
      <c r="AL123" s="24"/>
      <c r="AM123" s="79">
        <f t="shared" si="3"/>
        <v>0</v>
      </c>
      <c r="AN123" s="79">
        <v>22</v>
      </c>
      <c r="AO123" s="80">
        <f t="shared" si="4"/>
        <v>0</v>
      </c>
      <c r="AP123" s="81" t="str">
        <f t="shared" ca="1" si="5"/>
        <v/>
      </c>
      <c r="AQ123" s="82"/>
      <c r="AR123" s="97">
        <f>IFERROR(VLOOKUP(B123,OBJECTIFS!$C$76:$E$137,2,FALSE),0)</f>
        <v>0</v>
      </c>
      <c r="AS123" s="98">
        <f>IFERROR(VLOOKUP(B123,OBJECTIFS!$H$76:$J$137,2,FALSE),0)</f>
        <v>0</v>
      </c>
      <c r="AT123" s="98">
        <f>IFERROR(VLOOKUP(B123,OBJECTIFS!$C$142:$E$203,2,FALSE),0)</f>
        <v>0</v>
      </c>
      <c r="AU123" s="98">
        <f>IFERROR(VLOOKUP(B123,OBJECTIFS!$H$142:$J$203,2,FALSE),0)</f>
        <v>0</v>
      </c>
      <c r="AV123" s="98">
        <f>IFERROR(VLOOKUP(B123,OBJECTIFS!$F$208:$H$269,3,FALSE),0)</f>
        <v>0</v>
      </c>
      <c r="AW123" s="81">
        <f t="shared" si="6"/>
        <v>0</v>
      </c>
      <c r="AX123" s="82"/>
      <c r="AY123" s="99" t="str">
        <f t="shared" ca="1" si="7"/>
        <v/>
      </c>
      <c r="AZ123" s="63"/>
      <c r="BA123" s="100">
        <f t="shared" ca="1" si="8"/>
        <v>0</v>
      </c>
      <c r="BB123" s="64" t="str">
        <f t="shared" ca="1" si="9"/>
        <v/>
      </c>
      <c r="BC123" s="101" t="str">
        <f t="shared" ca="1" si="10"/>
        <v/>
      </c>
    </row>
    <row r="124" spans="1:55" x14ac:dyDescent="0.2">
      <c r="A124" s="21"/>
      <c r="B124" s="22"/>
      <c r="C124" s="22"/>
      <c r="D124" s="23"/>
      <c r="E124" s="24"/>
      <c r="F124" s="34"/>
      <c r="H124" s="89" t="str">
        <f>IF(OR(D124="",F124="",A124=""),"",IF(E124="oui",0,IF(D124=OBJECTIFS!$C$45,VLOOKUP(F124,OBJECTIFS!$C$9:$D$11,2,FALSE),IF(D124=OBJECTIFS!$C$46,VLOOKUP(F124,OBJECTIFS!$C$16:$D$18,2,FALSE),IF(D124=OBJECTIFS!$C$47,VLOOKUP(F124,OBJECTIFS!$C$23:$D$25,2,FALSE),IF(D124=OBJECTIFS!$C$48,VLOOKUP(F124,OBJECTIFS!$C$30:$D$32,2,FALSE),IF(D124=OBJECTIFS!$C$49,VLOOKUP(F124,OBJECTIFS!$C$37:$D$39,2,FALSE))))))))</f>
        <v/>
      </c>
      <c r="J124" s="25"/>
      <c r="K124" s="90" t="str">
        <f>IF(OR($A124="",$D124="",J124=""),"",SUMIFS(OBJECTIFS!E$9:E$39,OBJECTIFS!$A$9:$A$39,$D124,OBJECTIFS!$C$9:$C$39,$F124))</f>
        <v/>
      </c>
      <c r="L124" s="90" t="str">
        <f>IF(OR(AND($D124=OBJECTIFS!$B$6,OBJECTIFS!E$8="dmt"),AND($D124=OBJECTIFS!$B$13,OBJECTIFS!$E$15="dmt"),AND($D124=OBJECTIFS!$B$20,OBJECTIFS!$E$22="dmt"),AND($D124=OBJECTIFS!$B$27,OBJECTIFS!$E$29="dmt"),AND($D124=OBJECTIFS!$B$34,OBJECTIFS!$E$36="dmt"),AND($D124=OBJECTIFS!$B$6,OBJECTIFS!$E$8="taux de chute"),AND($D124=OBJECTIFS!$B$13,OBJECTIFS!$E$15="taux de chute"),AND($D124=OBJECTIFS!$B$20,OBJECTIFS!$E$22="taux de chute"),AND($D124=OBJECTIFS!$B$27,OBJECTIFS!$E$29="taux de chute"),AND($D124=OBJECTIFS!$B$34,OBJECTIFS!$E$36="taux de chute")),IFERROR(K124/J124,""),IFERROR(J124/K124,""))</f>
        <v/>
      </c>
      <c r="M124" s="91">
        <f>IFERROR(IF(OR(J124="",K124="",L124=""),0,IF(L124&lt;OBJECTIFS!$E$56,0,IF(L124&lt;OBJECTIFS!$G$56,M$8*OBJECTIFS!$F$60,IF(L124&lt;OBJECTIFS!$I$56,M$8*OBJECTIFS!$H$60,M$8)))),0)</f>
        <v>0</v>
      </c>
      <c r="N124" s="161"/>
      <c r="O124" s="92" t="str">
        <f>IF(OR($A124="",$D124="",N124=""),"",SUMIFS(OBJECTIFS!F$9:F$39,OBJECTIFS!$A$9:$A$39,$D124,OBJECTIFS!$C$9:$C$39,$F124))</f>
        <v/>
      </c>
      <c r="P124" s="90" t="str">
        <f>IF(OR(AND($D124=OBJECTIFS!$B$6,OBJECTIFS!$F$8="dmt"),AND($D124=OBJECTIFS!$B$13,OBJECTIFS!$F$15="dmt"),AND($D124=OBJECTIFS!$B$20,OBJECTIFS!$F$22="dmt"),AND($D124=OBJECTIFS!$B$27,OBJECTIFS!$F$29="dmt"),AND($D124=OBJECTIFS!$B$34,OBJECTIFS!$F$36="dmt"),AND($D124=OBJECTIFS!$B$6,OBJECTIFS!$F$8="taux de chute"),AND($D124=OBJECTIFS!$B$13,OBJECTIFS!$F$15="taux de chute"),AND($D124=OBJECTIFS!$B$20,OBJECTIFS!$F$22="taux de chute"),AND($D124=OBJECTIFS!$B$27,OBJECTIFS!$F$29="taux de chute"),AND($D124=OBJECTIFS!$B$34,OBJECTIFS!$F$36="taux de chute")),IFERROR(O124/N124,""),IFERROR(N124/O124,""))</f>
        <v/>
      </c>
      <c r="Q124" s="91">
        <f>IFERROR(IF(OR(N124="",O124="",P124=""),0,IF(P124&lt;OBJECTIFS!$E$56,0,IF(P124&lt;OBJECTIFS!$G$56,Q$8*OBJECTIFS!$F$60,IF(P124&lt;OBJECTIFS!$I$56,Q$8*OBJECTIFS!$H$60,Q$8)))),0)</f>
        <v>0</v>
      </c>
      <c r="R124" s="164"/>
      <c r="S124" s="93" t="str">
        <f>IF(OR($A124="",$D124="",R124=""),"",SUMIFS(OBJECTIFS!G$9:G$39,OBJECTIFS!$A$9:$A$39,$D124,OBJECTIFS!$C$9:$C$39,$F124))</f>
        <v/>
      </c>
      <c r="T124" s="90" t="str">
        <f>IF(OR(AND($D124=OBJECTIFS!$B$6,OBJECTIFS!G$8="dmt"),AND($D124=OBJECTIFS!$B$13,OBJECTIFS!$G$15="dmt"),AND($D124=OBJECTIFS!$B$20,OBJECTIFS!$G$22="dmt"),AND($D124=OBJECTIFS!$B$27,OBJECTIFS!$G$29="dmt"),AND($D124=OBJECTIFS!$B$34,OBJECTIFS!$G$36="dmt"),AND($D124=OBJECTIFS!$B$6,OBJECTIFS!$G$8="taux de chute"),AND($D124=OBJECTIFS!$B$13,OBJECTIFS!$G$15="taux de chute"),AND($D124=OBJECTIFS!$B$20,OBJECTIFS!$G$22="taux de chute"),AND($D124=OBJECTIFS!$B$27,OBJECTIFS!$G$29="taux de chute"),AND($D124=OBJECTIFS!$B$34,OBJECTIFS!$G$36="taux de chute")),IFERROR(S124/R124,""),IFERROR(R124/S124,""))</f>
        <v/>
      </c>
      <c r="U124" s="94">
        <f>IFERROR(IF(OR(R124="",S124="",T124=""),0,IF(T124&lt;OBJECTIFS!$E$56,0,IF(T124&lt;OBJECTIFS!$G$56,U$8*OBJECTIFS!$F$60,IF(T124&lt;OBJECTIFS!$I$56,U$8*OBJECTIFS!$H$60,U$8)))),0)</f>
        <v>0</v>
      </c>
      <c r="V124" s="25"/>
      <c r="W124" s="90" t="str">
        <f>IF(OR($A124="",$D124="",V124=""),"",SUMIFS(OBJECTIFS!H$9:H$39,OBJECTIFS!$A$9:$A$39,$D124,OBJECTIFS!$C$9:$C$39,$F124))</f>
        <v/>
      </c>
      <c r="X124" s="90" t="str">
        <f>IF(OR(AND($D124=OBJECTIFS!$B$6,OBJECTIFS!H$8="dmt"),AND($D124=OBJECTIFS!$B$13,OBJECTIFS!$H$15="dmt"),AND($D124=OBJECTIFS!$B$20,OBJECTIFS!$H$22="dmt"),AND($D124=OBJECTIFS!$B$27,OBJECTIFS!$H$29="dmt"),AND($D124=OBJECTIFS!$B$34,OBJECTIFS!$H$36="dmt"),AND($D124=OBJECTIFS!$B$6,OBJECTIFS!$H$8="taux de chute"),AND($D124=OBJECTIFS!$B$13,OBJECTIFS!$H$15="taux de chute"),AND($D124=OBJECTIFS!$B$20,OBJECTIFS!$H$22="taux de chute"),AND($D124=OBJECTIFS!$B$27,OBJECTIFS!$H$29="taux de chute"),AND($D124=OBJECTIFS!$B$34,OBJECTIFS!$H$36="taux de chute")),IFERROR(W124/V124,""),IFERROR(V124/W124,""))</f>
        <v/>
      </c>
      <c r="Y124" s="91">
        <f>IFERROR(IF(OR(V124="",W124="",X124=""),0,IF(X124&lt;OBJECTIFS!$E$56,0,IF(X124&lt;OBJECTIFS!$G$56,Y$8*OBJECTIFS!$F$60,IF(X124&lt;OBJECTIFS!$I$56,Y$8*OBJECTIFS!$H$60,Y$8)))),0)</f>
        <v>0</v>
      </c>
      <c r="Z124" s="167"/>
      <c r="AA124" s="90" t="str">
        <f>IF(OR($A124="",$D124="",Z124=""),"",SUMIFS(OBJECTIFS!I$9:I$39,OBJECTIFS!$A$9:$A$39,$D124,OBJECTIFS!$C$9:$C$39,$F124))</f>
        <v/>
      </c>
      <c r="AB124" s="90" t="str">
        <f>IF(OR(AND($D124=OBJECTIFS!$B$6,OBJECTIFS!I$8="dmt"),AND($D124=OBJECTIFS!$B$13,OBJECTIFS!$I$15="dmt"),AND($D124=OBJECTIFS!$B$20,OBJECTIFS!$I$22="dmt"),AND($D124=OBJECTIFS!$B$27,OBJECTIFS!$I$29="dmt"),AND($D124=OBJECTIFS!$B$34,OBJECTIFS!$I$36="dmt"),AND($D124=OBJECTIFS!$B$6,OBJECTIFS!$I$8="taux de chute"),AND($D124=OBJECTIFS!$B$13,OBJECTIFS!$I$15="taux de chute"),AND($D124=OBJECTIFS!$B$20,OBJECTIFS!$I$22="taux de chute"),AND($D124=OBJECTIFS!$B$27,OBJECTIFS!$I$29="taux de chute"),AND($D124=OBJECTIFS!$B$34,OBJECTIFS!$I$36="taux de chute")),IFERROR(AA124/Z124,""),IFERROR(Z124/AA124,""))</f>
        <v/>
      </c>
      <c r="AC124" s="95">
        <f>IFERROR(IF(OR(Z124="",AA124="",AB124=""),0,IF(AB124&lt;OBJECTIFS!$E$56,0,IF(AB124&lt;OBJECTIFS!$G$56,AC$8*OBJECTIFS!$F$60,IF(AB124&lt;OBJECTIFS!$I$56,AC$8*OBJECTIFS!$H$60,AC$8)))),0)</f>
        <v>0</v>
      </c>
      <c r="AD124" s="186"/>
      <c r="AE124" s="187"/>
      <c r="AF124" s="96">
        <f t="shared" ca="1" si="2"/>
        <v>0</v>
      </c>
      <c r="AG124" s="63"/>
      <c r="AH124" s="186"/>
      <c r="AI124" s="24"/>
      <c r="AJ124" s="24"/>
      <c r="AK124" s="24"/>
      <c r="AL124" s="24"/>
      <c r="AM124" s="79">
        <f t="shared" si="3"/>
        <v>0</v>
      </c>
      <c r="AN124" s="79">
        <v>22</v>
      </c>
      <c r="AO124" s="80">
        <f t="shared" si="4"/>
        <v>0</v>
      </c>
      <c r="AP124" s="81" t="str">
        <f t="shared" ca="1" si="5"/>
        <v/>
      </c>
      <c r="AQ124" s="82"/>
      <c r="AR124" s="97">
        <f>IFERROR(VLOOKUP(B124,OBJECTIFS!$C$76:$E$137,2,FALSE),0)</f>
        <v>0</v>
      </c>
      <c r="AS124" s="98">
        <f>IFERROR(VLOOKUP(B124,OBJECTIFS!$H$76:$J$137,2,FALSE),0)</f>
        <v>0</v>
      </c>
      <c r="AT124" s="98">
        <f>IFERROR(VLOOKUP(B124,OBJECTIFS!$C$142:$E$203,2,FALSE),0)</f>
        <v>0</v>
      </c>
      <c r="AU124" s="98">
        <f>IFERROR(VLOOKUP(B124,OBJECTIFS!$H$142:$J$203,2,FALSE),0)</f>
        <v>0</v>
      </c>
      <c r="AV124" s="98">
        <f>IFERROR(VLOOKUP(B124,OBJECTIFS!$F$208:$H$269,3,FALSE),0)</f>
        <v>0</v>
      </c>
      <c r="AW124" s="81">
        <f t="shared" si="6"/>
        <v>0</v>
      </c>
      <c r="AX124" s="82"/>
      <c r="AY124" s="99" t="str">
        <f t="shared" ca="1" si="7"/>
        <v/>
      </c>
      <c r="AZ124" s="63"/>
      <c r="BA124" s="100">
        <f t="shared" ca="1" si="8"/>
        <v>0</v>
      </c>
      <c r="BB124" s="64" t="str">
        <f t="shared" ca="1" si="9"/>
        <v/>
      </c>
      <c r="BC124" s="101" t="str">
        <f t="shared" ca="1" si="10"/>
        <v/>
      </c>
    </row>
    <row r="125" spans="1:55" x14ac:dyDescent="0.2">
      <c r="A125" s="21"/>
      <c r="B125" s="22"/>
      <c r="C125" s="22"/>
      <c r="D125" s="23"/>
      <c r="E125" s="24"/>
      <c r="F125" s="34"/>
      <c r="H125" s="89" t="str">
        <f>IF(OR(D125="",F125="",A125=""),"",IF(E125="oui",0,IF(D125=OBJECTIFS!$C$45,VLOOKUP(F125,OBJECTIFS!$C$9:$D$11,2,FALSE),IF(D125=OBJECTIFS!$C$46,VLOOKUP(F125,OBJECTIFS!$C$16:$D$18,2,FALSE),IF(D125=OBJECTIFS!$C$47,VLOOKUP(F125,OBJECTIFS!$C$23:$D$25,2,FALSE),IF(D125=OBJECTIFS!$C$48,VLOOKUP(F125,OBJECTIFS!$C$30:$D$32,2,FALSE),IF(D125=OBJECTIFS!$C$49,VLOOKUP(F125,OBJECTIFS!$C$37:$D$39,2,FALSE))))))))</f>
        <v/>
      </c>
      <c r="J125" s="25"/>
      <c r="K125" s="90" t="str">
        <f>IF(OR($A125="",$D125="",J125=""),"",SUMIFS(OBJECTIFS!E$9:E$39,OBJECTIFS!$A$9:$A$39,$D125,OBJECTIFS!$C$9:$C$39,$F125))</f>
        <v/>
      </c>
      <c r="L125" s="90" t="str">
        <f>IF(OR(AND($D125=OBJECTIFS!$B$6,OBJECTIFS!E$8="dmt"),AND($D125=OBJECTIFS!$B$13,OBJECTIFS!$E$15="dmt"),AND($D125=OBJECTIFS!$B$20,OBJECTIFS!$E$22="dmt"),AND($D125=OBJECTIFS!$B$27,OBJECTIFS!$E$29="dmt"),AND($D125=OBJECTIFS!$B$34,OBJECTIFS!$E$36="dmt"),AND($D125=OBJECTIFS!$B$6,OBJECTIFS!$E$8="taux de chute"),AND($D125=OBJECTIFS!$B$13,OBJECTIFS!$E$15="taux de chute"),AND($D125=OBJECTIFS!$B$20,OBJECTIFS!$E$22="taux de chute"),AND($D125=OBJECTIFS!$B$27,OBJECTIFS!$E$29="taux de chute"),AND($D125=OBJECTIFS!$B$34,OBJECTIFS!$E$36="taux de chute")),IFERROR(K125/J125,""),IFERROR(J125/K125,""))</f>
        <v/>
      </c>
      <c r="M125" s="91">
        <f>IFERROR(IF(OR(J125="",K125="",L125=""),0,IF(L125&lt;OBJECTIFS!$E$56,0,IF(L125&lt;OBJECTIFS!$G$56,M$8*OBJECTIFS!$F$60,IF(L125&lt;OBJECTIFS!$I$56,M$8*OBJECTIFS!$H$60,M$8)))),0)</f>
        <v>0</v>
      </c>
      <c r="N125" s="161"/>
      <c r="O125" s="92" t="str">
        <f>IF(OR($A125="",$D125="",N125=""),"",SUMIFS(OBJECTIFS!F$9:F$39,OBJECTIFS!$A$9:$A$39,$D125,OBJECTIFS!$C$9:$C$39,$F125))</f>
        <v/>
      </c>
      <c r="P125" s="90" t="str">
        <f>IF(OR(AND($D125=OBJECTIFS!$B$6,OBJECTIFS!$F$8="dmt"),AND($D125=OBJECTIFS!$B$13,OBJECTIFS!$F$15="dmt"),AND($D125=OBJECTIFS!$B$20,OBJECTIFS!$F$22="dmt"),AND($D125=OBJECTIFS!$B$27,OBJECTIFS!$F$29="dmt"),AND($D125=OBJECTIFS!$B$34,OBJECTIFS!$F$36="dmt"),AND($D125=OBJECTIFS!$B$6,OBJECTIFS!$F$8="taux de chute"),AND($D125=OBJECTIFS!$B$13,OBJECTIFS!$F$15="taux de chute"),AND($D125=OBJECTIFS!$B$20,OBJECTIFS!$F$22="taux de chute"),AND($D125=OBJECTIFS!$B$27,OBJECTIFS!$F$29="taux de chute"),AND($D125=OBJECTIFS!$B$34,OBJECTIFS!$F$36="taux de chute")),IFERROR(O125/N125,""),IFERROR(N125/O125,""))</f>
        <v/>
      </c>
      <c r="Q125" s="91">
        <f>IFERROR(IF(OR(N125="",O125="",P125=""),0,IF(P125&lt;OBJECTIFS!$E$56,0,IF(P125&lt;OBJECTIFS!$G$56,Q$8*OBJECTIFS!$F$60,IF(P125&lt;OBJECTIFS!$I$56,Q$8*OBJECTIFS!$H$60,Q$8)))),0)</f>
        <v>0</v>
      </c>
      <c r="R125" s="164"/>
      <c r="S125" s="93" t="str">
        <f>IF(OR($A125="",$D125="",R125=""),"",SUMIFS(OBJECTIFS!G$9:G$39,OBJECTIFS!$A$9:$A$39,$D125,OBJECTIFS!$C$9:$C$39,$F125))</f>
        <v/>
      </c>
      <c r="T125" s="90" t="str">
        <f>IF(OR(AND($D125=OBJECTIFS!$B$6,OBJECTIFS!G$8="dmt"),AND($D125=OBJECTIFS!$B$13,OBJECTIFS!$G$15="dmt"),AND($D125=OBJECTIFS!$B$20,OBJECTIFS!$G$22="dmt"),AND($D125=OBJECTIFS!$B$27,OBJECTIFS!$G$29="dmt"),AND($D125=OBJECTIFS!$B$34,OBJECTIFS!$G$36="dmt"),AND($D125=OBJECTIFS!$B$6,OBJECTIFS!$G$8="taux de chute"),AND($D125=OBJECTIFS!$B$13,OBJECTIFS!$G$15="taux de chute"),AND($D125=OBJECTIFS!$B$20,OBJECTIFS!$G$22="taux de chute"),AND($D125=OBJECTIFS!$B$27,OBJECTIFS!$G$29="taux de chute"),AND($D125=OBJECTIFS!$B$34,OBJECTIFS!$G$36="taux de chute")),IFERROR(S125/R125,""),IFERROR(R125/S125,""))</f>
        <v/>
      </c>
      <c r="U125" s="94">
        <f>IFERROR(IF(OR(R125="",S125="",T125=""),0,IF(T125&lt;OBJECTIFS!$E$56,0,IF(T125&lt;OBJECTIFS!$G$56,U$8*OBJECTIFS!$F$60,IF(T125&lt;OBJECTIFS!$I$56,U$8*OBJECTIFS!$H$60,U$8)))),0)</f>
        <v>0</v>
      </c>
      <c r="V125" s="25"/>
      <c r="W125" s="90" t="str">
        <f>IF(OR($A125="",$D125="",V125=""),"",SUMIFS(OBJECTIFS!H$9:H$39,OBJECTIFS!$A$9:$A$39,$D125,OBJECTIFS!$C$9:$C$39,$F125))</f>
        <v/>
      </c>
      <c r="X125" s="90" t="str">
        <f>IF(OR(AND($D125=OBJECTIFS!$B$6,OBJECTIFS!H$8="dmt"),AND($D125=OBJECTIFS!$B$13,OBJECTIFS!$H$15="dmt"),AND($D125=OBJECTIFS!$B$20,OBJECTIFS!$H$22="dmt"),AND($D125=OBJECTIFS!$B$27,OBJECTIFS!$H$29="dmt"),AND($D125=OBJECTIFS!$B$34,OBJECTIFS!$H$36="dmt"),AND($D125=OBJECTIFS!$B$6,OBJECTIFS!$H$8="taux de chute"),AND($D125=OBJECTIFS!$B$13,OBJECTIFS!$H$15="taux de chute"),AND($D125=OBJECTIFS!$B$20,OBJECTIFS!$H$22="taux de chute"),AND($D125=OBJECTIFS!$B$27,OBJECTIFS!$H$29="taux de chute"),AND($D125=OBJECTIFS!$B$34,OBJECTIFS!$H$36="taux de chute")),IFERROR(W125/V125,""),IFERROR(V125/W125,""))</f>
        <v/>
      </c>
      <c r="Y125" s="91">
        <f>IFERROR(IF(OR(V125="",W125="",X125=""),0,IF(X125&lt;OBJECTIFS!$E$56,0,IF(X125&lt;OBJECTIFS!$G$56,Y$8*OBJECTIFS!$F$60,IF(X125&lt;OBJECTIFS!$I$56,Y$8*OBJECTIFS!$H$60,Y$8)))),0)</f>
        <v>0</v>
      </c>
      <c r="Z125" s="167"/>
      <c r="AA125" s="90" t="str">
        <f>IF(OR($A125="",$D125="",Z125=""),"",SUMIFS(OBJECTIFS!I$9:I$39,OBJECTIFS!$A$9:$A$39,$D125,OBJECTIFS!$C$9:$C$39,$F125))</f>
        <v/>
      </c>
      <c r="AB125" s="90" t="str">
        <f>IF(OR(AND($D125=OBJECTIFS!$B$6,OBJECTIFS!I$8="dmt"),AND($D125=OBJECTIFS!$B$13,OBJECTIFS!$I$15="dmt"),AND($D125=OBJECTIFS!$B$20,OBJECTIFS!$I$22="dmt"),AND($D125=OBJECTIFS!$B$27,OBJECTIFS!$I$29="dmt"),AND($D125=OBJECTIFS!$B$34,OBJECTIFS!$I$36="dmt"),AND($D125=OBJECTIFS!$B$6,OBJECTIFS!$I$8="taux de chute"),AND($D125=OBJECTIFS!$B$13,OBJECTIFS!$I$15="taux de chute"),AND($D125=OBJECTIFS!$B$20,OBJECTIFS!$I$22="taux de chute"),AND($D125=OBJECTIFS!$B$27,OBJECTIFS!$I$29="taux de chute"),AND($D125=OBJECTIFS!$B$34,OBJECTIFS!$I$36="taux de chute")),IFERROR(AA125/Z125,""),IFERROR(Z125/AA125,""))</f>
        <v/>
      </c>
      <c r="AC125" s="95">
        <f>IFERROR(IF(OR(Z125="",AA125="",AB125=""),0,IF(AB125&lt;OBJECTIFS!$E$56,0,IF(AB125&lt;OBJECTIFS!$G$56,AC$8*OBJECTIFS!$F$60,IF(AB125&lt;OBJECTIFS!$I$56,AC$8*OBJECTIFS!$H$60,AC$8)))),0)</f>
        <v>0</v>
      </c>
      <c r="AD125" s="186"/>
      <c r="AE125" s="187"/>
      <c r="AF125" s="96">
        <f t="shared" ca="1" si="2"/>
        <v>0</v>
      </c>
      <c r="AG125" s="63"/>
      <c r="AH125" s="186"/>
      <c r="AI125" s="24"/>
      <c r="AJ125" s="24"/>
      <c r="AK125" s="24"/>
      <c r="AL125" s="24"/>
      <c r="AM125" s="79">
        <f t="shared" si="3"/>
        <v>0</v>
      </c>
      <c r="AN125" s="79">
        <v>22</v>
      </c>
      <c r="AO125" s="80">
        <f t="shared" si="4"/>
        <v>0</v>
      </c>
      <c r="AP125" s="81" t="str">
        <f t="shared" ca="1" si="5"/>
        <v/>
      </c>
      <c r="AQ125" s="82"/>
      <c r="AR125" s="97">
        <f>IFERROR(VLOOKUP(B125,OBJECTIFS!$C$76:$E$137,2,FALSE),0)</f>
        <v>0</v>
      </c>
      <c r="AS125" s="98">
        <f>IFERROR(VLOOKUP(B125,OBJECTIFS!$H$76:$J$137,2,FALSE),0)</f>
        <v>0</v>
      </c>
      <c r="AT125" s="98">
        <f>IFERROR(VLOOKUP(B125,OBJECTIFS!$C$142:$E$203,2,FALSE),0)</f>
        <v>0</v>
      </c>
      <c r="AU125" s="98">
        <f>IFERROR(VLOOKUP(B125,OBJECTIFS!$H$142:$J$203,2,FALSE),0)</f>
        <v>0</v>
      </c>
      <c r="AV125" s="98">
        <f>IFERROR(VLOOKUP(B125,OBJECTIFS!$F$208:$H$269,3,FALSE),0)</f>
        <v>0</v>
      </c>
      <c r="AW125" s="81">
        <f t="shared" si="6"/>
        <v>0</v>
      </c>
      <c r="AX125" s="82"/>
      <c r="AY125" s="99" t="str">
        <f t="shared" ca="1" si="7"/>
        <v/>
      </c>
      <c r="AZ125" s="63"/>
      <c r="BA125" s="100">
        <f t="shared" ca="1" si="8"/>
        <v>0</v>
      </c>
      <c r="BB125" s="64" t="str">
        <f t="shared" ca="1" si="9"/>
        <v/>
      </c>
      <c r="BC125" s="101" t="str">
        <f t="shared" ca="1" si="10"/>
        <v/>
      </c>
    </row>
    <row r="126" spans="1:55" x14ac:dyDescent="0.2">
      <c r="A126" s="21"/>
      <c r="B126" s="22"/>
      <c r="C126" s="22"/>
      <c r="D126" s="23"/>
      <c r="E126" s="24"/>
      <c r="F126" s="34"/>
      <c r="H126" s="89" t="str">
        <f>IF(OR(D126="",F126="",A126=""),"",IF(E126="oui",0,IF(D126=OBJECTIFS!$C$45,VLOOKUP(F126,OBJECTIFS!$C$9:$D$11,2,FALSE),IF(D126=OBJECTIFS!$C$46,VLOOKUP(F126,OBJECTIFS!$C$16:$D$18,2,FALSE),IF(D126=OBJECTIFS!$C$47,VLOOKUP(F126,OBJECTIFS!$C$23:$D$25,2,FALSE),IF(D126=OBJECTIFS!$C$48,VLOOKUP(F126,OBJECTIFS!$C$30:$D$32,2,FALSE),IF(D126=OBJECTIFS!$C$49,VLOOKUP(F126,OBJECTIFS!$C$37:$D$39,2,FALSE))))))))</f>
        <v/>
      </c>
      <c r="J126" s="25"/>
      <c r="K126" s="90" t="str">
        <f>IF(OR($A126="",$D126="",J126=""),"",SUMIFS(OBJECTIFS!E$9:E$39,OBJECTIFS!$A$9:$A$39,$D126,OBJECTIFS!$C$9:$C$39,$F126))</f>
        <v/>
      </c>
      <c r="L126" s="90" t="str">
        <f>IF(OR(AND($D126=OBJECTIFS!$B$6,OBJECTIFS!E$8="dmt"),AND($D126=OBJECTIFS!$B$13,OBJECTIFS!$E$15="dmt"),AND($D126=OBJECTIFS!$B$20,OBJECTIFS!$E$22="dmt"),AND($D126=OBJECTIFS!$B$27,OBJECTIFS!$E$29="dmt"),AND($D126=OBJECTIFS!$B$34,OBJECTIFS!$E$36="dmt"),AND($D126=OBJECTIFS!$B$6,OBJECTIFS!$E$8="taux de chute"),AND($D126=OBJECTIFS!$B$13,OBJECTIFS!$E$15="taux de chute"),AND($D126=OBJECTIFS!$B$20,OBJECTIFS!$E$22="taux de chute"),AND($D126=OBJECTIFS!$B$27,OBJECTIFS!$E$29="taux de chute"),AND($D126=OBJECTIFS!$B$34,OBJECTIFS!$E$36="taux de chute")),IFERROR(K126/J126,""),IFERROR(J126/K126,""))</f>
        <v/>
      </c>
      <c r="M126" s="91">
        <f>IFERROR(IF(OR(J126="",K126="",L126=""),0,IF(L126&lt;OBJECTIFS!$E$56,0,IF(L126&lt;OBJECTIFS!$G$56,M$8*OBJECTIFS!$F$60,IF(L126&lt;OBJECTIFS!$I$56,M$8*OBJECTIFS!$H$60,M$8)))),0)</f>
        <v>0</v>
      </c>
      <c r="N126" s="161"/>
      <c r="O126" s="92" t="str">
        <f>IF(OR($A126="",$D126="",N126=""),"",SUMIFS(OBJECTIFS!F$9:F$39,OBJECTIFS!$A$9:$A$39,$D126,OBJECTIFS!$C$9:$C$39,$F126))</f>
        <v/>
      </c>
      <c r="P126" s="90" t="str">
        <f>IF(OR(AND($D126=OBJECTIFS!$B$6,OBJECTIFS!$F$8="dmt"),AND($D126=OBJECTIFS!$B$13,OBJECTIFS!$F$15="dmt"),AND($D126=OBJECTIFS!$B$20,OBJECTIFS!$F$22="dmt"),AND($D126=OBJECTIFS!$B$27,OBJECTIFS!$F$29="dmt"),AND($D126=OBJECTIFS!$B$34,OBJECTIFS!$F$36="dmt"),AND($D126=OBJECTIFS!$B$6,OBJECTIFS!$F$8="taux de chute"),AND($D126=OBJECTIFS!$B$13,OBJECTIFS!$F$15="taux de chute"),AND($D126=OBJECTIFS!$B$20,OBJECTIFS!$F$22="taux de chute"),AND($D126=OBJECTIFS!$B$27,OBJECTIFS!$F$29="taux de chute"),AND($D126=OBJECTIFS!$B$34,OBJECTIFS!$F$36="taux de chute")),IFERROR(O126/N126,""),IFERROR(N126/O126,""))</f>
        <v/>
      </c>
      <c r="Q126" s="91">
        <f>IFERROR(IF(OR(N126="",O126="",P126=""),0,IF(P126&lt;OBJECTIFS!$E$56,0,IF(P126&lt;OBJECTIFS!$G$56,Q$8*OBJECTIFS!$F$60,IF(P126&lt;OBJECTIFS!$I$56,Q$8*OBJECTIFS!$H$60,Q$8)))),0)</f>
        <v>0</v>
      </c>
      <c r="R126" s="164"/>
      <c r="S126" s="93" t="str">
        <f>IF(OR($A126="",$D126="",R126=""),"",SUMIFS(OBJECTIFS!G$9:G$39,OBJECTIFS!$A$9:$A$39,$D126,OBJECTIFS!$C$9:$C$39,$F126))</f>
        <v/>
      </c>
      <c r="T126" s="90" t="str">
        <f>IF(OR(AND($D126=OBJECTIFS!$B$6,OBJECTIFS!G$8="dmt"),AND($D126=OBJECTIFS!$B$13,OBJECTIFS!$G$15="dmt"),AND($D126=OBJECTIFS!$B$20,OBJECTIFS!$G$22="dmt"),AND($D126=OBJECTIFS!$B$27,OBJECTIFS!$G$29="dmt"),AND($D126=OBJECTIFS!$B$34,OBJECTIFS!$G$36="dmt"),AND($D126=OBJECTIFS!$B$6,OBJECTIFS!$G$8="taux de chute"),AND($D126=OBJECTIFS!$B$13,OBJECTIFS!$G$15="taux de chute"),AND($D126=OBJECTIFS!$B$20,OBJECTIFS!$G$22="taux de chute"),AND($D126=OBJECTIFS!$B$27,OBJECTIFS!$G$29="taux de chute"),AND($D126=OBJECTIFS!$B$34,OBJECTIFS!$G$36="taux de chute")),IFERROR(S126/R126,""),IFERROR(R126/S126,""))</f>
        <v/>
      </c>
      <c r="U126" s="94">
        <f>IFERROR(IF(OR(R126="",S126="",T126=""),0,IF(T126&lt;OBJECTIFS!$E$56,0,IF(T126&lt;OBJECTIFS!$G$56,U$8*OBJECTIFS!$F$60,IF(T126&lt;OBJECTIFS!$I$56,U$8*OBJECTIFS!$H$60,U$8)))),0)</f>
        <v>0</v>
      </c>
      <c r="V126" s="25"/>
      <c r="W126" s="90" t="str">
        <f>IF(OR($A126="",$D126="",V126=""),"",SUMIFS(OBJECTIFS!H$9:H$39,OBJECTIFS!$A$9:$A$39,$D126,OBJECTIFS!$C$9:$C$39,$F126))</f>
        <v/>
      </c>
      <c r="X126" s="90" t="str">
        <f>IF(OR(AND($D126=OBJECTIFS!$B$6,OBJECTIFS!H$8="dmt"),AND($D126=OBJECTIFS!$B$13,OBJECTIFS!$H$15="dmt"),AND($D126=OBJECTIFS!$B$20,OBJECTIFS!$H$22="dmt"),AND($D126=OBJECTIFS!$B$27,OBJECTIFS!$H$29="dmt"),AND($D126=OBJECTIFS!$B$34,OBJECTIFS!$H$36="dmt"),AND($D126=OBJECTIFS!$B$6,OBJECTIFS!$H$8="taux de chute"),AND($D126=OBJECTIFS!$B$13,OBJECTIFS!$H$15="taux de chute"),AND($D126=OBJECTIFS!$B$20,OBJECTIFS!$H$22="taux de chute"),AND($D126=OBJECTIFS!$B$27,OBJECTIFS!$H$29="taux de chute"),AND($D126=OBJECTIFS!$B$34,OBJECTIFS!$H$36="taux de chute")),IFERROR(W126/V126,""),IFERROR(V126/W126,""))</f>
        <v/>
      </c>
      <c r="Y126" s="91">
        <f>IFERROR(IF(OR(V126="",W126="",X126=""),0,IF(X126&lt;OBJECTIFS!$E$56,0,IF(X126&lt;OBJECTIFS!$G$56,Y$8*OBJECTIFS!$F$60,IF(X126&lt;OBJECTIFS!$I$56,Y$8*OBJECTIFS!$H$60,Y$8)))),0)</f>
        <v>0</v>
      </c>
      <c r="Z126" s="167"/>
      <c r="AA126" s="90" t="str">
        <f>IF(OR($A126="",$D126="",Z126=""),"",SUMIFS(OBJECTIFS!I$9:I$39,OBJECTIFS!$A$9:$A$39,$D126,OBJECTIFS!$C$9:$C$39,$F126))</f>
        <v/>
      </c>
      <c r="AB126" s="90" t="str">
        <f>IF(OR(AND($D126=OBJECTIFS!$B$6,OBJECTIFS!I$8="dmt"),AND($D126=OBJECTIFS!$B$13,OBJECTIFS!$I$15="dmt"),AND($D126=OBJECTIFS!$B$20,OBJECTIFS!$I$22="dmt"),AND($D126=OBJECTIFS!$B$27,OBJECTIFS!$I$29="dmt"),AND($D126=OBJECTIFS!$B$34,OBJECTIFS!$I$36="dmt"),AND($D126=OBJECTIFS!$B$6,OBJECTIFS!$I$8="taux de chute"),AND($D126=OBJECTIFS!$B$13,OBJECTIFS!$I$15="taux de chute"),AND($D126=OBJECTIFS!$B$20,OBJECTIFS!$I$22="taux de chute"),AND($D126=OBJECTIFS!$B$27,OBJECTIFS!$I$29="taux de chute"),AND($D126=OBJECTIFS!$B$34,OBJECTIFS!$I$36="taux de chute")),IFERROR(AA126/Z126,""),IFERROR(Z126/AA126,""))</f>
        <v/>
      </c>
      <c r="AC126" s="95">
        <f>IFERROR(IF(OR(Z126="",AA126="",AB126=""),0,IF(AB126&lt;OBJECTIFS!$E$56,0,IF(AB126&lt;OBJECTIFS!$G$56,AC$8*OBJECTIFS!$F$60,IF(AB126&lt;OBJECTIFS!$I$56,AC$8*OBJECTIFS!$H$60,AC$8)))),0)</f>
        <v>0</v>
      </c>
      <c r="AD126" s="186"/>
      <c r="AE126" s="187"/>
      <c r="AF126" s="96">
        <f t="shared" ca="1" si="2"/>
        <v>0</v>
      </c>
      <c r="AG126" s="63"/>
      <c r="AH126" s="186"/>
      <c r="AI126" s="24"/>
      <c r="AJ126" s="24"/>
      <c r="AK126" s="24"/>
      <c r="AL126" s="24"/>
      <c r="AM126" s="79">
        <f t="shared" si="3"/>
        <v>0</v>
      </c>
      <c r="AN126" s="79">
        <v>22</v>
      </c>
      <c r="AO126" s="80">
        <f t="shared" si="4"/>
        <v>0</v>
      </c>
      <c r="AP126" s="81" t="str">
        <f t="shared" ca="1" si="5"/>
        <v/>
      </c>
      <c r="AQ126" s="82"/>
      <c r="AR126" s="97">
        <f>IFERROR(VLOOKUP(B126,OBJECTIFS!$C$76:$E$137,2,FALSE),0)</f>
        <v>0</v>
      </c>
      <c r="AS126" s="98">
        <f>IFERROR(VLOOKUP(B126,OBJECTIFS!$H$76:$J$137,2,FALSE),0)</f>
        <v>0</v>
      </c>
      <c r="AT126" s="98">
        <f>IFERROR(VLOOKUP(B126,OBJECTIFS!$C$142:$E$203,2,FALSE),0)</f>
        <v>0</v>
      </c>
      <c r="AU126" s="98">
        <f>IFERROR(VLOOKUP(B126,OBJECTIFS!$H$142:$J$203,2,FALSE),0)</f>
        <v>0</v>
      </c>
      <c r="AV126" s="98">
        <f>IFERROR(VLOOKUP(B126,OBJECTIFS!$F$208:$H$269,3,FALSE),0)</f>
        <v>0</v>
      </c>
      <c r="AW126" s="81">
        <f t="shared" si="6"/>
        <v>0</v>
      </c>
      <c r="AX126" s="82"/>
      <c r="AY126" s="99" t="str">
        <f t="shared" ca="1" si="7"/>
        <v/>
      </c>
      <c r="AZ126" s="63"/>
      <c r="BA126" s="100">
        <f t="shared" ca="1" si="8"/>
        <v>0</v>
      </c>
      <c r="BB126" s="64" t="str">
        <f t="shared" ca="1" si="9"/>
        <v/>
      </c>
      <c r="BC126" s="101" t="str">
        <f t="shared" ca="1" si="10"/>
        <v/>
      </c>
    </row>
    <row r="127" spans="1:55" x14ac:dyDescent="0.2">
      <c r="A127" s="21"/>
      <c r="B127" s="22"/>
      <c r="C127" s="22"/>
      <c r="D127" s="23"/>
      <c r="E127" s="24"/>
      <c r="F127" s="34"/>
      <c r="H127" s="89" t="str">
        <f>IF(OR(D127="",F127="",A127=""),"",IF(E127="oui",0,IF(D127=OBJECTIFS!$C$45,VLOOKUP(F127,OBJECTIFS!$C$9:$D$11,2,FALSE),IF(D127=OBJECTIFS!$C$46,VLOOKUP(F127,OBJECTIFS!$C$16:$D$18,2,FALSE),IF(D127=OBJECTIFS!$C$47,VLOOKUP(F127,OBJECTIFS!$C$23:$D$25,2,FALSE),IF(D127=OBJECTIFS!$C$48,VLOOKUP(F127,OBJECTIFS!$C$30:$D$32,2,FALSE),IF(D127=OBJECTIFS!$C$49,VLOOKUP(F127,OBJECTIFS!$C$37:$D$39,2,FALSE))))))))</f>
        <v/>
      </c>
      <c r="J127" s="25"/>
      <c r="K127" s="90" t="str">
        <f>IF(OR($A127="",$D127="",J127=""),"",SUMIFS(OBJECTIFS!E$9:E$39,OBJECTIFS!$A$9:$A$39,$D127,OBJECTIFS!$C$9:$C$39,$F127))</f>
        <v/>
      </c>
      <c r="L127" s="90" t="str">
        <f>IF(OR(AND($D127=OBJECTIFS!$B$6,OBJECTIFS!E$8="dmt"),AND($D127=OBJECTIFS!$B$13,OBJECTIFS!$E$15="dmt"),AND($D127=OBJECTIFS!$B$20,OBJECTIFS!$E$22="dmt"),AND($D127=OBJECTIFS!$B$27,OBJECTIFS!$E$29="dmt"),AND($D127=OBJECTIFS!$B$34,OBJECTIFS!$E$36="dmt"),AND($D127=OBJECTIFS!$B$6,OBJECTIFS!$E$8="taux de chute"),AND($D127=OBJECTIFS!$B$13,OBJECTIFS!$E$15="taux de chute"),AND($D127=OBJECTIFS!$B$20,OBJECTIFS!$E$22="taux de chute"),AND($D127=OBJECTIFS!$B$27,OBJECTIFS!$E$29="taux de chute"),AND($D127=OBJECTIFS!$B$34,OBJECTIFS!$E$36="taux de chute")),IFERROR(K127/J127,""),IFERROR(J127/K127,""))</f>
        <v/>
      </c>
      <c r="M127" s="91">
        <f>IFERROR(IF(OR(J127="",K127="",L127=""),0,IF(L127&lt;OBJECTIFS!$E$56,0,IF(L127&lt;OBJECTIFS!$G$56,M$8*OBJECTIFS!$F$60,IF(L127&lt;OBJECTIFS!$I$56,M$8*OBJECTIFS!$H$60,M$8)))),0)</f>
        <v>0</v>
      </c>
      <c r="N127" s="161"/>
      <c r="O127" s="92" t="str">
        <f>IF(OR($A127="",$D127="",N127=""),"",SUMIFS(OBJECTIFS!F$9:F$39,OBJECTIFS!$A$9:$A$39,$D127,OBJECTIFS!$C$9:$C$39,$F127))</f>
        <v/>
      </c>
      <c r="P127" s="90" t="str">
        <f>IF(OR(AND($D127=OBJECTIFS!$B$6,OBJECTIFS!$F$8="dmt"),AND($D127=OBJECTIFS!$B$13,OBJECTIFS!$F$15="dmt"),AND($D127=OBJECTIFS!$B$20,OBJECTIFS!$F$22="dmt"),AND($D127=OBJECTIFS!$B$27,OBJECTIFS!$F$29="dmt"),AND($D127=OBJECTIFS!$B$34,OBJECTIFS!$F$36="dmt"),AND($D127=OBJECTIFS!$B$6,OBJECTIFS!$F$8="taux de chute"),AND($D127=OBJECTIFS!$B$13,OBJECTIFS!$F$15="taux de chute"),AND($D127=OBJECTIFS!$B$20,OBJECTIFS!$F$22="taux de chute"),AND($D127=OBJECTIFS!$B$27,OBJECTIFS!$F$29="taux de chute"),AND($D127=OBJECTIFS!$B$34,OBJECTIFS!$F$36="taux de chute")),IFERROR(O127/N127,""),IFERROR(N127/O127,""))</f>
        <v/>
      </c>
      <c r="Q127" s="91">
        <f>IFERROR(IF(OR(N127="",O127="",P127=""),0,IF(P127&lt;OBJECTIFS!$E$56,0,IF(P127&lt;OBJECTIFS!$G$56,Q$8*OBJECTIFS!$F$60,IF(P127&lt;OBJECTIFS!$I$56,Q$8*OBJECTIFS!$H$60,Q$8)))),0)</f>
        <v>0</v>
      </c>
      <c r="R127" s="164"/>
      <c r="S127" s="93" t="str">
        <f>IF(OR($A127="",$D127="",R127=""),"",SUMIFS(OBJECTIFS!G$9:G$39,OBJECTIFS!$A$9:$A$39,$D127,OBJECTIFS!$C$9:$C$39,$F127))</f>
        <v/>
      </c>
      <c r="T127" s="90" t="str">
        <f>IF(OR(AND($D127=OBJECTIFS!$B$6,OBJECTIFS!G$8="dmt"),AND($D127=OBJECTIFS!$B$13,OBJECTIFS!$G$15="dmt"),AND($D127=OBJECTIFS!$B$20,OBJECTIFS!$G$22="dmt"),AND($D127=OBJECTIFS!$B$27,OBJECTIFS!$G$29="dmt"),AND($D127=OBJECTIFS!$B$34,OBJECTIFS!$G$36="dmt"),AND($D127=OBJECTIFS!$B$6,OBJECTIFS!$G$8="taux de chute"),AND($D127=OBJECTIFS!$B$13,OBJECTIFS!$G$15="taux de chute"),AND($D127=OBJECTIFS!$B$20,OBJECTIFS!$G$22="taux de chute"),AND($D127=OBJECTIFS!$B$27,OBJECTIFS!$G$29="taux de chute"),AND($D127=OBJECTIFS!$B$34,OBJECTIFS!$G$36="taux de chute")),IFERROR(S127/R127,""),IFERROR(R127/S127,""))</f>
        <v/>
      </c>
      <c r="U127" s="94">
        <f>IFERROR(IF(OR(R127="",S127="",T127=""),0,IF(T127&lt;OBJECTIFS!$E$56,0,IF(T127&lt;OBJECTIFS!$G$56,U$8*OBJECTIFS!$F$60,IF(T127&lt;OBJECTIFS!$I$56,U$8*OBJECTIFS!$H$60,U$8)))),0)</f>
        <v>0</v>
      </c>
      <c r="V127" s="25"/>
      <c r="W127" s="90" t="str">
        <f>IF(OR($A127="",$D127="",V127=""),"",SUMIFS(OBJECTIFS!H$9:H$39,OBJECTIFS!$A$9:$A$39,$D127,OBJECTIFS!$C$9:$C$39,$F127))</f>
        <v/>
      </c>
      <c r="X127" s="90" t="str">
        <f>IF(OR(AND($D127=OBJECTIFS!$B$6,OBJECTIFS!H$8="dmt"),AND($D127=OBJECTIFS!$B$13,OBJECTIFS!$H$15="dmt"),AND($D127=OBJECTIFS!$B$20,OBJECTIFS!$H$22="dmt"),AND($D127=OBJECTIFS!$B$27,OBJECTIFS!$H$29="dmt"),AND($D127=OBJECTIFS!$B$34,OBJECTIFS!$H$36="dmt"),AND($D127=OBJECTIFS!$B$6,OBJECTIFS!$H$8="taux de chute"),AND($D127=OBJECTIFS!$B$13,OBJECTIFS!$H$15="taux de chute"),AND($D127=OBJECTIFS!$B$20,OBJECTIFS!$H$22="taux de chute"),AND($D127=OBJECTIFS!$B$27,OBJECTIFS!$H$29="taux de chute"),AND($D127=OBJECTIFS!$B$34,OBJECTIFS!$H$36="taux de chute")),IFERROR(W127/V127,""),IFERROR(V127/W127,""))</f>
        <v/>
      </c>
      <c r="Y127" s="91">
        <f>IFERROR(IF(OR(V127="",W127="",X127=""),0,IF(X127&lt;OBJECTIFS!$E$56,0,IF(X127&lt;OBJECTIFS!$G$56,Y$8*OBJECTIFS!$F$60,IF(X127&lt;OBJECTIFS!$I$56,Y$8*OBJECTIFS!$H$60,Y$8)))),0)</f>
        <v>0</v>
      </c>
      <c r="Z127" s="167"/>
      <c r="AA127" s="90" t="str">
        <f>IF(OR($A127="",$D127="",Z127=""),"",SUMIFS(OBJECTIFS!I$9:I$39,OBJECTIFS!$A$9:$A$39,$D127,OBJECTIFS!$C$9:$C$39,$F127))</f>
        <v/>
      </c>
      <c r="AB127" s="90" t="str">
        <f>IF(OR(AND($D127=OBJECTIFS!$B$6,OBJECTIFS!I$8="dmt"),AND($D127=OBJECTIFS!$B$13,OBJECTIFS!$I$15="dmt"),AND($D127=OBJECTIFS!$B$20,OBJECTIFS!$I$22="dmt"),AND($D127=OBJECTIFS!$B$27,OBJECTIFS!$I$29="dmt"),AND($D127=OBJECTIFS!$B$34,OBJECTIFS!$I$36="dmt"),AND($D127=OBJECTIFS!$B$6,OBJECTIFS!$I$8="taux de chute"),AND($D127=OBJECTIFS!$B$13,OBJECTIFS!$I$15="taux de chute"),AND($D127=OBJECTIFS!$B$20,OBJECTIFS!$I$22="taux de chute"),AND($D127=OBJECTIFS!$B$27,OBJECTIFS!$I$29="taux de chute"),AND($D127=OBJECTIFS!$B$34,OBJECTIFS!$I$36="taux de chute")),IFERROR(AA127/Z127,""),IFERROR(Z127/AA127,""))</f>
        <v/>
      </c>
      <c r="AC127" s="95">
        <f>IFERROR(IF(OR(Z127="",AA127="",AB127=""),0,IF(AB127&lt;OBJECTIFS!$E$56,0,IF(AB127&lt;OBJECTIFS!$G$56,AC$8*OBJECTIFS!$F$60,IF(AB127&lt;OBJECTIFS!$I$56,AC$8*OBJECTIFS!$H$60,AC$8)))),0)</f>
        <v>0</v>
      </c>
      <c r="AD127" s="186"/>
      <c r="AE127" s="187"/>
      <c r="AF127" s="96">
        <f t="shared" ca="1" si="2"/>
        <v>0</v>
      </c>
      <c r="AG127" s="63"/>
      <c r="AH127" s="186"/>
      <c r="AI127" s="24"/>
      <c r="AJ127" s="24"/>
      <c r="AK127" s="24"/>
      <c r="AL127" s="24"/>
      <c r="AM127" s="79">
        <f t="shared" si="3"/>
        <v>0</v>
      </c>
      <c r="AN127" s="79">
        <v>22</v>
      </c>
      <c r="AO127" s="80">
        <f t="shared" si="4"/>
        <v>0</v>
      </c>
      <c r="AP127" s="81" t="str">
        <f t="shared" ca="1" si="5"/>
        <v/>
      </c>
      <c r="AQ127" s="82"/>
      <c r="AR127" s="97">
        <f>IFERROR(VLOOKUP(B127,OBJECTIFS!$C$76:$E$137,2,FALSE),0)</f>
        <v>0</v>
      </c>
      <c r="AS127" s="98">
        <f>IFERROR(VLOOKUP(B127,OBJECTIFS!$H$76:$J$137,2,FALSE),0)</f>
        <v>0</v>
      </c>
      <c r="AT127" s="98">
        <f>IFERROR(VLOOKUP(B127,OBJECTIFS!$C$142:$E$203,2,FALSE),0)</f>
        <v>0</v>
      </c>
      <c r="AU127" s="98">
        <f>IFERROR(VLOOKUP(B127,OBJECTIFS!$H$142:$J$203,2,FALSE),0)</f>
        <v>0</v>
      </c>
      <c r="AV127" s="98">
        <f>IFERROR(VLOOKUP(B127,OBJECTIFS!$F$208:$H$269,3,FALSE),0)</f>
        <v>0</v>
      </c>
      <c r="AW127" s="81">
        <f t="shared" si="6"/>
        <v>0</v>
      </c>
      <c r="AX127" s="82"/>
      <c r="AY127" s="99" t="str">
        <f t="shared" ca="1" si="7"/>
        <v/>
      </c>
      <c r="AZ127" s="63"/>
      <c r="BA127" s="100">
        <f t="shared" ca="1" si="8"/>
        <v>0</v>
      </c>
      <c r="BB127" s="64" t="str">
        <f t="shared" ca="1" si="9"/>
        <v/>
      </c>
      <c r="BC127" s="101" t="str">
        <f t="shared" ca="1" si="10"/>
        <v/>
      </c>
    </row>
    <row r="128" spans="1:55" x14ac:dyDescent="0.2">
      <c r="A128" s="21"/>
      <c r="B128" s="22"/>
      <c r="C128" s="22"/>
      <c r="D128" s="23"/>
      <c r="E128" s="24"/>
      <c r="F128" s="34"/>
      <c r="H128" s="89" t="str">
        <f>IF(OR(D128="",F128="",A128=""),"",IF(E128="oui",0,IF(D128=OBJECTIFS!$C$45,VLOOKUP(F128,OBJECTIFS!$C$9:$D$11,2,FALSE),IF(D128=OBJECTIFS!$C$46,VLOOKUP(F128,OBJECTIFS!$C$16:$D$18,2,FALSE),IF(D128=OBJECTIFS!$C$47,VLOOKUP(F128,OBJECTIFS!$C$23:$D$25,2,FALSE),IF(D128=OBJECTIFS!$C$48,VLOOKUP(F128,OBJECTIFS!$C$30:$D$32,2,FALSE),IF(D128=OBJECTIFS!$C$49,VLOOKUP(F128,OBJECTIFS!$C$37:$D$39,2,FALSE))))))))</f>
        <v/>
      </c>
      <c r="J128" s="25"/>
      <c r="K128" s="90" t="str">
        <f>IF(OR($A128="",$D128="",J128=""),"",SUMIFS(OBJECTIFS!E$9:E$39,OBJECTIFS!$A$9:$A$39,$D128,OBJECTIFS!$C$9:$C$39,$F128))</f>
        <v/>
      </c>
      <c r="L128" s="90" t="str">
        <f>IF(OR(AND($D128=OBJECTIFS!$B$6,OBJECTIFS!E$8="dmt"),AND($D128=OBJECTIFS!$B$13,OBJECTIFS!$E$15="dmt"),AND($D128=OBJECTIFS!$B$20,OBJECTIFS!$E$22="dmt"),AND($D128=OBJECTIFS!$B$27,OBJECTIFS!$E$29="dmt"),AND($D128=OBJECTIFS!$B$34,OBJECTIFS!$E$36="dmt"),AND($D128=OBJECTIFS!$B$6,OBJECTIFS!$E$8="taux de chute"),AND($D128=OBJECTIFS!$B$13,OBJECTIFS!$E$15="taux de chute"),AND($D128=OBJECTIFS!$B$20,OBJECTIFS!$E$22="taux de chute"),AND($D128=OBJECTIFS!$B$27,OBJECTIFS!$E$29="taux de chute"),AND($D128=OBJECTIFS!$B$34,OBJECTIFS!$E$36="taux de chute")),IFERROR(K128/J128,""),IFERROR(J128/K128,""))</f>
        <v/>
      </c>
      <c r="M128" s="91">
        <f>IFERROR(IF(OR(J128="",K128="",L128=""),0,IF(L128&lt;OBJECTIFS!$E$56,0,IF(L128&lt;OBJECTIFS!$G$56,M$8*OBJECTIFS!$F$60,IF(L128&lt;OBJECTIFS!$I$56,M$8*OBJECTIFS!$H$60,M$8)))),0)</f>
        <v>0</v>
      </c>
      <c r="N128" s="161"/>
      <c r="O128" s="92" t="str">
        <f>IF(OR($A128="",$D128="",N128=""),"",SUMIFS(OBJECTIFS!F$9:F$39,OBJECTIFS!$A$9:$A$39,$D128,OBJECTIFS!$C$9:$C$39,$F128))</f>
        <v/>
      </c>
      <c r="P128" s="90" t="str">
        <f>IF(OR(AND($D128=OBJECTIFS!$B$6,OBJECTIFS!$F$8="dmt"),AND($D128=OBJECTIFS!$B$13,OBJECTIFS!$F$15="dmt"),AND($D128=OBJECTIFS!$B$20,OBJECTIFS!$F$22="dmt"),AND($D128=OBJECTIFS!$B$27,OBJECTIFS!$F$29="dmt"),AND($D128=OBJECTIFS!$B$34,OBJECTIFS!$F$36="dmt"),AND($D128=OBJECTIFS!$B$6,OBJECTIFS!$F$8="taux de chute"),AND($D128=OBJECTIFS!$B$13,OBJECTIFS!$F$15="taux de chute"),AND($D128=OBJECTIFS!$B$20,OBJECTIFS!$F$22="taux de chute"),AND($D128=OBJECTIFS!$B$27,OBJECTIFS!$F$29="taux de chute"),AND($D128=OBJECTIFS!$B$34,OBJECTIFS!$F$36="taux de chute")),IFERROR(O128/N128,""),IFERROR(N128/O128,""))</f>
        <v/>
      </c>
      <c r="Q128" s="91">
        <f>IFERROR(IF(OR(N128="",O128="",P128=""),0,IF(P128&lt;OBJECTIFS!$E$56,0,IF(P128&lt;OBJECTIFS!$G$56,Q$8*OBJECTIFS!$F$60,IF(P128&lt;OBJECTIFS!$I$56,Q$8*OBJECTIFS!$H$60,Q$8)))),0)</f>
        <v>0</v>
      </c>
      <c r="R128" s="164"/>
      <c r="S128" s="93" t="str">
        <f>IF(OR($A128="",$D128="",R128=""),"",SUMIFS(OBJECTIFS!G$9:G$39,OBJECTIFS!$A$9:$A$39,$D128,OBJECTIFS!$C$9:$C$39,$F128))</f>
        <v/>
      </c>
      <c r="T128" s="90" t="str">
        <f>IF(OR(AND($D128=OBJECTIFS!$B$6,OBJECTIFS!G$8="dmt"),AND($D128=OBJECTIFS!$B$13,OBJECTIFS!$G$15="dmt"),AND($D128=OBJECTIFS!$B$20,OBJECTIFS!$G$22="dmt"),AND($D128=OBJECTIFS!$B$27,OBJECTIFS!$G$29="dmt"),AND($D128=OBJECTIFS!$B$34,OBJECTIFS!$G$36="dmt"),AND($D128=OBJECTIFS!$B$6,OBJECTIFS!$G$8="taux de chute"),AND($D128=OBJECTIFS!$B$13,OBJECTIFS!$G$15="taux de chute"),AND($D128=OBJECTIFS!$B$20,OBJECTIFS!$G$22="taux de chute"),AND($D128=OBJECTIFS!$B$27,OBJECTIFS!$G$29="taux de chute"),AND($D128=OBJECTIFS!$B$34,OBJECTIFS!$G$36="taux de chute")),IFERROR(S128/R128,""),IFERROR(R128/S128,""))</f>
        <v/>
      </c>
      <c r="U128" s="94">
        <f>IFERROR(IF(OR(R128="",S128="",T128=""),0,IF(T128&lt;OBJECTIFS!$E$56,0,IF(T128&lt;OBJECTIFS!$G$56,U$8*OBJECTIFS!$F$60,IF(T128&lt;OBJECTIFS!$I$56,U$8*OBJECTIFS!$H$60,U$8)))),0)</f>
        <v>0</v>
      </c>
      <c r="V128" s="25"/>
      <c r="W128" s="90" t="str">
        <f>IF(OR($A128="",$D128="",V128=""),"",SUMIFS(OBJECTIFS!H$9:H$39,OBJECTIFS!$A$9:$A$39,$D128,OBJECTIFS!$C$9:$C$39,$F128))</f>
        <v/>
      </c>
      <c r="X128" s="90" t="str">
        <f>IF(OR(AND($D128=OBJECTIFS!$B$6,OBJECTIFS!H$8="dmt"),AND($D128=OBJECTIFS!$B$13,OBJECTIFS!$H$15="dmt"),AND($D128=OBJECTIFS!$B$20,OBJECTIFS!$H$22="dmt"),AND($D128=OBJECTIFS!$B$27,OBJECTIFS!$H$29="dmt"),AND($D128=OBJECTIFS!$B$34,OBJECTIFS!$H$36="dmt"),AND($D128=OBJECTIFS!$B$6,OBJECTIFS!$H$8="taux de chute"),AND($D128=OBJECTIFS!$B$13,OBJECTIFS!$H$15="taux de chute"),AND($D128=OBJECTIFS!$B$20,OBJECTIFS!$H$22="taux de chute"),AND($D128=OBJECTIFS!$B$27,OBJECTIFS!$H$29="taux de chute"),AND($D128=OBJECTIFS!$B$34,OBJECTIFS!$H$36="taux de chute")),IFERROR(W128/V128,""),IFERROR(V128/W128,""))</f>
        <v/>
      </c>
      <c r="Y128" s="91">
        <f>IFERROR(IF(OR(V128="",W128="",X128=""),0,IF(X128&lt;OBJECTIFS!$E$56,0,IF(X128&lt;OBJECTIFS!$G$56,Y$8*OBJECTIFS!$F$60,IF(X128&lt;OBJECTIFS!$I$56,Y$8*OBJECTIFS!$H$60,Y$8)))),0)</f>
        <v>0</v>
      </c>
      <c r="Z128" s="167"/>
      <c r="AA128" s="90" t="str">
        <f>IF(OR($A128="",$D128="",Z128=""),"",SUMIFS(OBJECTIFS!I$9:I$39,OBJECTIFS!$A$9:$A$39,$D128,OBJECTIFS!$C$9:$C$39,$F128))</f>
        <v/>
      </c>
      <c r="AB128" s="90" t="str">
        <f>IF(OR(AND($D128=OBJECTIFS!$B$6,OBJECTIFS!I$8="dmt"),AND($D128=OBJECTIFS!$B$13,OBJECTIFS!$I$15="dmt"),AND($D128=OBJECTIFS!$B$20,OBJECTIFS!$I$22="dmt"),AND($D128=OBJECTIFS!$B$27,OBJECTIFS!$I$29="dmt"),AND($D128=OBJECTIFS!$B$34,OBJECTIFS!$I$36="dmt"),AND($D128=OBJECTIFS!$B$6,OBJECTIFS!$I$8="taux de chute"),AND($D128=OBJECTIFS!$B$13,OBJECTIFS!$I$15="taux de chute"),AND($D128=OBJECTIFS!$B$20,OBJECTIFS!$I$22="taux de chute"),AND($D128=OBJECTIFS!$B$27,OBJECTIFS!$I$29="taux de chute"),AND($D128=OBJECTIFS!$B$34,OBJECTIFS!$I$36="taux de chute")),IFERROR(AA128/Z128,""),IFERROR(Z128/AA128,""))</f>
        <v/>
      </c>
      <c r="AC128" s="95">
        <f>IFERROR(IF(OR(Z128="",AA128="",AB128=""),0,IF(AB128&lt;OBJECTIFS!$E$56,0,IF(AB128&lt;OBJECTIFS!$G$56,AC$8*OBJECTIFS!$F$60,IF(AB128&lt;OBJECTIFS!$I$56,AC$8*OBJECTIFS!$H$60,AC$8)))),0)</f>
        <v>0</v>
      </c>
      <c r="AD128" s="186"/>
      <c r="AE128" s="187"/>
      <c r="AF128" s="96">
        <f t="shared" ca="1" si="2"/>
        <v>0</v>
      </c>
      <c r="AG128" s="63"/>
      <c r="AH128" s="186"/>
      <c r="AI128" s="24"/>
      <c r="AJ128" s="24"/>
      <c r="AK128" s="24"/>
      <c r="AL128" s="24"/>
      <c r="AM128" s="79">
        <f t="shared" si="3"/>
        <v>0</v>
      </c>
      <c r="AN128" s="79">
        <v>22</v>
      </c>
      <c r="AO128" s="80">
        <f t="shared" si="4"/>
        <v>0</v>
      </c>
      <c r="AP128" s="81" t="str">
        <f t="shared" ca="1" si="5"/>
        <v/>
      </c>
      <c r="AQ128" s="82"/>
      <c r="AR128" s="97">
        <f>IFERROR(VLOOKUP(B128,OBJECTIFS!$C$76:$E$137,2,FALSE),0)</f>
        <v>0</v>
      </c>
      <c r="AS128" s="98">
        <f>IFERROR(VLOOKUP(B128,OBJECTIFS!$H$76:$J$137,2,FALSE),0)</f>
        <v>0</v>
      </c>
      <c r="AT128" s="98">
        <f>IFERROR(VLOOKUP(B128,OBJECTIFS!$C$142:$E$203,2,FALSE),0)</f>
        <v>0</v>
      </c>
      <c r="AU128" s="98">
        <f>IFERROR(VLOOKUP(B128,OBJECTIFS!$H$142:$J$203,2,FALSE),0)</f>
        <v>0</v>
      </c>
      <c r="AV128" s="98">
        <f>IFERROR(VLOOKUP(B128,OBJECTIFS!$F$208:$H$269,3,FALSE),0)</f>
        <v>0</v>
      </c>
      <c r="AW128" s="81">
        <f t="shared" si="6"/>
        <v>0</v>
      </c>
      <c r="AX128" s="82"/>
      <c r="AY128" s="99" t="str">
        <f t="shared" ca="1" si="7"/>
        <v/>
      </c>
      <c r="AZ128" s="63"/>
      <c r="BA128" s="100">
        <f t="shared" ca="1" si="8"/>
        <v>0</v>
      </c>
      <c r="BB128" s="64" t="str">
        <f t="shared" ca="1" si="9"/>
        <v/>
      </c>
      <c r="BC128" s="101" t="str">
        <f t="shared" ca="1" si="10"/>
        <v/>
      </c>
    </row>
    <row r="129" spans="1:55" x14ac:dyDescent="0.2">
      <c r="A129" s="21"/>
      <c r="B129" s="22"/>
      <c r="C129" s="22"/>
      <c r="D129" s="23"/>
      <c r="E129" s="24"/>
      <c r="F129" s="34"/>
      <c r="H129" s="89" t="str">
        <f>IF(OR(D129="",F129="",A129=""),"",IF(E129="oui",0,IF(D129=OBJECTIFS!$C$45,VLOOKUP(F129,OBJECTIFS!$C$9:$D$11,2,FALSE),IF(D129=OBJECTIFS!$C$46,VLOOKUP(F129,OBJECTIFS!$C$16:$D$18,2,FALSE),IF(D129=OBJECTIFS!$C$47,VLOOKUP(F129,OBJECTIFS!$C$23:$D$25,2,FALSE),IF(D129=OBJECTIFS!$C$48,VLOOKUP(F129,OBJECTIFS!$C$30:$D$32,2,FALSE),IF(D129=OBJECTIFS!$C$49,VLOOKUP(F129,OBJECTIFS!$C$37:$D$39,2,FALSE))))))))</f>
        <v/>
      </c>
      <c r="J129" s="25"/>
      <c r="K129" s="90" t="str">
        <f>IF(OR($A129="",$D129="",J129=""),"",SUMIFS(OBJECTIFS!E$9:E$39,OBJECTIFS!$A$9:$A$39,$D129,OBJECTIFS!$C$9:$C$39,$F129))</f>
        <v/>
      </c>
      <c r="L129" s="90" t="str">
        <f>IF(OR(AND($D129=OBJECTIFS!$B$6,OBJECTIFS!E$8="dmt"),AND($D129=OBJECTIFS!$B$13,OBJECTIFS!$E$15="dmt"),AND($D129=OBJECTIFS!$B$20,OBJECTIFS!$E$22="dmt"),AND($D129=OBJECTIFS!$B$27,OBJECTIFS!$E$29="dmt"),AND($D129=OBJECTIFS!$B$34,OBJECTIFS!$E$36="dmt"),AND($D129=OBJECTIFS!$B$6,OBJECTIFS!$E$8="taux de chute"),AND($D129=OBJECTIFS!$B$13,OBJECTIFS!$E$15="taux de chute"),AND($D129=OBJECTIFS!$B$20,OBJECTIFS!$E$22="taux de chute"),AND($D129=OBJECTIFS!$B$27,OBJECTIFS!$E$29="taux de chute"),AND($D129=OBJECTIFS!$B$34,OBJECTIFS!$E$36="taux de chute")),IFERROR(K129/J129,""),IFERROR(J129/K129,""))</f>
        <v/>
      </c>
      <c r="M129" s="91">
        <f>IFERROR(IF(OR(J129="",K129="",L129=""),0,IF(L129&lt;OBJECTIFS!$E$56,0,IF(L129&lt;OBJECTIFS!$G$56,M$8*OBJECTIFS!$F$60,IF(L129&lt;OBJECTIFS!$I$56,M$8*OBJECTIFS!$H$60,M$8)))),0)</f>
        <v>0</v>
      </c>
      <c r="N129" s="161"/>
      <c r="O129" s="92" t="str">
        <f>IF(OR($A129="",$D129="",N129=""),"",SUMIFS(OBJECTIFS!F$9:F$39,OBJECTIFS!$A$9:$A$39,$D129,OBJECTIFS!$C$9:$C$39,$F129))</f>
        <v/>
      </c>
      <c r="P129" s="90" t="str">
        <f>IF(OR(AND($D129=OBJECTIFS!$B$6,OBJECTIFS!$F$8="dmt"),AND($D129=OBJECTIFS!$B$13,OBJECTIFS!$F$15="dmt"),AND($D129=OBJECTIFS!$B$20,OBJECTIFS!$F$22="dmt"),AND($D129=OBJECTIFS!$B$27,OBJECTIFS!$F$29="dmt"),AND($D129=OBJECTIFS!$B$34,OBJECTIFS!$F$36="dmt"),AND($D129=OBJECTIFS!$B$6,OBJECTIFS!$F$8="taux de chute"),AND($D129=OBJECTIFS!$B$13,OBJECTIFS!$F$15="taux de chute"),AND($D129=OBJECTIFS!$B$20,OBJECTIFS!$F$22="taux de chute"),AND($D129=OBJECTIFS!$B$27,OBJECTIFS!$F$29="taux de chute"),AND($D129=OBJECTIFS!$B$34,OBJECTIFS!$F$36="taux de chute")),IFERROR(O129/N129,""),IFERROR(N129/O129,""))</f>
        <v/>
      </c>
      <c r="Q129" s="91">
        <f>IFERROR(IF(OR(N129="",O129="",P129=""),0,IF(P129&lt;OBJECTIFS!$E$56,0,IF(P129&lt;OBJECTIFS!$G$56,Q$8*OBJECTIFS!$F$60,IF(P129&lt;OBJECTIFS!$I$56,Q$8*OBJECTIFS!$H$60,Q$8)))),0)</f>
        <v>0</v>
      </c>
      <c r="R129" s="164"/>
      <c r="S129" s="93" t="str">
        <f>IF(OR($A129="",$D129="",R129=""),"",SUMIFS(OBJECTIFS!G$9:G$39,OBJECTIFS!$A$9:$A$39,$D129,OBJECTIFS!$C$9:$C$39,$F129))</f>
        <v/>
      </c>
      <c r="T129" s="90" t="str">
        <f>IF(OR(AND($D129=OBJECTIFS!$B$6,OBJECTIFS!G$8="dmt"),AND($D129=OBJECTIFS!$B$13,OBJECTIFS!$G$15="dmt"),AND($D129=OBJECTIFS!$B$20,OBJECTIFS!$G$22="dmt"),AND($D129=OBJECTIFS!$B$27,OBJECTIFS!$G$29="dmt"),AND($D129=OBJECTIFS!$B$34,OBJECTIFS!$G$36="dmt"),AND($D129=OBJECTIFS!$B$6,OBJECTIFS!$G$8="taux de chute"),AND($D129=OBJECTIFS!$B$13,OBJECTIFS!$G$15="taux de chute"),AND($D129=OBJECTIFS!$B$20,OBJECTIFS!$G$22="taux de chute"),AND($D129=OBJECTIFS!$B$27,OBJECTIFS!$G$29="taux de chute"),AND($D129=OBJECTIFS!$B$34,OBJECTIFS!$G$36="taux de chute")),IFERROR(S129/R129,""),IFERROR(R129/S129,""))</f>
        <v/>
      </c>
      <c r="U129" s="94">
        <f>IFERROR(IF(OR(R129="",S129="",T129=""),0,IF(T129&lt;OBJECTIFS!$E$56,0,IF(T129&lt;OBJECTIFS!$G$56,U$8*OBJECTIFS!$F$60,IF(T129&lt;OBJECTIFS!$I$56,U$8*OBJECTIFS!$H$60,U$8)))),0)</f>
        <v>0</v>
      </c>
      <c r="V129" s="25"/>
      <c r="W129" s="90" t="str">
        <f>IF(OR($A129="",$D129="",V129=""),"",SUMIFS(OBJECTIFS!H$9:H$39,OBJECTIFS!$A$9:$A$39,$D129,OBJECTIFS!$C$9:$C$39,$F129))</f>
        <v/>
      </c>
      <c r="X129" s="90" t="str">
        <f>IF(OR(AND($D129=OBJECTIFS!$B$6,OBJECTIFS!H$8="dmt"),AND($D129=OBJECTIFS!$B$13,OBJECTIFS!$H$15="dmt"),AND($D129=OBJECTIFS!$B$20,OBJECTIFS!$H$22="dmt"),AND($D129=OBJECTIFS!$B$27,OBJECTIFS!$H$29="dmt"),AND($D129=OBJECTIFS!$B$34,OBJECTIFS!$H$36="dmt"),AND($D129=OBJECTIFS!$B$6,OBJECTIFS!$H$8="taux de chute"),AND($D129=OBJECTIFS!$B$13,OBJECTIFS!$H$15="taux de chute"),AND($D129=OBJECTIFS!$B$20,OBJECTIFS!$H$22="taux de chute"),AND($D129=OBJECTIFS!$B$27,OBJECTIFS!$H$29="taux de chute"),AND($D129=OBJECTIFS!$B$34,OBJECTIFS!$H$36="taux de chute")),IFERROR(W129/V129,""),IFERROR(V129/W129,""))</f>
        <v/>
      </c>
      <c r="Y129" s="91">
        <f>IFERROR(IF(OR(V129="",W129="",X129=""),0,IF(X129&lt;OBJECTIFS!$E$56,0,IF(X129&lt;OBJECTIFS!$G$56,Y$8*OBJECTIFS!$F$60,IF(X129&lt;OBJECTIFS!$I$56,Y$8*OBJECTIFS!$H$60,Y$8)))),0)</f>
        <v>0</v>
      </c>
      <c r="Z129" s="167"/>
      <c r="AA129" s="90" t="str">
        <f>IF(OR($A129="",$D129="",Z129=""),"",SUMIFS(OBJECTIFS!I$9:I$39,OBJECTIFS!$A$9:$A$39,$D129,OBJECTIFS!$C$9:$C$39,$F129))</f>
        <v/>
      </c>
      <c r="AB129" s="90" t="str">
        <f>IF(OR(AND($D129=OBJECTIFS!$B$6,OBJECTIFS!I$8="dmt"),AND($D129=OBJECTIFS!$B$13,OBJECTIFS!$I$15="dmt"),AND($D129=OBJECTIFS!$B$20,OBJECTIFS!$I$22="dmt"),AND($D129=OBJECTIFS!$B$27,OBJECTIFS!$I$29="dmt"),AND($D129=OBJECTIFS!$B$34,OBJECTIFS!$I$36="dmt"),AND($D129=OBJECTIFS!$B$6,OBJECTIFS!$I$8="taux de chute"),AND($D129=OBJECTIFS!$B$13,OBJECTIFS!$I$15="taux de chute"),AND($D129=OBJECTIFS!$B$20,OBJECTIFS!$I$22="taux de chute"),AND($D129=OBJECTIFS!$B$27,OBJECTIFS!$I$29="taux de chute"),AND($D129=OBJECTIFS!$B$34,OBJECTIFS!$I$36="taux de chute")),IFERROR(AA129/Z129,""),IFERROR(Z129/AA129,""))</f>
        <v/>
      </c>
      <c r="AC129" s="95">
        <f>IFERROR(IF(OR(Z129="",AA129="",AB129=""),0,IF(AB129&lt;OBJECTIFS!$E$56,0,IF(AB129&lt;OBJECTIFS!$G$56,AC$8*OBJECTIFS!$F$60,IF(AB129&lt;OBJECTIFS!$I$56,AC$8*OBJECTIFS!$H$60,AC$8)))),0)</f>
        <v>0</v>
      </c>
      <c r="AD129" s="186"/>
      <c r="AE129" s="187"/>
      <c r="AF129" s="96">
        <f t="shared" ca="1" si="2"/>
        <v>0</v>
      </c>
      <c r="AG129" s="63"/>
      <c r="AH129" s="186"/>
      <c r="AI129" s="24"/>
      <c r="AJ129" s="24"/>
      <c r="AK129" s="24"/>
      <c r="AL129" s="24"/>
      <c r="AM129" s="79">
        <f t="shared" si="3"/>
        <v>0</v>
      </c>
      <c r="AN129" s="79">
        <v>22</v>
      </c>
      <c r="AO129" s="80">
        <f t="shared" si="4"/>
        <v>0</v>
      </c>
      <c r="AP129" s="81" t="str">
        <f t="shared" ca="1" si="5"/>
        <v/>
      </c>
      <c r="AQ129" s="82"/>
      <c r="AR129" s="97">
        <f>IFERROR(VLOOKUP(B129,OBJECTIFS!$C$76:$E$137,2,FALSE),0)</f>
        <v>0</v>
      </c>
      <c r="AS129" s="98">
        <f>IFERROR(VLOOKUP(B129,OBJECTIFS!$H$76:$J$137,2,FALSE),0)</f>
        <v>0</v>
      </c>
      <c r="AT129" s="98">
        <f>IFERROR(VLOOKUP(B129,OBJECTIFS!$C$142:$E$203,2,FALSE),0)</f>
        <v>0</v>
      </c>
      <c r="AU129" s="98">
        <f>IFERROR(VLOOKUP(B129,OBJECTIFS!$H$142:$J$203,2,FALSE),0)</f>
        <v>0</v>
      </c>
      <c r="AV129" s="98">
        <f>IFERROR(VLOOKUP(B129,OBJECTIFS!$F$208:$H$269,3,FALSE),0)</f>
        <v>0</v>
      </c>
      <c r="AW129" s="81">
        <f t="shared" si="6"/>
        <v>0</v>
      </c>
      <c r="AX129" s="82"/>
      <c r="AY129" s="99" t="str">
        <f t="shared" ca="1" si="7"/>
        <v/>
      </c>
      <c r="AZ129" s="63"/>
      <c r="BA129" s="100">
        <f t="shared" ca="1" si="8"/>
        <v>0</v>
      </c>
      <c r="BB129" s="64" t="str">
        <f t="shared" ca="1" si="9"/>
        <v/>
      </c>
      <c r="BC129" s="101" t="str">
        <f t="shared" ca="1" si="10"/>
        <v/>
      </c>
    </row>
    <row r="130" spans="1:55" x14ac:dyDescent="0.2">
      <c r="A130" s="21"/>
      <c r="B130" s="22"/>
      <c r="C130" s="22"/>
      <c r="D130" s="23"/>
      <c r="E130" s="24"/>
      <c r="F130" s="34"/>
      <c r="H130" s="89" t="str">
        <f>IF(OR(D130="",F130="",A130=""),"",IF(E130="oui",0,IF(D130=OBJECTIFS!$C$45,VLOOKUP(F130,OBJECTIFS!$C$9:$D$11,2,FALSE),IF(D130=OBJECTIFS!$C$46,VLOOKUP(F130,OBJECTIFS!$C$16:$D$18,2,FALSE),IF(D130=OBJECTIFS!$C$47,VLOOKUP(F130,OBJECTIFS!$C$23:$D$25,2,FALSE),IF(D130=OBJECTIFS!$C$48,VLOOKUP(F130,OBJECTIFS!$C$30:$D$32,2,FALSE),IF(D130=OBJECTIFS!$C$49,VLOOKUP(F130,OBJECTIFS!$C$37:$D$39,2,FALSE))))))))</f>
        <v/>
      </c>
      <c r="J130" s="25"/>
      <c r="K130" s="90" t="str">
        <f>IF(OR($A130="",$D130="",J130=""),"",SUMIFS(OBJECTIFS!E$9:E$39,OBJECTIFS!$A$9:$A$39,$D130,OBJECTIFS!$C$9:$C$39,$F130))</f>
        <v/>
      </c>
      <c r="L130" s="90" t="str">
        <f>IF(OR(AND($D130=OBJECTIFS!$B$6,OBJECTIFS!E$8="dmt"),AND($D130=OBJECTIFS!$B$13,OBJECTIFS!$E$15="dmt"),AND($D130=OBJECTIFS!$B$20,OBJECTIFS!$E$22="dmt"),AND($D130=OBJECTIFS!$B$27,OBJECTIFS!$E$29="dmt"),AND($D130=OBJECTIFS!$B$34,OBJECTIFS!$E$36="dmt"),AND($D130=OBJECTIFS!$B$6,OBJECTIFS!$E$8="taux de chute"),AND($D130=OBJECTIFS!$B$13,OBJECTIFS!$E$15="taux de chute"),AND($D130=OBJECTIFS!$B$20,OBJECTIFS!$E$22="taux de chute"),AND($D130=OBJECTIFS!$B$27,OBJECTIFS!$E$29="taux de chute"),AND($D130=OBJECTIFS!$B$34,OBJECTIFS!$E$36="taux de chute")),IFERROR(K130/J130,""),IFERROR(J130/K130,""))</f>
        <v/>
      </c>
      <c r="M130" s="91">
        <f>IFERROR(IF(OR(J130="",K130="",L130=""),0,IF(L130&lt;OBJECTIFS!$E$56,0,IF(L130&lt;OBJECTIFS!$G$56,M$8*OBJECTIFS!$F$60,IF(L130&lt;OBJECTIFS!$I$56,M$8*OBJECTIFS!$H$60,M$8)))),0)</f>
        <v>0</v>
      </c>
      <c r="N130" s="161"/>
      <c r="O130" s="92" t="str">
        <f>IF(OR($A130="",$D130="",N130=""),"",SUMIFS(OBJECTIFS!F$9:F$39,OBJECTIFS!$A$9:$A$39,$D130,OBJECTIFS!$C$9:$C$39,$F130))</f>
        <v/>
      </c>
      <c r="P130" s="90" t="str">
        <f>IF(OR(AND($D130=OBJECTIFS!$B$6,OBJECTIFS!$F$8="dmt"),AND($D130=OBJECTIFS!$B$13,OBJECTIFS!$F$15="dmt"),AND($D130=OBJECTIFS!$B$20,OBJECTIFS!$F$22="dmt"),AND($D130=OBJECTIFS!$B$27,OBJECTIFS!$F$29="dmt"),AND($D130=OBJECTIFS!$B$34,OBJECTIFS!$F$36="dmt"),AND($D130=OBJECTIFS!$B$6,OBJECTIFS!$F$8="taux de chute"),AND($D130=OBJECTIFS!$B$13,OBJECTIFS!$F$15="taux de chute"),AND($D130=OBJECTIFS!$B$20,OBJECTIFS!$F$22="taux de chute"),AND($D130=OBJECTIFS!$B$27,OBJECTIFS!$F$29="taux de chute"),AND($D130=OBJECTIFS!$B$34,OBJECTIFS!$F$36="taux de chute")),IFERROR(O130/N130,""),IFERROR(N130/O130,""))</f>
        <v/>
      </c>
      <c r="Q130" s="91">
        <f>IFERROR(IF(OR(N130="",O130="",P130=""),0,IF(P130&lt;OBJECTIFS!$E$56,0,IF(P130&lt;OBJECTIFS!$G$56,Q$8*OBJECTIFS!$F$60,IF(P130&lt;OBJECTIFS!$I$56,Q$8*OBJECTIFS!$H$60,Q$8)))),0)</f>
        <v>0</v>
      </c>
      <c r="R130" s="164"/>
      <c r="S130" s="93" t="str">
        <f>IF(OR($A130="",$D130="",R130=""),"",SUMIFS(OBJECTIFS!G$9:G$39,OBJECTIFS!$A$9:$A$39,$D130,OBJECTIFS!$C$9:$C$39,$F130))</f>
        <v/>
      </c>
      <c r="T130" s="90" t="str">
        <f>IF(OR(AND($D130=OBJECTIFS!$B$6,OBJECTIFS!G$8="dmt"),AND($D130=OBJECTIFS!$B$13,OBJECTIFS!$G$15="dmt"),AND($D130=OBJECTIFS!$B$20,OBJECTIFS!$G$22="dmt"),AND($D130=OBJECTIFS!$B$27,OBJECTIFS!$G$29="dmt"),AND($D130=OBJECTIFS!$B$34,OBJECTIFS!$G$36="dmt"),AND($D130=OBJECTIFS!$B$6,OBJECTIFS!$G$8="taux de chute"),AND($D130=OBJECTIFS!$B$13,OBJECTIFS!$G$15="taux de chute"),AND($D130=OBJECTIFS!$B$20,OBJECTIFS!$G$22="taux de chute"),AND($D130=OBJECTIFS!$B$27,OBJECTIFS!$G$29="taux de chute"),AND($D130=OBJECTIFS!$B$34,OBJECTIFS!$G$36="taux de chute")),IFERROR(S130/R130,""),IFERROR(R130/S130,""))</f>
        <v/>
      </c>
      <c r="U130" s="94">
        <f>IFERROR(IF(OR(R130="",S130="",T130=""),0,IF(T130&lt;OBJECTIFS!$E$56,0,IF(T130&lt;OBJECTIFS!$G$56,U$8*OBJECTIFS!$F$60,IF(T130&lt;OBJECTIFS!$I$56,U$8*OBJECTIFS!$H$60,U$8)))),0)</f>
        <v>0</v>
      </c>
      <c r="V130" s="25"/>
      <c r="W130" s="90" t="str">
        <f>IF(OR($A130="",$D130="",V130=""),"",SUMIFS(OBJECTIFS!H$9:H$39,OBJECTIFS!$A$9:$A$39,$D130,OBJECTIFS!$C$9:$C$39,$F130))</f>
        <v/>
      </c>
      <c r="X130" s="90" t="str">
        <f>IF(OR(AND($D130=OBJECTIFS!$B$6,OBJECTIFS!H$8="dmt"),AND($D130=OBJECTIFS!$B$13,OBJECTIFS!$H$15="dmt"),AND($D130=OBJECTIFS!$B$20,OBJECTIFS!$H$22="dmt"),AND($D130=OBJECTIFS!$B$27,OBJECTIFS!$H$29="dmt"),AND($D130=OBJECTIFS!$B$34,OBJECTIFS!$H$36="dmt"),AND($D130=OBJECTIFS!$B$6,OBJECTIFS!$H$8="taux de chute"),AND($D130=OBJECTIFS!$B$13,OBJECTIFS!$H$15="taux de chute"),AND($D130=OBJECTIFS!$B$20,OBJECTIFS!$H$22="taux de chute"),AND($D130=OBJECTIFS!$B$27,OBJECTIFS!$H$29="taux de chute"),AND($D130=OBJECTIFS!$B$34,OBJECTIFS!$H$36="taux de chute")),IFERROR(W130/V130,""),IFERROR(V130/W130,""))</f>
        <v/>
      </c>
      <c r="Y130" s="91">
        <f>IFERROR(IF(OR(V130="",W130="",X130=""),0,IF(X130&lt;OBJECTIFS!$E$56,0,IF(X130&lt;OBJECTIFS!$G$56,Y$8*OBJECTIFS!$F$60,IF(X130&lt;OBJECTIFS!$I$56,Y$8*OBJECTIFS!$H$60,Y$8)))),0)</f>
        <v>0</v>
      </c>
      <c r="Z130" s="167"/>
      <c r="AA130" s="90" t="str">
        <f>IF(OR($A130="",$D130="",Z130=""),"",SUMIFS(OBJECTIFS!I$9:I$39,OBJECTIFS!$A$9:$A$39,$D130,OBJECTIFS!$C$9:$C$39,$F130))</f>
        <v/>
      </c>
      <c r="AB130" s="90" t="str">
        <f>IF(OR(AND($D130=OBJECTIFS!$B$6,OBJECTIFS!I$8="dmt"),AND($D130=OBJECTIFS!$B$13,OBJECTIFS!$I$15="dmt"),AND($D130=OBJECTIFS!$B$20,OBJECTIFS!$I$22="dmt"),AND($D130=OBJECTIFS!$B$27,OBJECTIFS!$I$29="dmt"),AND($D130=OBJECTIFS!$B$34,OBJECTIFS!$I$36="dmt"),AND($D130=OBJECTIFS!$B$6,OBJECTIFS!$I$8="taux de chute"),AND($D130=OBJECTIFS!$B$13,OBJECTIFS!$I$15="taux de chute"),AND($D130=OBJECTIFS!$B$20,OBJECTIFS!$I$22="taux de chute"),AND($D130=OBJECTIFS!$B$27,OBJECTIFS!$I$29="taux de chute"),AND($D130=OBJECTIFS!$B$34,OBJECTIFS!$I$36="taux de chute")),IFERROR(AA130/Z130,""),IFERROR(Z130/AA130,""))</f>
        <v/>
      </c>
      <c r="AC130" s="95">
        <f>IFERROR(IF(OR(Z130="",AA130="",AB130=""),0,IF(AB130&lt;OBJECTIFS!$E$56,0,IF(AB130&lt;OBJECTIFS!$G$56,AC$8*OBJECTIFS!$F$60,IF(AB130&lt;OBJECTIFS!$I$56,AC$8*OBJECTIFS!$H$60,AC$8)))),0)</f>
        <v>0</v>
      </c>
      <c r="AD130" s="186"/>
      <c r="AE130" s="187"/>
      <c r="AF130" s="96">
        <f t="shared" ca="1" si="2"/>
        <v>0</v>
      </c>
      <c r="AG130" s="63"/>
      <c r="AH130" s="186"/>
      <c r="AI130" s="24"/>
      <c r="AJ130" s="24"/>
      <c r="AK130" s="24"/>
      <c r="AL130" s="24"/>
      <c r="AM130" s="79">
        <f t="shared" si="3"/>
        <v>0</v>
      </c>
      <c r="AN130" s="79">
        <v>22</v>
      </c>
      <c r="AO130" s="80">
        <f t="shared" si="4"/>
        <v>0</v>
      </c>
      <c r="AP130" s="81" t="str">
        <f t="shared" ca="1" si="5"/>
        <v/>
      </c>
      <c r="AQ130" s="82"/>
      <c r="AR130" s="97">
        <f>IFERROR(VLOOKUP(B130,OBJECTIFS!$C$76:$E$137,2,FALSE),0)</f>
        <v>0</v>
      </c>
      <c r="AS130" s="98">
        <f>IFERROR(VLOOKUP(B130,OBJECTIFS!$H$76:$J$137,2,FALSE),0)</f>
        <v>0</v>
      </c>
      <c r="AT130" s="98">
        <f>IFERROR(VLOOKUP(B130,OBJECTIFS!$C$142:$E$203,2,FALSE),0)</f>
        <v>0</v>
      </c>
      <c r="AU130" s="98">
        <f>IFERROR(VLOOKUP(B130,OBJECTIFS!$H$142:$J$203,2,FALSE),0)</f>
        <v>0</v>
      </c>
      <c r="AV130" s="98">
        <f>IFERROR(VLOOKUP(B130,OBJECTIFS!$F$208:$H$269,3,FALSE),0)</f>
        <v>0</v>
      </c>
      <c r="AW130" s="81">
        <f t="shared" si="6"/>
        <v>0</v>
      </c>
      <c r="AX130" s="82"/>
      <c r="AY130" s="99" t="str">
        <f t="shared" ca="1" si="7"/>
        <v/>
      </c>
      <c r="AZ130" s="63"/>
      <c r="BA130" s="100">
        <f t="shared" ca="1" si="8"/>
        <v>0</v>
      </c>
      <c r="BB130" s="64" t="str">
        <f t="shared" ca="1" si="9"/>
        <v/>
      </c>
      <c r="BC130" s="101" t="str">
        <f t="shared" ca="1" si="10"/>
        <v/>
      </c>
    </row>
    <row r="131" spans="1:55" x14ac:dyDescent="0.2">
      <c r="A131" s="21"/>
      <c r="B131" s="22"/>
      <c r="C131" s="22"/>
      <c r="D131" s="23"/>
      <c r="E131" s="24"/>
      <c r="F131" s="34"/>
      <c r="H131" s="89" t="str">
        <f>IF(OR(D131="",F131="",A131=""),"",IF(E131="oui",0,IF(D131=OBJECTIFS!$C$45,VLOOKUP(F131,OBJECTIFS!$C$9:$D$11,2,FALSE),IF(D131=OBJECTIFS!$C$46,VLOOKUP(F131,OBJECTIFS!$C$16:$D$18,2,FALSE),IF(D131=OBJECTIFS!$C$47,VLOOKUP(F131,OBJECTIFS!$C$23:$D$25,2,FALSE),IF(D131=OBJECTIFS!$C$48,VLOOKUP(F131,OBJECTIFS!$C$30:$D$32,2,FALSE),IF(D131=OBJECTIFS!$C$49,VLOOKUP(F131,OBJECTIFS!$C$37:$D$39,2,FALSE))))))))</f>
        <v/>
      </c>
      <c r="J131" s="25"/>
      <c r="K131" s="90" t="str">
        <f>IF(OR($A131="",$D131="",J131=""),"",SUMIFS(OBJECTIFS!E$9:E$39,OBJECTIFS!$A$9:$A$39,$D131,OBJECTIFS!$C$9:$C$39,$F131))</f>
        <v/>
      </c>
      <c r="L131" s="90" t="str">
        <f>IF(OR(AND($D131=OBJECTIFS!$B$6,OBJECTIFS!E$8="dmt"),AND($D131=OBJECTIFS!$B$13,OBJECTIFS!$E$15="dmt"),AND($D131=OBJECTIFS!$B$20,OBJECTIFS!$E$22="dmt"),AND($D131=OBJECTIFS!$B$27,OBJECTIFS!$E$29="dmt"),AND($D131=OBJECTIFS!$B$34,OBJECTIFS!$E$36="dmt"),AND($D131=OBJECTIFS!$B$6,OBJECTIFS!$E$8="taux de chute"),AND($D131=OBJECTIFS!$B$13,OBJECTIFS!$E$15="taux de chute"),AND($D131=OBJECTIFS!$B$20,OBJECTIFS!$E$22="taux de chute"),AND($D131=OBJECTIFS!$B$27,OBJECTIFS!$E$29="taux de chute"),AND($D131=OBJECTIFS!$B$34,OBJECTIFS!$E$36="taux de chute")),IFERROR(K131/J131,""),IFERROR(J131/K131,""))</f>
        <v/>
      </c>
      <c r="M131" s="91">
        <f>IFERROR(IF(OR(J131="",K131="",L131=""),0,IF(L131&lt;OBJECTIFS!$E$56,0,IF(L131&lt;OBJECTIFS!$G$56,M$8*OBJECTIFS!$F$60,IF(L131&lt;OBJECTIFS!$I$56,M$8*OBJECTIFS!$H$60,M$8)))),0)</f>
        <v>0</v>
      </c>
      <c r="N131" s="161"/>
      <c r="O131" s="92" t="str">
        <f>IF(OR($A131="",$D131="",N131=""),"",SUMIFS(OBJECTIFS!F$9:F$39,OBJECTIFS!$A$9:$A$39,$D131,OBJECTIFS!$C$9:$C$39,$F131))</f>
        <v/>
      </c>
      <c r="P131" s="90" t="str">
        <f>IF(OR(AND($D131=OBJECTIFS!$B$6,OBJECTIFS!$F$8="dmt"),AND($D131=OBJECTIFS!$B$13,OBJECTIFS!$F$15="dmt"),AND($D131=OBJECTIFS!$B$20,OBJECTIFS!$F$22="dmt"),AND($D131=OBJECTIFS!$B$27,OBJECTIFS!$F$29="dmt"),AND($D131=OBJECTIFS!$B$34,OBJECTIFS!$F$36="dmt"),AND($D131=OBJECTIFS!$B$6,OBJECTIFS!$F$8="taux de chute"),AND($D131=OBJECTIFS!$B$13,OBJECTIFS!$F$15="taux de chute"),AND($D131=OBJECTIFS!$B$20,OBJECTIFS!$F$22="taux de chute"),AND($D131=OBJECTIFS!$B$27,OBJECTIFS!$F$29="taux de chute"),AND($D131=OBJECTIFS!$B$34,OBJECTIFS!$F$36="taux de chute")),IFERROR(O131/N131,""),IFERROR(N131/O131,""))</f>
        <v/>
      </c>
      <c r="Q131" s="91">
        <f>IFERROR(IF(OR(N131="",O131="",P131=""),0,IF(P131&lt;OBJECTIFS!$E$56,0,IF(P131&lt;OBJECTIFS!$G$56,Q$8*OBJECTIFS!$F$60,IF(P131&lt;OBJECTIFS!$I$56,Q$8*OBJECTIFS!$H$60,Q$8)))),0)</f>
        <v>0</v>
      </c>
      <c r="R131" s="164"/>
      <c r="S131" s="93" t="str">
        <f>IF(OR($A131="",$D131="",R131=""),"",SUMIFS(OBJECTIFS!G$9:G$39,OBJECTIFS!$A$9:$A$39,$D131,OBJECTIFS!$C$9:$C$39,$F131))</f>
        <v/>
      </c>
      <c r="T131" s="90" t="str">
        <f>IF(OR(AND($D131=OBJECTIFS!$B$6,OBJECTIFS!G$8="dmt"),AND($D131=OBJECTIFS!$B$13,OBJECTIFS!$G$15="dmt"),AND($D131=OBJECTIFS!$B$20,OBJECTIFS!$G$22="dmt"),AND($D131=OBJECTIFS!$B$27,OBJECTIFS!$G$29="dmt"),AND($D131=OBJECTIFS!$B$34,OBJECTIFS!$G$36="dmt"),AND($D131=OBJECTIFS!$B$6,OBJECTIFS!$G$8="taux de chute"),AND($D131=OBJECTIFS!$B$13,OBJECTIFS!$G$15="taux de chute"),AND($D131=OBJECTIFS!$B$20,OBJECTIFS!$G$22="taux de chute"),AND($D131=OBJECTIFS!$B$27,OBJECTIFS!$G$29="taux de chute"),AND($D131=OBJECTIFS!$B$34,OBJECTIFS!$G$36="taux de chute")),IFERROR(S131/R131,""),IFERROR(R131/S131,""))</f>
        <v/>
      </c>
      <c r="U131" s="94">
        <f>IFERROR(IF(OR(R131="",S131="",T131=""),0,IF(T131&lt;OBJECTIFS!$E$56,0,IF(T131&lt;OBJECTIFS!$G$56,U$8*OBJECTIFS!$F$60,IF(T131&lt;OBJECTIFS!$I$56,U$8*OBJECTIFS!$H$60,U$8)))),0)</f>
        <v>0</v>
      </c>
      <c r="V131" s="25"/>
      <c r="W131" s="90" t="str">
        <f>IF(OR($A131="",$D131="",V131=""),"",SUMIFS(OBJECTIFS!H$9:H$39,OBJECTIFS!$A$9:$A$39,$D131,OBJECTIFS!$C$9:$C$39,$F131))</f>
        <v/>
      </c>
      <c r="X131" s="90" t="str">
        <f>IF(OR(AND($D131=OBJECTIFS!$B$6,OBJECTIFS!H$8="dmt"),AND($D131=OBJECTIFS!$B$13,OBJECTIFS!$H$15="dmt"),AND($D131=OBJECTIFS!$B$20,OBJECTIFS!$H$22="dmt"),AND($D131=OBJECTIFS!$B$27,OBJECTIFS!$H$29="dmt"),AND($D131=OBJECTIFS!$B$34,OBJECTIFS!$H$36="dmt"),AND($D131=OBJECTIFS!$B$6,OBJECTIFS!$H$8="taux de chute"),AND($D131=OBJECTIFS!$B$13,OBJECTIFS!$H$15="taux de chute"),AND($D131=OBJECTIFS!$B$20,OBJECTIFS!$H$22="taux de chute"),AND($D131=OBJECTIFS!$B$27,OBJECTIFS!$H$29="taux de chute"),AND($D131=OBJECTIFS!$B$34,OBJECTIFS!$H$36="taux de chute")),IFERROR(W131/V131,""),IFERROR(V131/W131,""))</f>
        <v/>
      </c>
      <c r="Y131" s="91">
        <f>IFERROR(IF(OR(V131="",W131="",X131=""),0,IF(X131&lt;OBJECTIFS!$E$56,0,IF(X131&lt;OBJECTIFS!$G$56,Y$8*OBJECTIFS!$F$60,IF(X131&lt;OBJECTIFS!$I$56,Y$8*OBJECTIFS!$H$60,Y$8)))),0)</f>
        <v>0</v>
      </c>
      <c r="Z131" s="167"/>
      <c r="AA131" s="90" t="str">
        <f>IF(OR($A131="",$D131="",Z131=""),"",SUMIFS(OBJECTIFS!I$9:I$39,OBJECTIFS!$A$9:$A$39,$D131,OBJECTIFS!$C$9:$C$39,$F131))</f>
        <v/>
      </c>
      <c r="AB131" s="90" t="str">
        <f>IF(OR(AND($D131=OBJECTIFS!$B$6,OBJECTIFS!I$8="dmt"),AND($D131=OBJECTIFS!$B$13,OBJECTIFS!$I$15="dmt"),AND($D131=OBJECTIFS!$B$20,OBJECTIFS!$I$22="dmt"),AND($D131=OBJECTIFS!$B$27,OBJECTIFS!$I$29="dmt"),AND($D131=OBJECTIFS!$B$34,OBJECTIFS!$I$36="dmt"),AND($D131=OBJECTIFS!$B$6,OBJECTIFS!$I$8="taux de chute"),AND($D131=OBJECTIFS!$B$13,OBJECTIFS!$I$15="taux de chute"),AND($D131=OBJECTIFS!$B$20,OBJECTIFS!$I$22="taux de chute"),AND($D131=OBJECTIFS!$B$27,OBJECTIFS!$I$29="taux de chute"),AND($D131=OBJECTIFS!$B$34,OBJECTIFS!$I$36="taux de chute")),IFERROR(AA131/Z131,""),IFERROR(Z131/AA131,""))</f>
        <v/>
      </c>
      <c r="AC131" s="95">
        <f>IFERROR(IF(OR(Z131="",AA131="",AB131=""),0,IF(AB131&lt;OBJECTIFS!$E$56,0,IF(AB131&lt;OBJECTIFS!$G$56,AC$8*OBJECTIFS!$F$60,IF(AB131&lt;OBJECTIFS!$I$56,AC$8*OBJECTIFS!$H$60,AC$8)))),0)</f>
        <v>0</v>
      </c>
      <c r="AD131" s="186"/>
      <c r="AE131" s="187"/>
      <c r="AF131" s="96">
        <f t="shared" ca="1" si="2"/>
        <v>0</v>
      </c>
      <c r="AG131" s="63"/>
      <c r="AH131" s="186"/>
      <c r="AI131" s="24"/>
      <c r="AJ131" s="24"/>
      <c r="AK131" s="24"/>
      <c r="AL131" s="24"/>
      <c r="AM131" s="79">
        <f t="shared" si="3"/>
        <v>0</v>
      </c>
      <c r="AN131" s="79">
        <v>22</v>
      </c>
      <c r="AO131" s="80">
        <f t="shared" si="4"/>
        <v>0</v>
      </c>
      <c r="AP131" s="81" t="str">
        <f t="shared" ca="1" si="5"/>
        <v/>
      </c>
      <c r="AQ131" s="82"/>
      <c r="AR131" s="97">
        <f>IFERROR(VLOOKUP(B131,OBJECTIFS!$C$76:$E$137,2,FALSE),0)</f>
        <v>0</v>
      </c>
      <c r="AS131" s="98">
        <f>IFERROR(VLOOKUP(B131,OBJECTIFS!$H$76:$J$137,2,FALSE),0)</f>
        <v>0</v>
      </c>
      <c r="AT131" s="98">
        <f>IFERROR(VLOOKUP(B131,OBJECTIFS!$C$142:$E$203,2,FALSE),0)</f>
        <v>0</v>
      </c>
      <c r="AU131" s="98">
        <f>IFERROR(VLOOKUP(B131,OBJECTIFS!$H$142:$J$203,2,FALSE),0)</f>
        <v>0</v>
      </c>
      <c r="AV131" s="98">
        <f>IFERROR(VLOOKUP(B131,OBJECTIFS!$F$208:$H$269,3,FALSE),0)</f>
        <v>0</v>
      </c>
      <c r="AW131" s="81">
        <f t="shared" si="6"/>
        <v>0</v>
      </c>
      <c r="AX131" s="82"/>
      <c r="AY131" s="99" t="str">
        <f t="shared" ca="1" si="7"/>
        <v/>
      </c>
      <c r="AZ131" s="63"/>
      <c r="BA131" s="100">
        <f t="shared" ca="1" si="8"/>
        <v>0</v>
      </c>
      <c r="BB131" s="64" t="str">
        <f t="shared" ca="1" si="9"/>
        <v/>
      </c>
      <c r="BC131" s="101" t="str">
        <f t="shared" ca="1" si="10"/>
        <v/>
      </c>
    </row>
    <row r="132" spans="1:55" x14ac:dyDescent="0.2">
      <c r="A132" s="21"/>
      <c r="B132" s="22"/>
      <c r="C132" s="22"/>
      <c r="D132" s="23"/>
      <c r="E132" s="24"/>
      <c r="F132" s="34"/>
      <c r="H132" s="89" t="str">
        <f>IF(OR(D132="",F132="",A132=""),"",IF(E132="oui",0,IF(D132=OBJECTIFS!$C$45,VLOOKUP(F132,OBJECTIFS!$C$9:$D$11,2,FALSE),IF(D132=OBJECTIFS!$C$46,VLOOKUP(F132,OBJECTIFS!$C$16:$D$18,2,FALSE),IF(D132=OBJECTIFS!$C$47,VLOOKUP(F132,OBJECTIFS!$C$23:$D$25,2,FALSE),IF(D132=OBJECTIFS!$C$48,VLOOKUP(F132,OBJECTIFS!$C$30:$D$32,2,FALSE),IF(D132=OBJECTIFS!$C$49,VLOOKUP(F132,OBJECTIFS!$C$37:$D$39,2,FALSE))))))))</f>
        <v/>
      </c>
      <c r="J132" s="25"/>
      <c r="K132" s="90" t="str">
        <f>IF(OR($A132="",$D132="",J132=""),"",SUMIFS(OBJECTIFS!E$9:E$39,OBJECTIFS!$A$9:$A$39,$D132,OBJECTIFS!$C$9:$C$39,$F132))</f>
        <v/>
      </c>
      <c r="L132" s="90" t="str">
        <f>IF(OR(AND($D132=OBJECTIFS!$B$6,OBJECTIFS!E$8="dmt"),AND($D132=OBJECTIFS!$B$13,OBJECTIFS!$E$15="dmt"),AND($D132=OBJECTIFS!$B$20,OBJECTIFS!$E$22="dmt"),AND($D132=OBJECTIFS!$B$27,OBJECTIFS!$E$29="dmt"),AND($D132=OBJECTIFS!$B$34,OBJECTIFS!$E$36="dmt"),AND($D132=OBJECTIFS!$B$6,OBJECTIFS!$E$8="taux de chute"),AND($D132=OBJECTIFS!$B$13,OBJECTIFS!$E$15="taux de chute"),AND($D132=OBJECTIFS!$B$20,OBJECTIFS!$E$22="taux de chute"),AND($D132=OBJECTIFS!$B$27,OBJECTIFS!$E$29="taux de chute"),AND($D132=OBJECTIFS!$B$34,OBJECTIFS!$E$36="taux de chute")),IFERROR(K132/J132,""),IFERROR(J132/K132,""))</f>
        <v/>
      </c>
      <c r="M132" s="91">
        <f>IFERROR(IF(OR(J132="",K132="",L132=""),0,IF(L132&lt;OBJECTIFS!$E$56,0,IF(L132&lt;OBJECTIFS!$G$56,M$8*OBJECTIFS!$F$60,IF(L132&lt;OBJECTIFS!$I$56,M$8*OBJECTIFS!$H$60,M$8)))),0)</f>
        <v>0</v>
      </c>
      <c r="N132" s="161"/>
      <c r="O132" s="92" t="str">
        <f>IF(OR($A132="",$D132="",N132=""),"",SUMIFS(OBJECTIFS!F$9:F$39,OBJECTIFS!$A$9:$A$39,$D132,OBJECTIFS!$C$9:$C$39,$F132))</f>
        <v/>
      </c>
      <c r="P132" s="90" t="str">
        <f>IF(OR(AND($D132=OBJECTIFS!$B$6,OBJECTIFS!$F$8="dmt"),AND($D132=OBJECTIFS!$B$13,OBJECTIFS!$F$15="dmt"),AND($D132=OBJECTIFS!$B$20,OBJECTIFS!$F$22="dmt"),AND($D132=OBJECTIFS!$B$27,OBJECTIFS!$F$29="dmt"),AND($D132=OBJECTIFS!$B$34,OBJECTIFS!$F$36="dmt"),AND($D132=OBJECTIFS!$B$6,OBJECTIFS!$F$8="taux de chute"),AND($D132=OBJECTIFS!$B$13,OBJECTIFS!$F$15="taux de chute"),AND($D132=OBJECTIFS!$B$20,OBJECTIFS!$F$22="taux de chute"),AND($D132=OBJECTIFS!$B$27,OBJECTIFS!$F$29="taux de chute"),AND($D132=OBJECTIFS!$B$34,OBJECTIFS!$F$36="taux de chute")),IFERROR(O132/N132,""),IFERROR(N132/O132,""))</f>
        <v/>
      </c>
      <c r="Q132" s="91">
        <f>IFERROR(IF(OR(N132="",O132="",P132=""),0,IF(P132&lt;OBJECTIFS!$E$56,0,IF(P132&lt;OBJECTIFS!$G$56,Q$8*OBJECTIFS!$F$60,IF(P132&lt;OBJECTIFS!$I$56,Q$8*OBJECTIFS!$H$60,Q$8)))),0)</f>
        <v>0</v>
      </c>
      <c r="R132" s="164"/>
      <c r="S132" s="93" t="str">
        <f>IF(OR($A132="",$D132="",R132=""),"",SUMIFS(OBJECTIFS!G$9:G$39,OBJECTIFS!$A$9:$A$39,$D132,OBJECTIFS!$C$9:$C$39,$F132))</f>
        <v/>
      </c>
      <c r="T132" s="90" t="str">
        <f>IF(OR(AND($D132=OBJECTIFS!$B$6,OBJECTIFS!G$8="dmt"),AND($D132=OBJECTIFS!$B$13,OBJECTIFS!$G$15="dmt"),AND($D132=OBJECTIFS!$B$20,OBJECTIFS!$G$22="dmt"),AND($D132=OBJECTIFS!$B$27,OBJECTIFS!$G$29="dmt"),AND($D132=OBJECTIFS!$B$34,OBJECTIFS!$G$36="dmt"),AND($D132=OBJECTIFS!$B$6,OBJECTIFS!$G$8="taux de chute"),AND($D132=OBJECTIFS!$B$13,OBJECTIFS!$G$15="taux de chute"),AND($D132=OBJECTIFS!$B$20,OBJECTIFS!$G$22="taux de chute"),AND($D132=OBJECTIFS!$B$27,OBJECTIFS!$G$29="taux de chute"),AND($D132=OBJECTIFS!$B$34,OBJECTIFS!$G$36="taux de chute")),IFERROR(S132/R132,""),IFERROR(R132/S132,""))</f>
        <v/>
      </c>
      <c r="U132" s="94">
        <f>IFERROR(IF(OR(R132="",S132="",T132=""),0,IF(T132&lt;OBJECTIFS!$E$56,0,IF(T132&lt;OBJECTIFS!$G$56,U$8*OBJECTIFS!$F$60,IF(T132&lt;OBJECTIFS!$I$56,U$8*OBJECTIFS!$H$60,U$8)))),0)</f>
        <v>0</v>
      </c>
      <c r="V132" s="25"/>
      <c r="W132" s="90" t="str">
        <f>IF(OR($A132="",$D132="",V132=""),"",SUMIFS(OBJECTIFS!H$9:H$39,OBJECTIFS!$A$9:$A$39,$D132,OBJECTIFS!$C$9:$C$39,$F132))</f>
        <v/>
      </c>
      <c r="X132" s="90" t="str">
        <f>IF(OR(AND($D132=OBJECTIFS!$B$6,OBJECTIFS!H$8="dmt"),AND($D132=OBJECTIFS!$B$13,OBJECTIFS!$H$15="dmt"),AND($D132=OBJECTIFS!$B$20,OBJECTIFS!$H$22="dmt"),AND($D132=OBJECTIFS!$B$27,OBJECTIFS!$H$29="dmt"),AND($D132=OBJECTIFS!$B$34,OBJECTIFS!$H$36="dmt"),AND($D132=OBJECTIFS!$B$6,OBJECTIFS!$H$8="taux de chute"),AND($D132=OBJECTIFS!$B$13,OBJECTIFS!$H$15="taux de chute"),AND($D132=OBJECTIFS!$B$20,OBJECTIFS!$H$22="taux de chute"),AND($D132=OBJECTIFS!$B$27,OBJECTIFS!$H$29="taux de chute"),AND($D132=OBJECTIFS!$B$34,OBJECTIFS!$H$36="taux de chute")),IFERROR(W132/V132,""),IFERROR(V132/W132,""))</f>
        <v/>
      </c>
      <c r="Y132" s="91">
        <f>IFERROR(IF(OR(V132="",W132="",X132=""),0,IF(X132&lt;OBJECTIFS!$E$56,0,IF(X132&lt;OBJECTIFS!$G$56,Y$8*OBJECTIFS!$F$60,IF(X132&lt;OBJECTIFS!$I$56,Y$8*OBJECTIFS!$H$60,Y$8)))),0)</f>
        <v>0</v>
      </c>
      <c r="Z132" s="167"/>
      <c r="AA132" s="90" t="str">
        <f>IF(OR($A132="",$D132="",Z132=""),"",SUMIFS(OBJECTIFS!I$9:I$39,OBJECTIFS!$A$9:$A$39,$D132,OBJECTIFS!$C$9:$C$39,$F132))</f>
        <v/>
      </c>
      <c r="AB132" s="90" t="str">
        <f>IF(OR(AND($D132=OBJECTIFS!$B$6,OBJECTIFS!I$8="dmt"),AND($D132=OBJECTIFS!$B$13,OBJECTIFS!$I$15="dmt"),AND($D132=OBJECTIFS!$B$20,OBJECTIFS!$I$22="dmt"),AND($D132=OBJECTIFS!$B$27,OBJECTIFS!$I$29="dmt"),AND($D132=OBJECTIFS!$B$34,OBJECTIFS!$I$36="dmt"),AND($D132=OBJECTIFS!$B$6,OBJECTIFS!$I$8="taux de chute"),AND($D132=OBJECTIFS!$B$13,OBJECTIFS!$I$15="taux de chute"),AND($D132=OBJECTIFS!$B$20,OBJECTIFS!$I$22="taux de chute"),AND($D132=OBJECTIFS!$B$27,OBJECTIFS!$I$29="taux de chute"),AND($D132=OBJECTIFS!$B$34,OBJECTIFS!$I$36="taux de chute")),IFERROR(AA132/Z132,""),IFERROR(Z132/AA132,""))</f>
        <v/>
      </c>
      <c r="AC132" s="95">
        <f>IFERROR(IF(OR(Z132="",AA132="",AB132=""),0,IF(AB132&lt;OBJECTIFS!$E$56,0,IF(AB132&lt;OBJECTIFS!$G$56,AC$8*OBJECTIFS!$F$60,IF(AB132&lt;OBJECTIFS!$I$56,AC$8*OBJECTIFS!$H$60,AC$8)))),0)</f>
        <v>0</v>
      </c>
      <c r="AD132" s="186"/>
      <c r="AE132" s="187"/>
      <c r="AF132" s="96">
        <f t="shared" ca="1" si="2"/>
        <v>0</v>
      </c>
      <c r="AG132" s="63"/>
      <c r="AH132" s="186"/>
      <c r="AI132" s="24"/>
      <c r="AJ132" s="24"/>
      <c r="AK132" s="24"/>
      <c r="AL132" s="24"/>
      <c r="AM132" s="79">
        <f t="shared" si="3"/>
        <v>0</v>
      </c>
      <c r="AN132" s="79">
        <v>22</v>
      </c>
      <c r="AO132" s="80">
        <f t="shared" si="4"/>
        <v>0</v>
      </c>
      <c r="AP132" s="81" t="str">
        <f t="shared" ca="1" si="5"/>
        <v/>
      </c>
      <c r="AQ132" s="82"/>
      <c r="AR132" s="97">
        <f>IFERROR(VLOOKUP(B132,OBJECTIFS!$C$76:$E$137,2,FALSE),0)</f>
        <v>0</v>
      </c>
      <c r="AS132" s="98">
        <f>IFERROR(VLOOKUP(B132,OBJECTIFS!$H$76:$J$137,2,FALSE),0)</f>
        <v>0</v>
      </c>
      <c r="AT132" s="98">
        <f>IFERROR(VLOOKUP(B132,OBJECTIFS!$C$142:$E$203,2,FALSE),0)</f>
        <v>0</v>
      </c>
      <c r="AU132" s="98">
        <f>IFERROR(VLOOKUP(B132,OBJECTIFS!$H$142:$J$203,2,FALSE),0)</f>
        <v>0</v>
      </c>
      <c r="AV132" s="98">
        <f>IFERROR(VLOOKUP(B132,OBJECTIFS!$F$208:$H$269,3,FALSE),0)</f>
        <v>0</v>
      </c>
      <c r="AW132" s="81">
        <f t="shared" si="6"/>
        <v>0</v>
      </c>
      <c r="AX132" s="82"/>
      <c r="AY132" s="99" t="str">
        <f t="shared" ca="1" si="7"/>
        <v/>
      </c>
      <c r="AZ132" s="63"/>
      <c r="BA132" s="100">
        <f t="shared" ca="1" si="8"/>
        <v>0</v>
      </c>
      <c r="BB132" s="64" t="str">
        <f t="shared" ca="1" si="9"/>
        <v/>
      </c>
      <c r="BC132" s="101" t="str">
        <f t="shared" ca="1" si="10"/>
        <v/>
      </c>
    </row>
    <row r="133" spans="1:55" x14ac:dyDescent="0.2">
      <c r="A133" s="21"/>
      <c r="B133" s="22"/>
      <c r="C133" s="22"/>
      <c r="D133" s="23"/>
      <c r="E133" s="24"/>
      <c r="F133" s="34"/>
      <c r="H133" s="89" t="str">
        <f>IF(OR(D133="",F133="",A133=""),"",IF(E133="oui",0,IF(D133=OBJECTIFS!$C$45,VLOOKUP(F133,OBJECTIFS!$C$9:$D$11,2,FALSE),IF(D133=OBJECTIFS!$C$46,VLOOKUP(F133,OBJECTIFS!$C$16:$D$18,2,FALSE),IF(D133=OBJECTIFS!$C$47,VLOOKUP(F133,OBJECTIFS!$C$23:$D$25,2,FALSE),IF(D133=OBJECTIFS!$C$48,VLOOKUP(F133,OBJECTIFS!$C$30:$D$32,2,FALSE),IF(D133=OBJECTIFS!$C$49,VLOOKUP(F133,OBJECTIFS!$C$37:$D$39,2,FALSE))))))))</f>
        <v/>
      </c>
      <c r="J133" s="25"/>
      <c r="K133" s="90" t="str">
        <f>IF(OR($A133="",$D133="",J133=""),"",SUMIFS(OBJECTIFS!E$9:E$39,OBJECTIFS!$A$9:$A$39,$D133,OBJECTIFS!$C$9:$C$39,$F133))</f>
        <v/>
      </c>
      <c r="L133" s="90" t="str">
        <f>IF(OR(AND($D133=OBJECTIFS!$B$6,OBJECTIFS!E$8="dmt"),AND($D133=OBJECTIFS!$B$13,OBJECTIFS!$E$15="dmt"),AND($D133=OBJECTIFS!$B$20,OBJECTIFS!$E$22="dmt"),AND($D133=OBJECTIFS!$B$27,OBJECTIFS!$E$29="dmt"),AND($D133=OBJECTIFS!$B$34,OBJECTIFS!$E$36="dmt"),AND($D133=OBJECTIFS!$B$6,OBJECTIFS!$E$8="taux de chute"),AND($D133=OBJECTIFS!$B$13,OBJECTIFS!$E$15="taux de chute"),AND($D133=OBJECTIFS!$B$20,OBJECTIFS!$E$22="taux de chute"),AND($D133=OBJECTIFS!$B$27,OBJECTIFS!$E$29="taux de chute"),AND($D133=OBJECTIFS!$B$34,OBJECTIFS!$E$36="taux de chute")),IFERROR(K133/J133,""),IFERROR(J133/K133,""))</f>
        <v/>
      </c>
      <c r="M133" s="91">
        <f>IFERROR(IF(OR(J133="",K133="",L133=""),0,IF(L133&lt;OBJECTIFS!$E$56,0,IF(L133&lt;OBJECTIFS!$G$56,M$8*OBJECTIFS!$F$60,IF(L133&lt;OBJECTIFS!$I$56,M$8*OBJECTIFS!$H$60,M$8)))),0)</f>
        <v>0</v>
      </c>
      <c r="N133" s="161"/>
      <c r="O133" s="92" t="str">
        <f>IF(OR($A133="",$D133="",N133=""),"",SUMIFS(OBJECTIFS!F$9:F$39,OBJECTIFS!$A$9:$A$39,$D133,OBJECTIFS!$C$9:$C$39,$F133))</f>
        <v/>
      </c>
      <c r="P133" s="90" t="str">
        <f>IF(OR(AND($D133=OBJECTIFS!$B$6,OBJECTIFS!$F$8="dmt"),AND($D133=OBJECTIFS!$B$13,OBJECTIFS!$F$15="dmt"),AND($D133=OBJECTIFS!$B$20,OBJECTIFS!$F$22="dmt"),AND($D133=OBJECTIFS!$B$27,OBJECTIFS!$F$29="dmt"),AND($D133=OBJECTIFS!$B$34,OBJECTIFS!$F$36="dmt"),AND($D133=OBJECTIFS!$B$6,OBJECTIFS!$F$8="taux de chute"),AND($D133=OBJECTIFS!$B$13,OBJECTIFS!$F$15="taux de chute"),AND($D133=OBJECTIFS!$B$20,OBJECTIFS!$F$22="taux de chute"),AND($D133=OBJECTIFS!$B$27,OBJECTIFS!$F$29="taux de chute"),AND($D133=OBJECTIFS!$B$34,OBJECTIFS!$F$36="taux de chute")),IFERROR(O133/N133,""),IFERROR(N133/O133,""))</f>
        <v/>
      </c>
      <c r="Q133" s="91">
        <f>IFERROR(IF(OR(N133="",O133="",P133=""),0,IF(P133&lt;OBJECTIFS!$E$56,0,IF(P133&lt;OBJECTIFS!$G$56,Q$8*OBJECTIFS!$F$60,IF(P133&lt;OBJECTIFS!$I$56,Q$8*OBJECTIFS!$H$60,Q$8)))),0)</f>
        <v>0</v>
      </c>
      <c r="R133" s="164"/>
      <c r="S133" s="93" t="str">
        <f>IF(OR($A133="",$D133="",R133=""),"",SUMIFS(OBJECTIFS!G$9:G$39,OBJECTIFS!$A$9:$A$39,$D133,OBJECTIFS!$C$9:$C$39,$F133))</f>
        <v/>
      </c>
      <c r="T133" s="90" t="str">
        <f>IF(OR(AND($D133=OBJECTIFS!$B$6,OBJECTIFS!G$8="dmt"),AND($D133=OBJECTIFS!$B$13,OBJECTIFS!$G$15="dmt"),AND($D133=OBJECTIFS!$B$20,OBJECTIFS!$G$22="dmt"),AND($D133=OBJECTIFS!$B$27,OBJECTIFS!$G$29="dmt"),AND($D133=OBJECTIFS!$B$34,OBJECTIFS!$G$36="dmt"),AND($D133=OBJECTIFS!$B$6,OBJECTIFS!$G$8="taux de chute"),AND($D133=OBJECTIFS!$B$13,OBJECTIFS!$G$15="taux de chute"),AND($D133=OBJECTIFS!$B$20,OBJECTIFS!$G$22="taux de chute"),AND($D133=OBJECTIFS!$B$27,OBJECTIFS!$G$29="taux de chute"),AND($D133=OBJECTIFS!$B$34,OBJECTIFS!$G$36="taux de chute")),IFERROR(S133/R133,""),IFERROR(R133/S133,""))</f>
        <v/>
      </c>
      <c r="U133" s="94">
        <f>IFERROR(IF(OR(R133="",S133="",T133=""),0,IF(T133&lt;OBJECTIFS!$E$56,0,IF(T133&lt;OBJECTIFS!$G$56,U$8*OBJECTIFS!$F$60,IF(T133&lt;OBJECTIFS!$I$56,U$8*OBJECTIFS!$H$60,U$8)))),0)</f>
        <v>0</v>
      </c>
      <c r="V133" s="25"/>
      <c r="W133" s="90" t="str">
        <f>IF(OR($A133="",$D133="",V133=""),"",SUMIFS(OBJECTIFS!H$9:H$39,OBJECTIFS!$A$9:$A$39,$D133,OBJECTIFS!$C$9:$C$39,$F133))</f>
        <v/>
      </c>
      <c r="X133" s="90" t="str">
        <f>IF(OR(AND($D133=OBJECTIFS!$B$6,OBJECTIFS!H$8="dmt"),AND($D133=OBJECTIFS!$B$13,OBJECTIFS!$H$15="dmt"),AND($D133=OBJECTIFS!$B$20,OBJECTIFS!$H$22="dmt"),AND($D133=OBJECTIFS!$B$27,OBJECTIFS!$H$29="dmt"),AND($D133=OBJECTIFS!$B$34,OBJECTIFS!$H$36="dmt"),AND($D133=OBJECTIFS!$B$6,OBJECTIFS!$H$8="taux de chute"),AND($D133=OBJECTIFS!$B$13,OBJECTIFS!$H$15="taux de chute"),AND($D133=OBJECTIFS!$B$20,OBJECTIFS!$H$22="taux de chute"),AND($D133=OBJECTIFS!$B$27,OBJECTIFS!$H$29="taux de chute"),AND($D133=OBJECTIFS!$B$34,OBJECTIFS!$H$36="taux de chute")),IFERROR(W133/V133,""),IFERROR(V133/W133,""))</f>
        <v/>
      </c>
      <c r="Y133" s="91">
        <f>IFERROR(IF(OR(V133="",W133="",X133=""),0,IF(X133&lt;OBJECTIFS!$E$56,0,IF(X133&lt;OBJECTIFS!$G$56,Y$8*OBJECTIFS!$F$60,IF(X133&lt;OBJECTIFS!$I$56,Y$8*OBJECTIFS!$H$60,Y$8)))),0)</f>
        <v>0</v>
      </c>
      <c r="Z133" s="167"/>
      <c r="AA133" s="90" t="str">
        <f>IF(OR($A133="",$D133="",Z133=""),"",SUMIFS(OBJECTIFS!I$9:I$39,OBJECTIFS!$A$9:$A$39,$D133,OBJECTIFS!$C$9:$C$39,$F133))</f>
        <v/>
      </c>
      <c r="AB133" s="90" t="str">
        <f>IF(OR(AND($D133=OBJECTIFS!$B$6,OBJECTIFS!I$8="dmt"),AND($D133=OBJECTIFS!$B$13,OBJECTIFS!$I$15="dmt"),AND($D133=OBJECTIFS!$B$20,OBJECTIFS!$I$22="dmt"),AND($D133=OBJECTIFS!$B$27,OBJECTIFS!$I$29="dmt"),AND($D133=OBJECTIFS!$B$34,OBJECTIFS!$I$36="dmt"),AND($D133=OBJECTIFS!$B$6,OBJECTIFS!$I$8="taux de chute"),AND($D133=OBJECTIFS!$B$13,OBJECTIFS!$I$15="taux de chute"),AND($D133=OBJECTIFS!$B$20,OBJECTIFS!$I$22="taux de chute"),AND($D133=OBJECTIFS!$B$27,OBJECTIFS!$I$29="taux de chute"),AND($D133=OBJECTIFS!$B$34,OBJECTIFS!$I$36="taux de chute")),IFERROR(AA133/Z133,""),IFERROR(Z133/AA133,""))</f>
        <v/>
      </c>
      <c r="AC133" s="95">
        <f>IFERROR(IF(OR(Z133="",AA133="",AB133=""),0,IF(AB133&lt;OBJECTIFS!$E$56,0,IF(AB133&lt;OBJECTIFS!$G$56,AC$8*OBJECTIFS!$F$60,IF(AB133&lt;OBJECTIFS!$I$56,AC$8*OBJECTIFS!$H$60,AC$8)))),0)</f>
        <v>0</v>
      </c>
      <c r="AD133" s="186"/>
      <c r="AE133" s="187"/>
      <c r="AF133" s="96">
        <f t="shared" ca="1" si="2"/>
        <v>0</v>
      </c>
      <c r="AG133" s="63"/>
      <c r="AH133" s="186"/>
      <c r="AI133" s="24"/>
      <c r="AJ133" s="24"/>
      <c r="AK133" s="24"/>
      <c r="AL133" s="24"/>
      <c r="AM133" s="79">
        <f t="shared" si="3"/>
        <v>0</v>
      </c>
      <c r="AN133" s="79">
        <v>22</v>
      </c>
      <c r="AO133" s="80">
        <f t="shared" si="4"/>
        <v>0</v>
      </c>
      <c r="AP133" s="81" t="str">
        <f t="shared" ca="1" si="5"/>
        <v/>
      </c>
      <c r="AQ133" s="82"/>
      <c r="AR133" s="97">
        <f>IFERROR(VLOOKUP(B133,OBJECTIFS!$C$76:$E$137,2,FALSE),0)</f>
        <v>0</v>
      </c>
      <c r="AS133" s="98">
        <f>IFERROR(VLOOKUP(B133,OBJECTIFS!$H$76:$J$137,2,FALSE),0)</f>
        <v>0</v>
      </c>
      <c r="AT133" s="98">
        <f>IFERROR(VLOOKUP(B133,OBJECTIFS!$C$142:$E$203,2,FALSE),0)</f>
        <v>0</v>
      </c>
      <c r="AU133" s="98">
        <f>IFERROR(VLOOKUP(B133,OBJECTIFS!$H$142:$J$203,2,FALSE),0)</f>
        <v>0</v>
      </c>
      <c r="AV133" s="98">
        <f>IFERROR(VLOOKUP(B133,OBJECTIFS!$F$208:$H$269,3,FALSE),0)</f>
        <v>0</v>
      </c>
      <c r="AW133" s="81">
        <f t="shared" si="6"/>
        <v>0</v>
      </c>
      <c r="AX133" s="82"/>
      <c r="AY133" s="99" t="str">
        <f t="shared" ca="1" si="7"/>
        <v/>
      </c>
      <c r="AZ133" s="63"/>
      <c r="BA133" s="100">
        <f t="shared" ca="1" si="8"/>
        <v>0</v>
      </c>
      <c r="BB133" s="64" t="str">
        <f t="shared" ca="1" si="9"/>
        <v/>
      </c>
      <c r="BC133" s="101" t="str">
        <f t="shared" ca="1" si="10"/>
        <v/>
      </c>
    </row>
    <row r="134" spans="1:55" x14ac:dyDescent="0.2">
      <c r="A134" s="21"/>
      <c r="B134" s="22"/>
      <c r="C134" s="22"/>
      <c r="D134" s="23"/>
      <c r="E134" s="24"/>
      <c r="F134" s="34"/>
      <c r="H134" s="89" t="str">
        <f>IF(OR(D134="",F134="",A134=""),"",IF(E134="oui",0,IF(D134=OBJECTIFS!$C$45,VLOOKUP(F134,OBJECTIFS!$C$9:$D$11,2,FALSE),IF(D134=OBJECTIFS!$C$46,VLOOKUP(F134,OBJECTIFS!$C$16:$D$18,2,FALSE),IF(D134=OBJECTIFS!$C$47,VLOOKUP(F134,OBJECTIFS!$C$23:$D$25,2,FALSE),IF(D134=OBJECTIFS!$C$48,VLOOKUP(F134,OBJECTIFS!$C$30:$D$32,2,FALSE),IF(D134=OBJECTIFS!$C$49,VLOOKUP(F134,OBJECTIFS!$C$37:$D$39,2,FALSE))))))))</f>
        <v/>
      </c>
      <c r="J134" s="25"/>
      <c r="K134" s="90" t="str">
        <f>IF(OR($A134="",$D134="",J134=""),"",SUMIFS(OBJECTIFS!E$9:E$39,OBJECTIFS!$A$9:$A$39,$D134,OBJECTIFS!$C$9:$C$39,$F134))</f>
        <v/>
      </c>
      <c r="L134" s="90" t="str">
        <f>IF(OR(AND($D134=OBJECTIFS!$B$6,OBJECTIFS!E$8="dmt"),AND($D134=OBJECTIFS!$B$13,OBJECTIFS!$E$15="dmt"),AND($D134=OBJECTIFS!$B$20,OBJECTIFS!$E$22="dmt"),AND($D134=OBJECTIFS!$B$27,OBJECTIFS!$E$29="dmt"),AND($D134=OBJECTIFS!$B$34,OBJECTIFS!$E$36="dmt"),AND($D134=OBJECTIFS!$B$6,OBJECTIFS!$E$8="taux de chute"),AND($D134=OBJECTIFS!$B$13,OBJECTIFS!$E$15="taux de chute"),AND($D134=OBJECTIFS!$B$20,OBJECTIFS!$E$22="taux de chute"),AND($D134=OBJECTIFS!$B$27,OBJECTIFS!$E$29="taux de chute"),AND($D134=OBJECTIFS!$B$34,OBJECTIFS!$E$36="taux de chute")),IFERROR(K134/J134,""),IFERROR(J134/K134,""))</f>
        <v/>
      </c>
      <c r="M134" s="91">
        <f>IFERROR(IF(OR(J134="",K134="",L134=""),0,IF(L134&lt;OBJECTIFS!$E$56,0,IF(L134&lt;OBJECTIFS!$G$56,M$8*OBJECTIFS!$F$60,IF(L134&lt;OBJECTIFS!$I$56,M$8*OBJECTIFS!$H$60,M$8)))),0)</f>
        <v>0</v>
      </c>
      <c r="N134" s="161"/>
      <c r="O134" s="92" t="str">
        <f>IF(OR($A134="",$D134="",N134=""),"",SUMIFS(OBJECTIFS!F$9:F$39,OBJECTIFS!$A$9:$A$39,$D134,OBJECTIFS!$C$9:$C$39,$F134))</f>
        <v/>
      </c>
      <c r="P134" s="90" t="str">
        <f>IF(OR(AND($D134=OBJECTIFS!$B$6,OBJECTIFS!$F$8="dmt"),AND($D134=OBJECTIFS!$B$13,OBJECTIFS!$F$15="dmt"),AND($D134=OBJECTIFS!$B$20,OBJECTIFS!$F$22="dmt"),AND($D134=OBJECTIFS!$B$27,OBJECTIFS!$F$29="dmt"),AND($D134=OBJECTIFS!$B$34,OBJECTIFS!$F$36="dmt"),AND($D134=OBJECTIFS!$B$6,OBJECTIFS!$F$8="taux de chute"),AND($D134=OBJECTIFS!$B$13,OBJECTIFS!$F$15="taux de chute"),AND($D134=OBJECTIFS!$B$20,OBJECTIFS!$F$22="taux de chute"),AND($D134=OBJECTIFS!$B$27,OBJECTIFS!$F$29="taux de chute"),AND($D134=OBJECTIFS!$B$34,OBJECTIFS!$F$36="taux de chute")),IFERROR(O134/N134,""),IFERROR(N134/O134,""))</f>
        <v/>
      </c>
      <c r="Q134" s="91">
        <f>IFERROR(IF(OR(N134="",O134="",P134=""),0,IF(P134&lt;OBJECTIFS!$E$56,0,IF(P134&lt;OBJECTIFS!$G$56,Q$8*OBJECTIFS!$F$60,IF(P134&lt;OBJECTIFS!$I$56,Q$8*OBJECTIFS!$H$60,Q$8)))),0)</f>
        <v>0</v>
      </c>
      <c r="R134" s="164"/>
      <c r="S134" s="93" t="str">
        <f>IF(OR($A134="",$D134="",R134=""),"",SUMIFS(OBJECTIFS!G$9:G$39,OBJECTIFS!$A$9:$A$39,$D134,OBJECTIFS!$C$9:$C$39,$F134))</f>
        <v/>
      </c>
      <c r="T134" s="90" t="str">
        <f>IF(OR(AND($D134=OBJECTIFS!$B$6,OBJECTIFS!G$8="dmt"),AND($D134=OBJECTIFS!$B$13,OBJECTIFS!$G$15="dmt"),AND($D134=OBJECTIFS!$B$20,OBJECTIFS!$G$22="dmt"),AND($D134=OBJECTIFS!$B$27,OBJECTIFS!$G$29="dmt"),AND($D134=OBJECTIFS!$B$34,OBJECTIFS!$G$36="dmt"),AND($D134=OBJECTIFS!$B$6,OBJECTIFS!$G$8="taux de chute"),AND($D134=OBJECTIFS!$B$13,OBJECTIFS!$G$15="taux de chute"),AND($D134=OBJECTIFS!$B$20,OBJECTIFS!$G$22="taux de chute"),AND($D134=OBJECTIFS!$B$27,OBJECTIFS!$G$29="taux de chute"),AND($D134=OBJECTIFS!$B$34,OBJECTIFS!$G$36="taux de chute")),IFERROR(S134/R134,""),IFERROR(R134/S134,""))</f>
        <v/>
      </c>
      <c r="U134" s="94">
        <f>IFERROR(IF(OR(R134="",S134="",T134=""),0,IF(T134&lt;OBJECTIFS!$E$56,0,IF(T134&lt;OBJECTIFS!$G$56,U$8*OBJECTIFS!$F$60,IF(T134&lt;OBJECTIFS!$I$56,U$8*OBJECTIFS!$H$60,U$8)))),0)</f>
        <v>0</v>
      </c>
      <c r="V134" s="25"/>
      <c r="W134" s="90" t="str">
        <f>IF(OR($A134="",$D134="",V134=""),"",SUMIFS(OBJECTIFS!H$9:H$39,OBJECTIFS!$A$9:$A$39,$D134,OBJECTIFS!$C$9:$C$39,$F134))</f>
        <v/>
      </c>
      <c r="X134" s="90" t="str">
        <f>IF(OR(AND($D134=OBJECTIFS!$B$6,OBJECTIFS!H$8="dmt"),AND($D134=OBJECTIFS!$B$13,OBJECTIFS!$H$15="dmt"),AND($D134=OBJECTIFS!$B$20,OBJECTIFS!$H$22="dmt"),AND($D134=OBJECTIFS!$B$27,OBJECTIFS!$H$29="dmt"),AND($D134=OBJECTIFS!$B$34,OBJECTIFS!$H$36="dmt"),AND($D134=OBJECTIFS!$B$6,OBJECTIFS!$H$8="taux de chute"),AND($D134=OBJECTIFS!$B$13,OBJECTIFS!$H$15="taux de chute"),AND($D134=OBJECTIFS!$B$20,OBJECTIFS!$H$22="taux de chute"),AND($D134=OBJECTIFS!$B$27,OBJECTIFS!$H$29="taux de chute"),AND($D134=OBJECTIFS!$B$34,OBJECTIFS!$H$36="taux de chute")),IFERROR(W134/V134,""),IFERROR(V134/W134,""))</f>
        <v/>
      </c>
      <c r="Y134" s="91">
        <f>IFERROR(IF(OR(V134="",W134="",X134=""),0,IF(X134&lt;OBJECTIFS!$E$56,0,IF(X134&lt;OBJECTIFS!$G$56,Y$8*OBJECTIFS!$F$60,IF(X134&lt;OBJECTIFS!$I$56,Y$8*OBJECTIFS!$H$60,Y$8)))),0)</f>
        <v>0</v>
      </c>
      <c r="Z134" s="167"/>
      <c r="AA134" s="90" t="str">
        <f>IF(OR($A134="",$D134="",Z134=""),"",SUMIFS(OBJECTIFS!I$9:I$39,OBJECTIFS!$A$9:$A$39,$D134,OBJECTIFS!$C$9:$C$39,$F134))</f>
        <v/>
      </c>
      <c r="AB134" s="90" t="str">
        <f>IF(OR(AND($D134=OBJECTIFS!$B$6,OBJECTIFS!I$8="dmt"),AND($D134=OBJECTIFS!$B$13,OBJECTIFS!$I$15="dmt"),AND($D134=OBJECTIFS!$B$20,OBJECTIFS!$I$22="dmt"),AND($D134=OBJECTIFS!$B$27,OBJECTIFS!$I$29="dmt"),AND($D134=OBJECTIFS!$B$34,OBJECTIFS!$I$36="dmt"),AND($D134=OBJECTIFS!$B$6,OBJECTIFS!$I$8="taux de chute"),AND($D134=OBJECTIFS!$B$13,OBJECTIFS!$I$15="taux de chute"),AND($D134=OBJECTIFS!$B$20,OBJECTIFS!$I$22="taux de chute"),AND($D134=OBJECTIFS!$B$27,OBJECTIFS!$I$29="taux de chute"),AND($D134=OBJECTIFS!$B$34,OBJECTIFS!$I$36="taux de chute")),IFERROR(AA134/Z134,""),IFERROR(Z134/AA134,""))</f>
        <v/>
      </c>
      <c r="AC134" s="95">
        <f>IFERROR(IF(OR(Z134="",AA134="",AB134=""),0,IF(AB134&lt;OBJECTIFS!$E$56,0,IF(AB134&lt;OBJECTIFS!$G$56,AC$8*OBJECTIFS!$F$60,IF(AB134&lt;OBJECTIFS!$I$56,AC$8*OBJECTIFS!$H$60,AC$8)))),0)</f>
        <v>0</v>
      </c>
      <c r="AD134" s="186"/>
      <c r="AE134" s="187"/>
      <c r="AF134" s="96">
        <f t="shared" ca="1" si="2"/>
        <v>0</v>
      </c>
      <c r="AG134" s="63"/>
      <c r="AH134" s="186"/>
      <c r="AI134" s="24"/>
      <c r="AJ134" s="24"/>
      <c r="AK134" s="24"/>
      <c r="AL134" s="24"/>
      <c r="AM134" s="79">
        <f t="shared" si="3"/>
        <v>0</v>
      </c>
      <c r="AN134" s="79">
        <v>22</v>
      </c>
      <c r="AO134" s="80">
        <f t="shared" si="4"/>
        <v>0</v>
      </c>
      <c r="AP134" s="81" t="str">
        <f t="shared" ca="1" si="5"/>
        <v/>
      </c>
      <c r="AQ134" s="82"/>
      <c r="AR134" s="97">
        <f>IFERROR(VLOOKUP(B134,OBJECTIFS!$C$76:$E$137,2,FALSE),0)</f>
        <v>0</v>
      </c>
      <c r="AS134" s="98">
        <f>IFERROR(VLOOKUP(B134,OBJECTIFS!$H$76:$J$137,2,FALSE),0)</f>
        <v>0</v>
      </c>
      <c r="AT134" s="98">
        <f>IFERROR(VLOOKUP(B134,OBJECTIFS!$C$142:$E$203,2,FALSE),0)</f>
        <v>0</v>
      </c>
      <c r="AU134" s="98">
        <f>IFERROR(VLOOKUP(B134,OBJECTIFS!$H$142:$J$203,2,FALSE),0)</f>
        <v>0</v>
      </c>
      <c r="AV134" s="98">
        <f>IFERROR(VLOOKUP(B134,OBJECTIFS!$F$208:$H$269,3,FALSE),0)</f>
        <v>0</v>
      </c>
      <c r="AW134" s="81">
        <f t="shared" si="6"/>
        <v>0</v>
      </c>
      <c r="AX134" s="82"/>
      <c r="AY134" s="99" t="str">
        <f t="shared" ca="1" si="7"/>
        <v/>
      </c>
      <c r="AZ134" s="63"/>
      <c r="BA134" s="100">
        <f t="shared" ca="1" si="8"/>
        <v>0</v>
      </c>
      <c r="BB134" s="64" t="str">
        <f t="shared" ca="1" si="9"/>
        <v/>
      </c>
      <c r="BC134" s="101" t="str">
        <f t="shared" ca="1" si="10"/>
        <v/>
      </c>
    </row>
    <row r="135" spans="1:55" x14ac:dyDescent="0.2">
      <c r="A135" s="21"/>
      <c r="B135" s="22"/>
      <c r="C135" s="22"/>
      <c r="D135" s="23"/>
      <c r="E135" s="24"/>
      <c r="F135" s="34"/>
      <c r="H135" s="89" t="str">
        <f>IF(OR(D135="",F135="",A135=""),"",IF(E135="oui",0,IF(D135=OBJECTIFS!$C$45,VLOOKUP(F135,OBJECTIFS!$C$9:$D$11,2,FALSE),IF(D135=OBJECTIFS!$C$46,VLOOKUP(F135,OBJECTIFS!$C$16:$D$18,2,FALSE),IF(D135=OBJECTIFS!$C$47,VLOOKUP(F135,OBJECTIFS!$C$23:$D$25,2,FALSE),IF(D135=OBJECTIFS!$C$48,VLOOKUP(F135,OBJECTIFS!$C$30:$D$32,2,FALSE),IF(D135=OBJECTIFS!$C$49,VLOOKUP(F135,OBJECTIFS!$C$37:$D$39,2,FALSE))))))))</f>
        <v/>
      </c>
      <c r="J135" s="25"/>
      <c r="K135" s="90" t="str">
        <f>IF(OR($A135="",$D135="",J135=""),"",SUMIFS(OBJECTIFS!E$9:E$39,OBJECTIFS!$A$9:$A$39,$D135,OBJECTIFS!$C$9:$C$39,$F135))</f>
        <v/>
      </c>
      <c r="L135" s="90" t="str">
        <f>IF(OR(AND($D135=OBJECTIFS!$B$6,OBJECTIFS!E$8="dmt"),AND($D135=OBJECTIFS!$B$13,OBJECTIFS!$E$15="dmt"),AND($D135=OBJECTIFS!$B$20,OBJECTIFS!$E$22="dmt"),AND($D135=OBJECTIFS!$B$27,OBJECTIFS!$E$29="dmt"),AND($D135=OBJECTIFS!$B$34,OBJECTIFS!$E$36="dmt"),AND($D135=OBJECTIFS!$B$6,OBJECTIFS!$E$8="taux de chute"),AND($D135=OBJECTIFS!$B$13,OBJECTIFS!$E$15="taux de chute"),AND($D135=OBJECTIFS!$B$20,OBJECTIFS!$E$22="taux de chute"),AND($D135=OBJECTIFS!$B$27,OBJECTIFS!$E$29="taux de chute"),AND($D135=OBJECTIFS!$B$34,OBJECTIFS!$E$36="taux de chute")),IFERROR(K135/J135,""),IFERROR(J135/K135,""))</f>
        <v/>
      </c>
      <c r="M135" s="91">
        <f>IFERROR(IF(OR(J135="",K135="",L135=""),0,IF(L135&lt;OBJECTIFS!$E$56,0,IF(L135&lt;OBJECTIFS!$G$56,M$8*OBJECTIFS!$F$60,IF(L135&lt;OBJECTIFS!$I$56,M$8*OBJECTIFS!$H$60,M$8)))),0)</f>
        <v>0</v>
      </c>
      <c r="N135" s="161"/>
      <c r="O135" s="92" t="str">
        <f>IF(OR($A135="",$D135="",N135=""),"",SUMIFS(OBJECTIFS!F$9:F$39,OBJECTIFS!$A$9:$A$39,$D135,OBJECTIFS!$C$9:$C$39,$F135))</f>
        <v/>
      </c>
      <c r="P135" s="90" t="str">
        <f>IF(OR(AND($D135=OBJECTIFS!$B$6,OBJECTIFS!$F$8="dmt"),AND($D135=OBJECTIFS!$B$13,OBJECTIFS!$F$15="dmt"),AND($D135=OBJECTIFS!$B$20,OBJECTIFS!$F$22="dmt"),AND($D135=OBJECTIFS!$B$27,OBJECTIFS!$F$29="dmt"),AND($D135=OBJECTIFS!$B$34,OBJECTIFS!$F$36="dmt"),AND($D135=OBJECTIFS!$B$6,OBJECTIFS!$F$8="taux de chute"),AND($D135=OBJECTIFS!$B$13,OBJECTIFS!$F$15="taux de chute"),AND($D135=OBJECTIFS!$B$20,OBJECTIFS!$F$22="taux de chute"),AND($D135=OBJECTIFS!$B$27,OBJECTIFS!$F$29="taux de chute"),AND($D135=OBJECTIFS!$B$34,OBJECTIFS!$F$36="taux de chute")),IFERROR(O135/N135,""),IFERROR(N135/O135,""))</f>
        <v/>
      </c>
      <c r="Q135" s="91">
        <f>IFERROR(IF(OR(N135="",O135="",P135=""),0,IF(P135&lt;OBJECTIFS!$E$56,0,IF(P135&lt;OBJECTIFS!$G$56,Q$8*OBJECTIFS!$F$60,IF(P135&lt;OBJECTIFS!$I$56,Q$8*OBJECTIFS!$H$60,Q$8)))),0)</f>
        <v>0</v>
      </c>
      <c r="R135" s="164"/>
      <c r="S135" s="93" t="str">
        <f>IF(OR($A135="",$D135="",R135=""),"",SUMIFS(OBJECTIFS!G$9:G$39,OBJECTIFS!$A$9:$A$39,$D135,OBJECTIFS!$C$9:$C$39,$F135))</f>
        <v/>
      </c>
      <c r="T135" s="90" t="str">
        <f>IF(OR(AND($D135=OBJECTIFS!$B$6,OBJECTIFS!G$8="dmt"),AND($D135=OBJECTIFS!$B$13,OBJECTIFS!$G$15="dmt"),AND($D135=OBJECTIFS!$B$20,OBJECTIFS!$G$22="dmt"),AND($D135=OBJECTIFS!$B$27,OBJECTIFS!$G$29="dmt"),AND($D135=OBJECTIFS!$B$34,OBJECTIFS!$G$36="dmt"),AND($D135=OBJECTIFS!$B$6,OBJECTIFS!$G$8="taux de chute"),AND($D135=OBJECTIFS!$B$13,OBJECTIFS!$G$15="taux de chute"),AND($D135=OBJECTIFS!$B$20,OBJECTIFS!$G$22="taux de chute"),AND($D135=OBJECTIFS!$B$27,OBJECTIFS!$G$29="taux de chute"),AND($D135=OBJECTIFS!$B$34,OBJECTIFS!$G$36="taux de chute")),IFERROR(S135/R135,""),IFERROR(R135/S135,""))</f>
        <v/>
      </c>
      <c r="U135" s="94">
        <f>IFERROR(IF(OR(R135="",S135="",T135=""),0,IF(T135&lt;OBJECTIFS!$E$56,0,IF(T135&lt;OBJECTIFS!$G$56,U$8*OBJECTIFS!$F$60,IF(T135&lt;OBJECTIFS!$I$56,U$8*OBJECTIFS!$H$60,U$8)))),0)</f>
        <v>0</v>
      </c>
      <c r="V135" s="25"/>
      <c r="W135" s="90" t="str">
        <f>IF(OR($A135="",$D135="",V135=""),"",SUMIFS(OBJECTIFS!H$9:H$39,OBJECTIFS!$A$9:$A$39,$D135,OBJECTIFS!$C$9:$C$39,$F135))</f>
        <v/>
      </c>
      <c r="X135" s="90" t="str">
        <f>IF(OR(AND($D135=OBJECTIFS!$B$6,OBJECTIFS!H$8="dmt"),AND($D135=OBJECTIFS!$B$13,OBJECTIFS!$H$15="dmt"),AND($D135=OBJECTIFS!$B$20,OBJECTIFS!$H$22="dmt"),AND($D135=OBJECTIFS!$B$27,OBJECTIFS!$H$29="dmt"),AND($D135=OBJECTIFS!$B$34,OBJECTIFS!$H$36="dmt"),AND($D135=OBJECTIFS!$B$6,OBJECTIFS!$H$8="taux de chute"),AND($D135=OBJECTIFS!$B$13,OBJECTIFS!$H$15="taux de chute"),AND($D135=OBJECTIFS!$B$20,OBJECTIFS!$H$22="taux de chute"),AND($D135=OBJECTIFS!$B$27,OBJECTIFS!$H$29="taux de chute"),AND($D135=OBJECTIFS!$B$34,OBJECTIFS!$H$36="taux de chute")),IFERROR(W135/V135,""),IFERROR(V135/W135,""))</f>
        <v/>
      </c>
      <c r="Y135" s="91">
        <f>IFERROR(IF(OR(V135="",W135="",X135=""),0,IF(X135&lt;OBJECTIFS!$E$56,0,IF(X135&lt;OBJECTIFS!$G$56,Y$8*OBJECTIFS!$F$60,IF(X135&lt;OBJECTIFS!$I$56,Y$8*OBJECTIFS!$H$60,Y$8)))),0)</f>
        <v>0</v>
      </c>
      <c r="Z135" s="167"/>
      <c r="AA135" s="90" t="str">
        <f>IF(OR($A135="",$D135="",Z135=""),"",SUMIFS(OBJECTIFS!I$9:I$39,OBJECTIFS!$A$9:$A$39,$D135,OBJECTIFS!$C$9:$C$39,$F135))</f>
        <v/>
      </c>
      <c r="AB135" s="90" t="str">
        <f>IF(OR(AND($D135=OBJECTIFS!$B$6,OBJECTIFS!I$8="dmt"),AND($D135=OBJECTIFS!$B$13,OBJECTIFS!$I$15="dmt"),AND($D135=OBJECTIFS!$B$20,OBJECTIFS!$I$22="dmt"),AND($D135=OBJECTIFS!$B$27,OBJECTIFS!$I$29="dmt"),AND($D135=OBJECTIFS!$B$34,OBJECTIFS!$I$36="dmt"),AND($D135=OBJECTIFS!$B$6,OBJECTIFS!$I$8="taux de chute"),AND($D135=OBJECTIFS!$B$13,OBJECTIFS!$I$15="taux de chute"),AND($D135=OBJECTIFS!$B$20,OBJECTIFS!$I$22="taux de chute"),AND($D135=OBJECTIFS!$B$27,OBJECTIFS!$I$29="taux de chute"),AND($D135=OBJECTIFS!$B$34,OBJECTIFS!$I$36="taux de chute")),IFERROR(AA135/Z135,""),IFERROR(Z135/AA135,""))</f>
        <v/>
      </c>
      <c r="AC135" s="95">
        <f>IFERROR(IF(OR(Z135="",AA135="",AB135=""),0,IF(AB135&lt;OBJECTIFS!$E$56,0,IF(AB135&lt;OBJECTIFS!$G$56,AC$8*OBJECTIFS!$F$60,IF(AB135&lt;OBJECTIFS!$I$56,AC$8*OBJECTIFS!$H$60,AC$8)))),0)</f>
        <v>0</v>
      </c>
      <c r="AD135" s="186"/>
      <c r="AE135" s="187"/>
      <c r="AF135" s="96">
        <f t="shared" ca="1" si="2"/>
        <v>0</v>
      </c>
      <c r="AG135" s="63"/>
      <c r="AH135" s="186"/>
      <c r="AI135" s="24"/>
      <c r="AJ135" s="24"/>
      <c r="AK135" s="24"/>
      <c r="AL135" s="24"/>
      <c r="AM135" s="79">
        <f t="shared" si="3"/>
        <v>0</v>
      </c>
      <c r="AN135" s="79">
        <v>22</v>
      </c>
      <c r="AO135" s="80">
        <f t="shared" si="4"/>
        <v>0</v>
      </c>
      <c r="AP135" s="81" t="str">
        <f t="shared" ca="1" si="5"/>
        <v/>
      </c>
      <c r="AQ135" s="82"/>
      <c r="AR135" s="97">
        <f>IFERROR(VLOOKUP(B135,OBJECTIFS!$C$76:$E$137,2,FALSE),0)</f>
        <v>0</v>
      </c>
      <c r="AS135" s="98">
        <f>IFERROR(VLOOKUP(B135,OBJECTIFS!$H$76:$J$137,2,FALSE),0)</f>
        <v>0</v>
      </c>
      <c r="AT135" s="98">
        <f>IFERROR(VLOOKUP(B135,OBJECTIFS!$C$142:$E$203,2,FALSE),0)</f>
        <v>0</v>
      </c>
      <c r="AU135" s="98">
        <f>IFERROR(VLOOKUP(B135,OBJECTIFS!$H$142:$J$203,2,FALSE),0)</f>
        <v>0</v>
      </c>
      <c r="AV135" s="98">
        <f>IFERROR(VLOOKUP(B135,OBJECTIFS!$F$208:$H$269,3,FALSE),0)</f>
        <v>0</v>
      </c>
      <c r="AW135" s="81">
        <f t="shared" si="6"/>
        <v>0</v>
      </c>
      <c r="AX135" s="82"/>
      <c r="AY135" s="99" t="str">
        <f t="shared" ca="1" si="7"/>
        <v/>
      </c>
      <c r="AZ135" s="63"/>
      <c r="BA135" s="100">
        <f t="shared" ca="1" si="8"/>
        <v>0</v>
      </c>
      <c r="BB135" s="64" t="str">
        <f t="shared" ca="1" si="9"/>
        <v/>
      </c>
      <c r="BC135" s="101" t="str">
        <f t="shared" ca="1" si="10"/>
        <v/>
      </c>
    </row>
    <row r="136" spans="1:55" x14ac:dyDescent="0.2">
      <c r="A136" s="21"/>
      <c r="B136" s="22"/>
      <c r="C136" s="22"/>
      <c r="D136" s="23"/>
      <c r="E136" s="24"/>
      <c r="F136" s="34"/>
      <c r="H136" s="89" t="str">
        <f>IF(OR(D136="",F136="",A136=""),"",IF(E136="oui",0,IF(D136=OBJECTIFS!$C$45,VLOOKUP(F136,OBJECTIFS!$C$9:$D$11,2,FALSE),IF(D136=OBJECTIFS!$C$46,VLOOKUP(F136,OBJECTIFS!$C$16:$D$18,2,FALSE),IF(D136=OBJECTIFS!$C$47,VLOOKUP(F136,OBJECTIFS!$C$23:$D$25,2,FALSE),IF(D136=OBJECTIFS!$C$48,VLOOKUP(F136,OBJECTIFS!$C$30:$D$32,2,FALSE),IF(D136=OBJECTIFS!$C$49,VLOOKUP(F136,OBJECTIFS!$C$37:$D$39,2,FALSE))))))))</f>
        <v/>
      </c>
      <c r="J136" s="25"/>
      <c r="K136" s="90" t="str">
        <f>IF(OR($A136="",$D136="",J136=""),"",SUMIFS(OBJECTIFS!E$9:E$39,OBJECTIFS!$A$9:$A$39,$D136,OBJECTIFS!$C$9:$C$39,$F136))</f>
        <v/>
      </c>
      <c r="L136" s="90" t="str">
        <f>IF(OR(AND($D136=OBJECTIFS!$B$6,OBJECTIFS!E$8="dmt"),AND($D136=OBJECTIFS!$B$13,OBJECTIFS!$E$15="dmt"),AND($D136=OBJECTIFS!$B$20,OBJECTIFS!$E$22="dmt"),AND($D136=OBJECTIFS!$B$27,OBJECTIFS!$E$29="dmt"),AND($D136=OBJECTIFS!$B$34,OBJECTIFS!$E$36="dmt"),AND($D136=OBJECTIFS!$B$6,OBJECTIFS!$E$8="taux de chute"),AND($D136=OBJECTIFS!$B$13,OBJECTIFS!$E$15="taux de chute"),AND($D136=OBJECTIFS!$B$20,OBJECTIFS!$E$22="taux de chute"),AND($D136=OBJECTIFS!$B$27,OBJECTIFS!$E$29="taux de chute"),AND($D136=OBJECTIFS!$B$34,OBJECTIFS!$E$36="taux de chute")),IFERROR(K136/J136,""),IFERROR(J136/K136,""))</f>
        <v/>
      </c>
      <c r="M136" s="91">
        <f>IFERROR(IF(OR(J136="",K136="",L136=""),0,IF(L136&lt;OBJECTIFS!$E$56,0,IF(L136&lt;OBJECTIFS!$G$56,M$8*OBJECTIFS!$F$60,IF(L136&lt;OBJECTIFS!$I$56,M$8*OBJECTIFS!$H$60,M$8)))),0)</f>
        <v>0</v>
      </c>
      <c r="N136" s="161"/>
      <c r="O136" s="92" t="str">
        <f>IF(OR($A136="",$D136="",N136=""),"",SUMIFS(OBJECTIFS!F$9:F$39,OBJECTIFS!$A$9:$A$39,$D136,OBJECTIFS!$C$9:$C$39,$F136))</f>
        <v/>
      </c>
      <c r="P136" s="90" t="str">
        <f>IF(OR(AND($D136=OBJECTIFS!$B$6,OBJECTIFS!$F$8="dmt"),AND($D136=OBJECTIFS!$B$13,OBJECTIFS!$F$15="dmt"),AND($D136=OBJECTIFS!$B$20,OBJECTIFS!$F$22="dmt"),AND($D136=OBJECTIFS!$B$27,OBJECTIFS!$F$29="dmt"),AND($D136=OBJECTIFS!$B$34,OBJECTIFS!$F$36="dmt"),AND($D136=OBJECTIFS!$B$6,OBJECTIFS!$F$8="taux de chute"),AND($D136=OBJECTIFS!$B$13,OBJECTIFS!$F$15="taux de chute"),AND($D136=OBJECTIFS!$B$20,OBJECTIFS!$F$22="taux de chute"),AND($D136=OBJECTIFS!$B$27,OBJECTIFS!$F$29="taux de chute"),AND($D136=OBJECTIFS!$B$34,OBJECTIFS!$F$36="taux de chute")),IFERROR(O136/N136,""),IFERROR(N136/O136,""))</f>
        <v/>
      </c>
      <c r="Q136" s="91">
        <f>IFERROR(IF(OR(N136="",O136="",P136=""),0,IF(P136&lt;OBJECTIFS!$E$56,0,IF(P136&lt;OBJECTIFS!$G$56,Q$8*OBJECTIFS!$F$60,IF(P136&lt;OBJECTIFS!$I$56,Q$8*OBJECTIFS!$H$60,Q$8)))),0)</f>
        <v>0</v>
      </c>
      <c r="R136" s="164"/>
      <c r="S136" s="93" t="str">
        <f>IF(OR($A136="",$D136="",R136=""),"",SUMIFS(OBJECTIFS!G$9:G$39,OBJECTIFS!$A$9:$A$39,$D136,OBJECTIFS!$C$9:$C$39,$F136))</f>
        <v/>
      </c>
      <c r="T136" s="90" t="str">
        <f>IF(OR(AND($D136=OBJECTIFS!$B$6,OBJECTIFS!G$8="dmt"),AND($D136=OBJECTIFS!$B$13,OBJECTIFS!$G$15="dmt"),AND($D136=OBJECTIFS!$B$20,OBJECTIFS!$G$22="dmt"),AND($D136=OBJECTIFS!$B$27,OBJECTIFS!$G$29="dmt"),AND($D136=OBJECTIFS!$B$34,OBJECTIFS!$G$36="dmt"),AND($D136=OBJECTIFS!$B$6,OBJECTIFS!$G$8="taux de chute"),AND($D136=OBJECTIFS!$B$13,OBJECTIFS!$G$15="taux de chute"),AND($D136=OBJECTIFS!$B$20,OBJECTIFS!$G$22="taux de chute"),AND($D136=OBJECTIFS!$B$27,OBJECTIFS!$G$29="taux de chute"),AND($D136=OBJECTIFS!$B$34,OBJECTIFS!$G$36="taux de chute")),IFERROR(S136/R136,""),IFERROR(R136/S136,""))</f>
        <v/>
      </c>
      <c r="U136" s="94">
        <f>IFERROR(IF(OR(R136="",S136="",T136=""),0,IF(T136&lt;OBJECTIFS!$E$56,0,IF(T136&lt;OBJECTIFS!$G$56,U$8*OBJECTIFS!$F$60,IF(T136&lt;OBJECTIFS!$I$56,U$8*OBJECTIFS!$H$60,U$8)))),0)</f>
        <v>0</v>
      </c>
      <c r="V136" s="25"/>
      <c r="W136" s="90" t="str">
        <f>IF(OR($A136="",$D136="",V136=""),"",SUMIFS(OBJECTIFS!H$9:H$39,OBJECTIFS!$A$9:$A$39,$D136,OBJECTIFS!$C$9:$C$39,$F136))</f>
        <v/>
      </c>
      <c r="X136" s="90" t="str">
        <f>IF(OR(AND($D136=OBJECTIFS!$B$6,OBJECTIFS!H$8="dmt"),AND($D136=OBJECTIFS!$B$13,OBJECTIFS!$H$15="dmt"),AND($D136=OBJECTIFS!$B$20,OBJECTIFS!$H$22="dmt"),AND($D136=OBJECTIFS!$B$27,OBJECTIFS!$H$29="dmt"),AND($D136=OBJECTIFS!$B$34,OBJECTIFS!$H$36="dmt"),AND($D136=OBJECTIFS!$B$6,OBJECTIFS!$H$8="taux de chute"),AND($D136=OBJECTIFS!$B$13,OBJECTIFS!$H$15="taux de chute"),AND($D136=OBJECTIFS!$B$20,OBJECTIFS!$H$22="taux de chute"),AND($D136=OBJECTIFS!$B$27,OBJECTIFS!$H$29="taux de chute"),AND($D136=OBJECTIFS!$B$34,OBJECTIFS!$H$36="taux de chute")),IFERROR(W136/V136,""),IFERROR(V136/W136,""))</f>
        <v/>
      </c>
      <c r="Y136" s="91">
        <f>IFERROR(IF(OR(V136="",W136="",X136=""),0,IF(X136&lt;OBJECTIFS!$E$56,0,IF(X136&lt;OBJECTIFS!$G$56,Y$8*OBJECTIFS!$F$60,IF(X136&lt;OBJECTIFS!$I$56,Y$8*OBJECTIFS!$H$60,Y$8)))),0)</f>
        <v>0</v>
      </c>
      <c r="Z136" s="167"/>
      <c r="AA136" s="90" t="str">
        <f>IF(OR($A136="",$D136="",Z136=""),"",SUMIFS(OBJECTIFS!I$9:I$39,OBJECTIFS!$A$9:$A$39,$D136,OBJECTIFS!$C$9:$C$39,$F136))</f>
        <v/>
      </c>
      <c r="AB136" s="90" t="str">
        <f>IF(OR(AND($D136=OBJECTIFS!$B$6,OBJECTIFS!I$8="dmt"),AND($D136=OBJECTIFS!$B$13,OBJECTIFS!$I$15="dmt"),AND($D136=OBJECTIFS!$B$20,OBJECTIFS!$I$22="dmt"),AND($D136=OBJECTIFS!$B$27,OBJECTIFS!$I$29="dmt"),AND($D136=OBJECTIFS!$B$34,OBJECTIFS!$I$36="dmt"),AND($D136=OBJECTIFS!$B$6,OBJECTIFS!$I$8="taux de chute"),AND($D136=OBJECTIFS!$B$13,OBJECTIFS!$I$15="taux de chute"),AND($D136=OBJECTIFS!$B$20,OBJECTIFS!$I$22="taux de chute"),AND($D136=OBJECTIFS!$B$27,OBJECTIFS!$I$29="taux de chute"),AND($D136=OBJECTIFS!$B$34,OBJECTIFS!$I$36="taux de chute")),IFERROR(AA136/Z136,""),IFERROR(Z136/AA136,""))</f>
        <v/>
      </c>
      <c r="AC136" s="95">
        <f>IFERROR(IF(OR(Z136="",AA136="",AB136=""),0,IF(AB136&lt;OBJECTIFS!$E$56,0,IF(AB136&lt;OBJECTIFS!$G$56,AC$8*OBJECTIFS!$F$60,IF(AB136&lt;OBJECTIFS!$I$56,AC$8*OBJECTIFS!$H$60,AC$8)))),0)</f>
        <v>0</v>
      </c>
      <c r="AD136" s="186"/>
      <c r="AE136" s="187"/>
      <c r="AF136" s="96">
        <f t="shared" ca="1" si="2"/>
        <v>0</v>
      </c>
      <c r="AG136" s="63"/>
      <c r="AH136" s="186"/>
      <c r="AI136" s="24"/>
      <c r="AJ136" s="24"/>
      <c r="AK136" s="24"/>
      <c r="AL136" s="24"/>
      <c r="AM136" s="79">
        <f t="shared" si="3"/>
        <v>0</v>
      </c>
      <c r="AN136" s="79">
        <v>22</v>
      </c>
      <c r="AO136" s="80">
        <f t="shared" si="4"/>
        <v>0</v>
      </c>
      <c r="AP136" s="81" t="str">
        <f t="shared" ca="1" si="5"/>
        <v/>
      </c>
      <c r="AQ136" s="82"/>
      <c r="AR136" s="97">
        <f>IFERROR(VLOOKUP(B136,OBJECTIFS!$C$76:$E$137,2,FALSE),0)</f>
        <v>0</v>
      </c>
      <c r="AS136" s="98">
        <f>IFERROR(VLOOKUP(B136,OBJECTIFS!$H$76:$J$137,2,FALSE),0)</f>
        <v>0</v>
      </c>
      <c r="AT136" s="98">
        <f>IFERROR(VLOOKUP(B136,OBJECTIFS!$C$142:$E$203,2,FALSE),0)</f>
        <v>0</v>
      </c>
      <c r="AU136" s="98">
        <f>IFERROR(VLOOKUP(B136,OBJECTIFS!$H$142:$J$203,2,FALSE),0)</f>
        <v>0</v>
      </c>
      <c r="AV136" s="98">
        <f>IFERROR(VLOOKUP(B136,OBJECTIFS!$F$208:$H$269,3,FALSE),0)</f>
        <v>0</v>
      </c>
      <c r="AW136" s="81">
        <f t="shared" si="6"/>
        <v>0</v>
      </c>
      <c r="AX136" s="82"/>
      <c r="AY136" s="99" t="str">
        <f t="shared" ca="1" si="7"/>
        <v/>
      </c>
      <c r="AZ136" s="63"/>
      <c r="BA136" s="100">
        <f t="shared" ca="1" si="8"/>
        <v>0</v>
      </c>
      <c r="BB136" s="64" t="str">
        <f t="shared" ca="1" si="9"/>
        <v/>
      </c>
      <c r="BC136" s="101" t="str">
        <f t="shared" ca="1" si="10"/>
        <v/>
      </c>
    </row>
    <row r="137" spans="1:55" x14ac:dyDescent="0.2">
      <c r="A137" s="21"/>
      <c r="B137" s="22"/>
      <c r="C137" s="22"/>
      <c r="D137" s="23"/>
      <c r="E137" s="24"/>
      <c r="F137" s="34"/>
      <c r="H137" s="89" t="str">
        <f>IF(OR(D137="",F137="",A137=""),"",IF(E137="oui",0,IF(D137=OBJECTIFS!$C$45,VLOOKUP(F137,OBJECTIFS!$C$9:$D$11,2,FALSE),IF(D137=OBJECTIFS!$C$46,VLOOKUP(F137,OBJECTIFS!$C$16:$D$18,2,FALSE),IF(D137=OBJECTIFS!$C$47,VLOOKUP(F137,OBJECTIFS!$C$23:$D$25,2,FALSE),IF(D137=OBJECTIFS!$C$48,VLOOKUP(F137,OBJECTIFS!$C$30:$D$32,2,FALSE),IF(D137=OBJECTIFS!$C$49,VLOOKUP(F137,OBJECTIFS!$C$37:$D$39,2,FALSE))))))))</f>
        <v/>
      </c>
      <c r="J137" s="25"/>
      <c r="K137" s="90" t="str">
        <f>IF(OR($A137="",$D137="",J137=""),"",SUMIFS(OBJECTIFS!E$9:E$39,OBJECTIFS!$A$9:$A$39,$D137,OBJECTIFS!$C$9:$C$39,$F137))</f>
        <v/>
      </c>
      <c r="L137" s="90" t="str">
        <f>IF(OR(AND($D137=OBJECTIFS!$B$6,OBJECTIFS!E$8="dmt"),AND($D137=OBJECTIFS!$B$13,OBJECTIFS!$E$15="dmt"),AND($D137=OBJECTIFS!$B$20,OBJECTIFS!$E$22="dmt"),AND($D137=OBJECTIFS!$B$27,OBJECTIFS!$E$29="dmt"),AND($D137=OBJECTIFS!$B$34,OBJECTIFS!$E$36="dmt"),AND($D137=OBJECTIFS!$B$6,OBJECTIFS!$E$8="taux de chute"),AND($D137=OBJECTIFS!$B$13,OBJECTIFS!$E$15="taux de chute"),AND($D137=OBJECTIFS!$B$20,OBJECTIFS!$E$22="taux de chute"),AND($D137=OBJECTIFS!$B$27,OBJECTIFS!$E$29="taux de chute"),AND($D137=OBJECTIFS!$B$34,OBJECTIFS!$E$36="taux de chute")),IFERROR(K137/J137,""),IFERROR(J137/K137,""))</f>
        <v/>
      </c>
      <c r="M137" s="91">
        <f>IFERROR(IF(OR(J137="",K137="",L137=""),0,IF(L137&lt;OBJECTIFS!$E$56,0,IF(L137&lt;OBJECTIFS!$G$56,M$8*OBJECTIFS!$F$60,IF(L137&lt;OBJECTIFS!$I$56,M$8*OBJECTIFS!$H$60,M$8)))),0)</f>
        <v>0</v>
      </c>
      <c r="N137" s="161"/>
      <c r="O137" s="92" t="str">
        <f>IF(OR($A137="",$D137="",N137=""),"",SUMIFS(OBJECTIFS!F$9:F$39,OBJECTIFS!$A$9:$A$39,$D137,OBJECTIFS!$C$9:$C$39,$F137))</f>
        <v/>
      </c>
      <c r="P137" s="90" t="str">
        <f>IF(OR(AND($D137=OBJECTIFS!$B$6,OBJECTIFS!$F$8="dmt"),AND($D137=OBJECTIFS!$B$13,OBJECTIFS!$F$15="dmt"),AND($D137=OBJECTIFS!$B$20,OBJECTIFS!$F$22="dmt"),AND($D137=OBJECTIFS!$B$27,OBJECTIFS!$F$29="dmt"),AND($D137=OBJECTIFS!$B$34,OBJECTIFS!$F$36="dmt"),AND($D137=OBJECTIFS!$B$6,OBJECTIFS!$F$8="taux de chute"),AND($D137=OBJECTIFS!$B$13,OBJECTIFS!$F$15="taux de chute"),AND($D137=OBJECTIFS!$B$20,OBJECTIFS!$F$22="taux de chute"),AND($D137=OBJECTIFS!$B$27,OBJECTIFS!$F$29="taux de chute"),AND($D137=OBJECTIFS!$B$34,OBJECTIFS!$F$36="taux de chute")),IFERROR(O137/N137,""),IFERROR(N137/O137,""))</f>
        <v/>
      </c>
      <c r="Q137" s="91">
        <f>IFERROR(IF(OR(N137="",O137="",P137=""),0,IF(P137&lt;OBJECTIFS!$E$56,0,IF(P137&lt;OBJECTIFS!$G$56,Q$8*OBJECTIFS!$F$60,IF(P137&lt;OBJECTIFS!$I$56,Q$8*OBJECTIFS!$H$60,Q$8)))),0)</f>
        <v>0</v>
      </c>
      <c r="R137" s="164"/>
      <c r="S137" s="93" t="str">
        <f>IF(OR($A137="",$D137="",R137=""),"",SUMIFS(OBJECTIFS!G$9:G$39,OBJECTIFS!$A$9:$A$39,$D137,OBJECTIFS!$C$9:$C$39,$F137))</f>
        <v/>
      </c>
      <c r="T137" s="90" t="str">
        <f>IF(OR(AND($D137=OBJECTIFS!$B$6,OBJECTIFS!G$8="dmt"),AND($D137=OBJECTIFS!$B$13,OBJECTIFS!$G$15="dmt"),AND($D137=OBJECTIFS!$B$20,OBJECTIFS!$G$22="dmt"),AND($D137=OBJECTIFS!$B$27,OBJECTIFS!$G$29="dmt"),AND($D137=OBJECTIFS!$B$34,OBJECTIFS!$G$36="dmt"),AND($D137=OBJECTIFS!$B$6,OBJECTIFS!$G$8="taux de chute"),AND($D137=OBJECTIFS!$B$13,OBJECTIFS!$G$15="taux de chute"),AND($D137=OBJECTIFS!$B$20,OBJECTIFS!$G$22="taux de chute"),AND($D137=OBJECTIFS!$B$27,OBJECTIFS!$G$29="taux de chute"),AND($D137=OBJECTIFS!$B$34,OBJECTIFS!$G$36="taux de chute")),IFERROR(S137/R137,""),IFERROR(R137/S137,""))</f>
        <v/>
      </c>
      <c r="U137" s="94">
        <f>IFERROR(IF(OR(R137="",S137="",T137=""),0,IF(T137&lt;OBJECTIFS!$E$56,0,IF(T137&lt;OBJECTIFS!$G$56,U$8*OBJECTIFS!$F$60,IF(T137&lt;OBJECTIFS!$I$56,U$8*OBJECTIFS!$H$60,U$8)))),0)</f>
        <v>0</v>
      </c>
      <c r="V137" s="25"/>
      <c r="W137" s="90" t="str">
        <f>IF(OR($A137="",$D137="",V137=""),"",SUMIFS(OBJECTIFS!H$9:H$39,OBJECTIFS!$A$9:$A$39,$D137,OBJECTIFS!$C$9:$C$39,$F137))</f>
        <v/>
      </c>
      <c r="X137" s="90" t="str">
        <f>IF(OR(AND($D137=OBJECTIFS!$B$6,OBJECTIFS!H$8="dmt"),AND($D137=OBJECTIFS!$B$13,OBJECTIFS!$H$15="dmt"),AND($D137=OBJECTIFS!$B$20,OBJECTIFS!$H$22="dmt"),AND($D137=OBJECTIFS!$B$27,OBJECTIFS!$H$29="dmt"),AND($D137=OBJECTIFS!$B$34,OBJECTIFS!$H$36="dmt"),AND($D137=OBJECTIFS!$B$6,OBJECTIFS!$H$8="taux de chute"),AND($D137=OBJECTIFS!$B$13,OBJECTIFS!$H$15="taux de chute"),AND($D137=OBJECTIFS!$B$20,OBJECTIFS!$H$22="taux de chute"),AND($D137=OBJECTIFS!$B$27,OBJECTIFS!$H$29="taux de chute"),AND($D137=OBJECTIFS!$B$34,OBJECTIFS!$H$36="taux de chute")),IFERROR(W137/V137,""),IFERROR(V137/W137,""))</f>
        <v/>
      </c>
      <c r="Y137" s="91">
        <f>IFERROR(IF(OR(V137="",W137="",X137=""),0,IF(X137&lt;OBJECTIFS!$E$56,0,IF(X137&lt;OBJECTIFS!$G$56,Y$8*OBJECTIFS!$F$60,IF(X137&lt;OBJECTIFS!$I$56,Y$8*OBJECTIFS!$H$60,Y$8)))),0)</f>
        <v>0</v>
      </c>
      <c r="Z137" s="167"/>
      <c r="AA137" s="90" t="str">
        <f>IF(OR($A137="",$D137="",Z137=""),"",SUMIFS(OBJECTIFS!I$9:I$39,OBJECTIFS!$A$9:$A$39,$D137,OBJECTIFS!$C$9:$C$39,$F137))</f>
        <v/>
      </c>
      <c r="AB137" s="90" t="str">
        <f>IF(OR(AND($D137=OBJECTIFS!$B$6,OBJECTIFS!I$8="dmt"),AND($D137=OBJECTIFS!$B$13,OBJECTIFS!$I$15="dmt"),AND($D137=OBJECTIFS!$B$20,OBJECTIFS!$I$22="dmt"),AND($D137=OBJECTIFS!$B$27,OBJECTIFS!$I$29="dmt"),AND($D137=OBJECTIFS!$B$34,OBJECTIFS!$I$36="dmt"),AND($D137=OBJECTIFS!$B$6,OBJECTIFS!$I$8="taux de chute"),AND($D137=OBJECTIFS!$B$13,OBJECTIFS!$I$15="taux de chute"),AND($D137=OBJECTIFS!$B$20,OBJECTIFS!$I$22="taux de chute"),AND($D137=OBJECTIFS!$B$27,OBJECTIFS!$I$29="taux de chute"),AND($D137=OBJECTIFS!$B$34,OBJECTIFS!$I$36="taux de chute")),IFERROR(AA137/Z137,""),IFERROR(Z137/AA137,""))</f>
        <v/>
      </c>
      <c r="AC137" s="95">
        <f>IFERROR(IF(OR(Z137="",AA137="",AB137=""),0,IF(AB137&lt;OBJECTIFS!$E$56,0,IF(AB137&lt;OBJECTIFS!$G$56,AC$8*OBJECTIFS!$F$60,IF(AB137&lt;OBJECTIFS!$I$56,AC$8*OBJECTIFS!$H$60,AC$8)))),0)</f>
        <v>0</v>
      </c>
      <c r="AD137" s="186"/>
      <c r="AE137" s="187"/>
      <c r="AF137" s="96">
        <f t="shared" ca="1" si="2"/>
        <v>0</v>
      </c>
      <c r="AG137" s="63"/>
      <c r="AH137" s="186"/>
      <c r="AI137" s="24"/>
      <c r="AJ137" s="24"/>
      <c r="AK137" s="24"/>
      <c r="AL137" s="24"/>
      <c r="AM137" s="79">
        <f t="shared" si="3"/>
        <v>0</v>
      </c>
      <c r="AN137" s="79">
        <v>22</v>
      </c>
      <c r="AO137" s="80">
        <f t="shared" si="4"/>
        <v>0</v>
      </c>
      <c r="AP137" s="81" t="str">
        <f t="shared" ca="1" si="5"/>
        <v/>
      </c>
      <c r="AQ137" s="82"/>
      <c r="AR137" s="97">
        <f>IFERROR(VLOOKUP(B137,OBJECTIFS!$C$76:$E$137,2,FALSE),0)</f>
        <v>0</v>
      </c>
      <c r="AS137" s="98">
        <f>IFERROR(VLOOKUP(B137,OBJECTIFS!$H$76:$J$137,2,FALSE),0)</f>
        <v>0</v>
      </c>
      <c r="AT137" s="98">
        <f>IFERROR(VLOOKUP(B137,OBJECTIFS!$C$142:$E$203,2,FALSE),0)</f>
        <v>0</v>
      </c>
      <c r="AU137" s="98">
        <f>IFERROR(VLOOKUP(B137,OBJECTIFS!$H$142:$J$203,2,FALSE),0)</f>
        <v>0</v>
      </c>
      <c r="AV137" s="98">
        <f>IFERROR(VLOOKUP(B137,OBJECTIFS!$F$208:$H$269,3,FALSE),0)</f>
        <v>0</v>
      </c>
      <c r="AW137" s="81">
        <f t="shared" si="6"/>
        <v>0</v>
      </c>
      <c r="AX137" s="82"/>
      <c r="AY137" s="99" t="str">
        <f t="shared" ca="1" si="7"/>
        <v/>
      </c>
      <c r="AZ137" s="63"/>
      <c r="BA137" s="100">
        <f t="shared" ca="1" si="8"/>
        <v>0</v>
      </c>
      <c r="BB137" s="64" t="str">
        <f t="shared" ca="1" si="9"/>
        <v/>
      </c>
      <c r="BC137" s="101" t="str">
        <f t="shared" ca="1" si="10"/>
        <v/>
      </c>
    </row>
    <row r="138" spans="1:55" x14ac:dyDescent="0.2">
      <c r="A138" s="21"/>
      <c r="B138" s="22"/>
      <c r="C138" s="22"/>
      <c r="D138" s="23"/>
      <c r="E138" s="24"/>
      <c r="F138" s="34"/>
      <c r="H138" s="89" t="str">
        <f>IF(OR(D138="",F138="",A138=""),"",IF(E138="oui",0,IF(D138=OBJECTIFS!$C$45,VLOOKUP(F138,OBJECTIFS!$C$9:$D$11,2,FALSE),IF(D138=OBJECTIFS!$C$46,VLOOKUP(F138,OBJECTIFS!$C$16:$D$18,2,FALSE),IF(D138=OBJECTIFS!$C$47,VLOOKUP(F138,OBJECTIFS!$C$23:$D$25,2,FALSE),IF(D138=OBJECTIFS!$C$48,VLOOKUP(F138,OBJECTIFS!$C$30:$D$32,2,FALSE),IF(D138=OBJECTIFS!$C$49,VLOOKUP(F138,OBJECTIFS!$C$37:$D$39,2,FALSE))))))))</f>
        <v/>
      </c>
      <c r="J138" s="25"/>
      <c r="K138" s="90" t="str">
        <f>IF(OR($A138="",$D138="",J138=""),"",SUMIFS(OBJECTIFS!E$9:E$39,OBJECTIFS!$A$9:$A$39,$D138,OBJECTIFS!$C$9:$C$39,$F138))</f>
        <v/>
      </c>
      <c r="L138" s="90" t="str">
        <f>IF(OR(AND($D138=OBJECTIFS!$B$6,OBJECTIFS!E$8="dmt"),AND($D138=OBJECTIFS!$B$13,OBJECTIFS!$E$15="dmt"),AND($D138=OBJECTIFS!$B$20,OBJECTIFS!$E$22="dmt"),AND($D138=OBJECTIFS!$B$27,OBJECTIFS!$E$29="dmt"),AND($D138=OBJECTIFS!$B$34,OBJECTIFS!$E$36="dmt"),AND($D138=OBJECTIFS!$B$6,OBJECTIFS!$E$8="taux de chute"),AND($D138=OBJECTIFS!$B$13,OBJECTIFS!$E$15="taux de chute"),AND($D138=OBJECTIFS!$B$20,OBJECTIFS!$E$22="taux de chute"),AND($D138=OBJECTIFS!$B$27,OBJECTIFS!$E$29="taux de chute"),AND($D138=OBJECTIFS!$B$34,OBJECTIFS!$E$36="taux de chute")),IFERROR(K138/J138,""),IFERROR(J138/K138,""))</f>
        <v/>
      </c>
      <c r="M138" s="91">
        <f>IFERROR(IF(OR(J138="",K138="",L138=""),0,IF(L138&lt;OBJECTIFS!$E$56,0,IF(L138&lt;OBJECTIFS!$G$56,M$8*OBJECTIFS!$F$60,IF(L138&lt;OBJECTIFS!$I$56,M$8*OBJECTIFS!$H$60,M$8)))),0)</f>
        <v>0</v>
      </c>
      <c r="N138" s="161"/>
      <c r="O138" s="92" t="str">
        <f>IF(OR($A138="",$D138="",N138=""),"",SUMIFS(OBJECTIFS!F$9:F$39,OBJECTIFS!$A$9:$A$39,$D138,OBJECTIFS!$C$9:$C$39,$F138))</f>
        <v/>
      </c>
      <c r="P138" s="90" t="str">
        <f>IF(OR(AND($D138=OBJECTIFS!$B$6,OBJECTIFS!$F$8="dmt"),AND($D138=OBJECTIFS!$B$13,OBJECTIFS!$F$15="dmt"),AND($D138=OBJECTIFS!$B$20,OBJECTIFS!$F$22="dmt"),AND($D138=OBJECTIFS!$B$27,OBJECTIFS!$F$29="dmt"),AND($D138=OBJECTIFS!$B$34,OBJECTIFS!$F$36="dmt"),AND($D138=OBJECTIFS!$B$6,OBJECTIFS!$F$8="taux de chute"),AND($D138=OBJECTIFS!$B$13,OBJECTIFS!$F$15="taux de chute"),AND($D138=OBJECTIFS!$B$20,OBJECTIFS!$F$22="taux de chute"),AND($D138=OBJECTIFS!$B$27,OBJECTIFS!$F$29="taux de chute"),AND($D138=OBJECTIFS!$B$34,OBJECTIFS!$F$36="taux de chute")),IFERROR(O138/N138,""),IFERROR(N138/O138,""))</f>
        <v/>
      </c>
      <c r="Q138" s="91">
        <f>IFERROR(IF(OR(N138="",O138="",P138=""),0,IF(P138&lt;OBJECTIFS!$E$56,0,IF(P138&lt;OBJECTIFS!$G$56,Q$8*OBJECTIFS!$F$60,IF(P138&lt;OBJECTIFS!$I$56,Q$8*OBJECTIFS!$H$60,Q$8)))),0)</f>
        <v>0</v>
      </c>
      <c r="R138" s="164"/>
      <c r="S138" s="93" t="str">
        <f>IF(OR($A138="",$D138="",R138=""),"",SUMIFS(OBJECTIFS!G$9:G$39,OBJECTIFS!$A$9:$A$39,$D138,OBJECTIFS!$C$9:$C$39,$F138))</f>
        <v/>
      </c>
      <c r="T138" s="90" t="str">
        <f>IF(OR(AND($D138=OBJECTIFS!$B$6,OBJECTIFS!G$8="dmt"),AND($D138=OBJECTIFS!$B$13,OBJECTIFS!$G$15="dmt"),AND($D138=OBJECTIFS!$B$20,OBJECTIFS!$G$22="dmt"),AND($D138=OBJECTIFS!$B$27,OBJECTIFS!$G$29="dmt"),AND($D138=OBJECTIFS!$B$34,OBJECTIFS!$G$36="dmt"),AND($D138=OBJECTIFS!$B$6,OBJECTIFS!$G$8="taux de chute"),AND($D138=OBJECTIFS!$B$13,OBJECTIFS!$G$15="taux de chute"),AND($D138=OBJECTIFS!$B$20,OBJECTIFS!$G$22="taux de chute"),AND($D138=OBJECTIFS!$B$27,OBJECTIFS!$G$29="taux de chute"),AND($D138=OBJECTIFS!$B$34,OBJECTIFS!$G$36="taux de chute")),IFERROR(S138/R138,""),IFERROR(R138/S138,""))</f>
        <v/>
      </c>
      <c r="U138" s="94">
        <f>IFERROR(IF(OR(R138="",S138="",T138=""),0,IF(T138&lt;OBJECTIFS!$E$56,0,IF(T138&lt;OBJECTIFS!$G$56,U$8*OBJECTIFS!$F$60,IF(T138&lt;OBJECTIFS!$I$56,U$8*OBJECTIFS!$H$60,U$8)))),0)</f>
        <v>0</v>
      </c>
      <c r="V138" s="25"/>
      <c r="W138" s="90" t="str">
        <f>IF(OR($A138="",$D138="",V138=""),"",SUMIFS(OBJECTIFS!H$9:H$39,OBJECTIFS!$A$9:$A$39,$D138,OBJECTIFS!$C$9:$C$39,$F138))</f>
        <v/>
      </c>
      <c r="X138" s="90" t="str">
        <f>IF(OR(AND($D138=OBJECTIFS!$B$6,OBJECTIFS!H$8="dmt"),AND($D138=OBJECTIFS!$B$13,OBJECTIFS!$H$15="dmt"),AND($D138=OBJECTIFS!$B$20,OBJECTIFS!$H$22="dmt"),AND($D138=OBJECTIFS!$B$27,OBJECTIFS!$H$29="dmt"),AND($D138=OBJECTIFS!$B$34,OBJECTIFS!$H$36="dmt"),AND($D138=OBJECTIFS!$B$6,OBJECTIFS!$H$8="taux de chute"),AND($D138=OBJECTIFS!$B$13,OBJECTIFS!$H$15="taux de chute"),AND($D138=OBJECTIFS!$B$20,OBJECTIFS!$H$22="taux de chute"),AND($D138=OBJECTIFS!$B$27,OBJECTIFS!$H$29="taux de chute"),AND($D138=OBJECTIFS!$B$34,OBJECTIFS!$H$36="taux de chute")),IFERROR(W138/V138,""),IFERROR(V138/W138,""))</f>
        <v/>
      </c>
      <c r="Y138" s="91">
        <f>IFERROR(IF(OR(V138="",W138="",X138=""),0,IF(X138&lt;OBJECTIFS!$E$56,0,IF(X138&lt;OBJECTIFS!$G$56,Y$8*OBJECTIFS!$F$60,IF(X138&lt;OBJECTIFS!$I$56,Y$8*OBJECTIFS!$H$60,Y$8)))),0)</f>
        <v>0</v>
      </c>
      <c r="Z138" s="167"/>
      <c r="AA138" s="90" t="str">
        <f>IF(OR($A138="",$D138="",Z138=""),"",SUMIFS(OBJECTIFS!I$9:I$39,OBJECTIFS!$A$9:$A$39,$D138,OBJECTIFS!$C$9:$C$39,$F138))</f>
        <v/>
      </c>
      <c r="AB138" s="90" t="str">
        <f>IF(OR(AND($D138=OBJECTIFS!$B$6,OBJECTIFS!I$8="dmt"),AND($D138=OBJECTIFS!$B$13,OBJECTIFS!$I$15="dmt"),AND($D138=OBJECTIFS!$B$20,OBJECTIFS!$I$22="dmt"),AND($D138=OBJECTIFS!$B$27,OBJECTIFS!$I$29="dmt"),AND($D138=OBJECTIFS!$B$34,OBJECTIFS!$I$36="dmt"),AND($D138=OBJECTIFS!$B$6,OBJECTIFS!$I$8="taux de chute"),AND($D138=OBJECTIFS!$B$13,OBJECTIFS!$I$15="taux de chute"),AND($D138=OBJECTIFS!$B$20,OBJECTIFS!$I$22="taux de chute"),AND($D138=OBJECTIFS!$B$27,OBJECTIFS!$I$29="taux de chute"),AND($D138=OBJECTIFS!$B$34,OBJECTIFS!$I$36="taux de chute")),IFERROR(AA138/Z138,""),IFERROR(Z138/AA138,""))</f>
        <v/>
      </c>
      <c r="AC138" s="95">
        <f>IFERROR(IF(OR(Z138="",AA138="",AB138=""),0,IF(AB138&lt;OBJECTIFS!$E$56,0,IF(AB138&lt;OBJECTIFS!$G$56,AC$8*OBJECTIFS!$F$60,IF(AB138&lt;OBJECTIFS!$I$56,AC$8*OBJECTIFS!$H$60,AC$8)))),0)</f>
        <v>0</v>
      </c>
      <c r="AD138" s="186"/>
      <c r="AE138" s="187"/>
      <c r="AF138" s="96">
        <f t="shared" ca="1" si="2"/>
        <v>0</v>
      </c>
      <c r="AG138" s="63"/>
      <c r="AH138" s="186"/>
      <c r="AI138" s="24"/>
      <c r="AJ138" s="24"/>
      <c r="AK138" s="24"/>
      <c r="AL138" s="24"/>
      <c r="AM138" s="79">
        <f t="shared" si="3"/>
        <v>0</v>
      </c>
      <c r="AN138" s="79">
        <v>22</v>
      </c>
      <c r="AO138" s="80">
        <f t="shared" si="4"/>
        <v>0</v>
      </c>
      <c r="AP138" s="81" t="str">
        <f t="shared" ca="1" si="5"/>
        <v/>
      </c>
      <c r="AQ138" s="82"/>
      <c r="AR138" s="97">
        <f>IFERROR(VLOOKUP(B138,OBJECTIFS!$C$76:$E$137,2,FALSE),0)</f>
        <v>0</v>
      </c>
      <c r="AS138" s="98">
        <f>IFERROR(VLOOKUP(B138,OBJECTIFS!$H$76:$J$137,2,FALSE),0)</f>
        <v>0</v>
      </c>
      <c r="AT138" s="98">
        <f>IFERROR(VLOOKUP(B138,OBJECTIFS!$C$142:$E$203,2,FALSE),0)</f>
        <v>0</v>
      </c>
      <c r="AU138" s="98">
        <f>IFERROR(VLOOKUP(B138,OBJECTIFS!$H$142:$J$203,2,FALSE),0)</f>
        <v>0</v>
      </c>
      <c r="AV138" s="98">
        <f>IFERROR(VLOOKUP(B138,OBJECTIFS!$F$208:$H$269,3,FALSE),0)</f>
        <v>0</v>
      </c>
      <c r="AW138" s="81">
        <f t="shared" si="6"/>
        <v>0</v>
      </c>
      <c r="AX138" s="82"/>
      <c r="AY138" s="99" t="str">
        <f t="shared" ca="1" si="7"/>
        <v/>
      </c>
      <c r="AZ138" s="63"/>
      <c r="BA138" s="100">
        <f t="shared" ca="1" si="8"/>
        <v>0</v>
      </c>
      <c r="BB138" s="64" t="str">
        <f t="shared" ca="1" si="9"/>
        <v/>
      </c>
      <c r="BC138" s="101" t="str">
        <f t="shared" ca="1" si="10"/>
        <v/>
      </c>
    </row>
    <row r="139" spans="1:55" x14ac:dyDescent="0.2">
      <c r="A139" s="21"/>
      <c r="B139" s="22"/>
      <c r="C139" s="22"/>
      <c r="D139" s="23"/>
      <c r="E139" s="24"/>
      <c r="F139" s="34"/>
      <c r="H139" s="89" t="str">
        <f>IF(OR(D139="",F139="",A139=""),"",IF(E139="oui",0,IF(D139=OBJECTIFS!$C$45,VLOOKUP(F139,OBJECTIFS!$C$9:$D$11,2,FALSE),IF(D139=OBJECTIFS!$C$46,VLOOKUP(F139,OBJECTIFS!$C$16:$D$18,2,FALSE),IF(D139=OBJECTIFS!$C$47,VLOOKUP(F139,OBJECTIFS!$C$23:$D$25,2,FALSE),IF(D139=OBJECTIFS!$C$48,VLOOKUP(F139,OBJECTIFS!$C$30:$D$32,2,FALSE),IF(D139=OBJECTIFS!$C$49,VLOOKUP(F139,OBJECTIFS!$C$37:$D$39,2,FALSE))))))))</f>
        <v/>
      </c>
      <c r="J139" s="25"/>
      <c r="K139" s="90" t="str">
        <f>IF(OR($A139="",$D139="",J139=""),"",SUMIFS(OBJECTIFS!E$9:E$39,OBJECTIFS!$A$9:$A$39,$D139,OBJECTIFS!$C$9:$C$39,$F139))</f>
        <v/>
      </c>
      <c r="L139" s="90" t="str">
        <f>IF(OR(AND($D139=OBJECTIFS!$B$6,OBJECTIFS!E$8="dmt"),AND($D139=OBJECTIFS!$B$13,OBJECTIFS!$E$15="dmt"),AND($D139=OBJECTIFS!$B$20,OBJECTIFS!$E$22="dmt"),AND($D139=OBJECTIFS!$B$27,OBJECTIFS!$E$29="dmt"),AND($D139=OBJECTIFS!$B$34,OBJECTIFS!$E$36="dmt"),AND($D139=OBJECTIFS!$B$6,OBJECTIFS!$E$8="taux de chute"),AND($D139=OBJECTIFS!$B$13,OBJECTIFS!$E$15="taux de chute"),AND($D139=OBJECTIFS!$B$20,OBJECTIFS!$E$22="taux de chute"),AND($D139=OBJECTIFS!$B$27,OBJECTIFS!$E$29="taux de chute"),AND($D139=OBJECTIFS!$B$34,OBJECTIFS!$E$36="taux de chute")),IFERROR(K139/J139,""),IFERROR(J139/K139,""))</f>
        <v/>
      </c>
      <c r="M139" s="91">
        <f>IFERROR(IF(OR(J139="",K139="",L139=""),0,IF(L139&lt;OBJECTIFS!$E$56,0,IF(L139&lt;OBJECTIFS!$G$56,M$8*OBJECTIFS!$F$60,IF(L139&lt;OBJECTIFS!$I$56,M$8*OBJECTIFS!$H$60,M$8)))),0)</f>
        <v>0</v>
      </c>
      <c r="N139" s="161"/>
      <c r="O139" s="92" t="str">
        <f>IF(OR($A139="",$D139="",N139=""),"",SUMIFS(OBJECTIFS!F$9:F$39,OBJECTIFS!$A$9:$A$39,$D139,OBJECTIFS!$C$9:$C$39,$F139))</f>
        <v/>
      </c>
      <c r="P139" s="90" t="str">
        <f>IF(OR(AND($D139=OBJECTIFS!$B$6,OBJECTIFS!$F$8="dmt"),AND($D139=OBJECTIFS!$B$13,OBJECTIFS!$F$15="dmt"),AND($D139=OBJECTIFS!$B$20,OBJECTIFS!$F$22="dmt"),AND($D139=OBJECTIFS!$B$27,OBJECTIFS!$F$29="dmt"),AND($D139=OBJECTIFS!$B$34,OBJECTIFS!$F$36="dmt"),AND($D139=OBJECTIFS!$B$6,OBJECTIFS!$F$8="taux de chute"),AND($D139=OBJECTIFS!$B$13,OBJECTIFS!$F$15="taux de chute"),AND($D139=OBJECTIFS!$B$20,OBJECTIFS!$F$22="taux de chute"),AND($D139=OBJECTIFS!$B$27,OBJECTIFS!$F$29="taux de chute"),AND($D139=OBJECTIFS!$B$34,OBJECTIFS!$F$36="taux de chute")),IFERROR(O139/N139,""),IFERROR(N139/O139,""))</f>
        <v/>
      </c>
      <c r="Q139" s="91">
        <f>IFERROR(IF(OR(N139="",O139="",P139=""),0,IF(P139&lt;OBJECTIFS!$E$56,0,IF(P139&lt;OBJECTIFS!$G$56,Q$8*OBJECTIFS!$F$60,IF(P139&lt;OBJECTIFS!$I$56,Q$8*OBJECTIFS!$H$60,Q$8)))),0)</f>
        <v>0</v>
      </c>
      <c r="R139" s="164"/>
      <c r="S139" s="93" t="str">
        <f>IF(OR($A139="",$D139="",R139=""),"",SUMIFS(OBJECTIFS!G$9:G$39,OBJECTIFS!$A$9:$A$39,$D139,OBJECTIFS!$C$9:$C$39,$F139))</f>
        <v/>
      </c>
      <c r="T139" s="90" t="str">
        <f>IF(OR(AND($D139=OBJECTIFS!$B$6,OBJECTIFS!G$8="dmt"),AND($D139=OBJECTIFS!$B$13,OBJECTIFS!$G$15="dmt"),AND($D139=OBJECTIFS!$B$20,OBJECTIFS!$G$22="dmt"),AND($D139=OBJECTIFS!$B$27,OBJECTIFS!$G$29="dmt"),AND($D139=OBJECTIFS!$B$34,OBJECTIFS!$G$36="dmt"),AND($D139=OBJECTIFS!$B$6,OBJECTIFS!$G$8="taux de chute"),AND($D139=OBJECTIFS!$B$13,OBJECTIFS!$G$15="taux de chute"),AND($D139=OBJECTIFS!$B$20,OBJECTIFS!$G$22="taux de chute"),AND($D139=OBJECTIFS!$B$27,OBJECTIFS!$G$29="taux de chute"),AND($D139=OBJECTIFS!$B$34,OBJECTIFS!$G$36="taux de chute")),IFERROR(S139/R139,""),IFERROR(R139/S139,""))</f>
        <v/>
      </c>
      <c r="U139" s="94">
        <f>IFERROR(IF(OR(R139="",S139="",T139=""),0,IF(T139&lt;OBJECTIFS!$E$56,0,IF(T139&lt;OBJECTIFS!$G$56,U$8*OBJECTIFS!$F$60,IF(T139&lt;OBJECTIFS!$I$56,U$8*OBJECTIFS!$H$60,U$8)))),0)</f>
        <v>0</v>
      </c>
      <c r="V139" s="25"/>
      <c r="W139" s="90" t="str">
        <f>IF(OR($A139="",$D139="",V139=""),"",SUMIFS(OBJECTIFS!H$9:H$39,OBJECTIFS!$A$9:$A$39,$D139,OBJECTIFS!$C$9:$C$39,$F139))</f>
        <v/>
      </c>
      <c r="X139" s="90" t="str">
        <f>IF(OR(AND($D139=OBJECTIFS!$B$6,OBJECTIFS!H$8="dmt"),AND($D139=OBJECTIFS!$B$13,OBJECTIFS!$H$15="dmt"),AND($D139=OBJECTIFS!$B$20,OBJECTIFS!$H$22="dmt"),AND($D139=OBJECTIFS!$B$27,OBJECTIFS!$H$29="dmt"),AND($D139=OBJECTIFS!$B$34,OBJECTIFS!$H$36="dmt"),AND($D139=OBJECTIFS!$B$6,OBJECTIFS!$H$8="taux de chute"),AND($D139=OBJECTIFS!$B$13,OBJECTIFS!$H$15="taux de chute"),AND($D139=OBJECTIFS!$B$20,OBJECTIFS!$H$22="taux de chute"),AND($D139=OBJECTIFS!$B$27,OBJECTIFS!$H$29="taux de chute"),AND($D139=OBJECTIFS!$B$34,OBJECTIFS!$H$36="taux de chute")),IFERROR(W139/V139,""),IFERROR(V139/W139,""))</f>
        <v/>
      </c>
      <c r="Y139" s="91">
        <f>IFERROR(IF(OR(V139="",W139="",X139=""),0,IF(X139&lt;OBJECTIFS!$E$56,0,IF(X139&lt;OBJECTIFS!$G$56,Y$8*OBJECTIFS!$F$60,IF(X139&lt;OBJECTIFS!$I$56,Y$8*OBJECTIFS!$H$60,Y$8)))),0)</f>
        <v>0</v>
      </c>
      <c r="Z139" s="167"/>
      <c r="AA139" s="90" t="str">
        <f>IF(OR($A139="",$D139="",Z139=""),"",SUMIFS(OBJECTIFS!I$9:I$39,OBJECTIFS!$A$9:$A$39,$D139,OBJECTIFS!$C$9:$C$39,$F139))</f>
        <v/>
      </c>
      <c r="AB139" s="90" t="str">
        <f>IF(OR(AND($D139=OBJECTIFS!$B$6,OBJECTIFS!I$8="dmt"),AND($D139=OBJECTIFS!$B$13,OBJECTIFS!$I$15="dmt"),AND($D139=OBJECTIFS!$B$20,OBJECTIFS!$I$22="dmt"),AND($D139=OBJECTIFS!$B$27,OBJECTIFS!$I$29="dmt"),AND($D139=OBJECTIFS!$B$34,OBJECTIFS!$I$36="dmt"),AND($D139=OBJECTIFS!$B$6,OBJECTIFS!$I$8="taux de chute"),AND($D139=OBJECTIFS!$B$13,OBJECTIFS!$I$15="taux de chute"),AND($D139=OBJECTIFS!$B$20,OBJECTIFS!$I$22="taux de chute"),AND($D139=OBJECTIFS!$B$27,OBJECTIFS!$I$29="taux de chute"),AND($D139=OBJECTIFS!$B$34,OBJECTIFS!$I$36="taux de chute")),IFERROR(AA139/Z139,""),IFERROR(Z139/AA139,""))</f>
        <v/>
      </c>
      <c r="AC139" s="95">
        <f>IFERROR(IF(OR(Z139="",AA139="",AB139=""),0,IF(AB139&lt;OBJECTIFS!$E$56,0,IF(AB139&lt;OBJECTIFS!$G$56,AC$8*OBJECTIFS!$F$60,IF(AB139&lt;OBJECTIFS!$I$56,AC$8*OBJECTIFS!$H$60,AC$8)))),0)</f>
        <v>0</v>
      </c>
      <c r="AD139" s="186"/>
      <c r="AE139" s="187"/>
      <c r="AF139" s="96">
        <f t="shared" ca="1" si="2"/>
        <v>0</v>
      </c>
      <c r="AG139" s="63"/>
      <c r="AH139" s="186"/>
      <c r="AI139" s="24"/>
      <c r="AJ139" s="24"/>
      <c r="AK139" s="24"/>
      <c r="AL139" s="24"/>
      <c r="AM139" s="79">
        <f t="shared" si="3"/>
        <v>0</v>
      </c>
      <c r="AN139" s="79">
        <v>22</v>
      </c>
      <c r="AO139" s="80">
        <f t="shared" si="4"/>
        <v>0</v>
      </c>
      <c r="AP139" s="81" t="str">
        <f t="shared" ca="1" si="5"/>
        <v/>
      </c>
      <c r="AQ139" s="82"/>
      <c r="AR139" s="97">
        <f>IFERROR(VLOOKUP(B139,OBJECTIFS!$C$76:$E$137,2,FALSE),0)</f>
        <v>0</v>
      </c>
      <c r="AS139" s="98">
        <f>IFERROR(VLOOKUP(B139,OBJECTIFS!$H$76:$J$137,2,FALSE),0)</f>
        <v>0</v>
      </c>
      <c r="AT139" s="98">
        <f>IFERROR(VLOOKUP(B139,OBJECTIFS!$C$142:$E$203,2,FALSE),0)</f>
        <v>0</v>
      </c>
      <c r="AU139" s="98">
        <f>IFERROR(VLOOKUP(B139,OBJECTIFS!$H$142:$J$203,2,FALSE),0)</f>
        <v>0</v>
      </c>
      <c r="AV139" s="98">
        <f>IFERROR(VLOOKUP(B139,OBJECTIFS!$F$208:$H$269,3,FALSE),0)</f>
        <v>0</v>
      </c>
      <c r="AW139" s="81">
        <f t="shared" si="6"/>
        <v>0</v>
      </c>
      <c r="AX139" s="82"/>
      <c r="AY139" s="99" t="str">
        <f t="shared" ca="1" si="7"/>
        <v/>
      </c>
      <c r="AZ139" s="63"/>
      <c r="BA139" s="100">
        <f t="shared" ca="1" si="8"/>
        <v>0</v>
      </c>
      <c r="BB139" s="64" t="str">
        <f t="shared" ca="1" si="9"/>
        <v/>
      </c>
      <c r="BC139" s="101" t="str">
        <f t="shared" ca="1" si="10"/>
        <v/>
      </c>
    </row>
    <row r="140" spans="1:55" x14ac:dyDescent="0.2">
      <c r="A140" s="21"/>
      <c r="B140" s="22"/>
      <c r="C140" s="22"/>
      <c r="D140" s="23"/>
      <c r="E140" s="24"/>
      <c r="F140" s="34"/>
      <c r="H140" s="89" t="str">
        <f>IF(OR(D140="",F140="",A140=""),"",IF(E140="oui",0,IF(D140=OBJECTIFS!$C$45,VLOOKUP(F140,OBJECTIFS!$C$9:$D$11,2,FALSE),IF(D140=OBJECTIFS!$C$46,VLOOKUP(F140,OBJECTIFS!$C$16:$D$18,2,FALSE),IF(D140=OBJECTIFS!$C$47,VLOOKUP(F140,OBJECTIFS!$C$23:$D$25,2,FALSE),IF(D140=OBJECTIFS!$C$48,VLOOKUP(F140,OBJECTIFS!$C$30:$D$32,2,FALSE),IF(D140=OBJECTIFS!$C$49,VLOOKUP(F140,OBJECTIFS!$C$37:$D$39,2,FALSE))))))))</f>
        <v/>
      </c>
      <c r="J140" s="25"/>
      <c r="K140" s="90" t="str">
        <f>IF(OR($A140="",$D140="",J140=""),"",SUMIFS(OBJECTIFS!E$9:E$39,OBJECTIFS!$A$9:$A$39,$D140,OBJECTIFS!$C$9:$C$39,$F140))</f>
        <v/>
      </c>
      <c r="L140" s="90" t="str">
        <f>IF(OR(AND($D140=OBJECTIFS!$B$6,OBJECTIFS!E$8="dmt"),AND($D140=OBJECTIFS!$B$13,OBJECTIFS!$E$15="dmt"),AND($D140=OBJECTIFS!$B$20,OBJECTIFS!$E$22="dmt"),AND($D140=OBJECTIFS!$B$27,OBJECTIFS!$E$29="dmt"),AND($D140=OBJECTIFS!$B$34,OBJECTIFS!$E$36="dmt"),AND($D140=OBJECTIFS!$B$6,OBJECTIFS!$E$8="taux de chute"),AND($D140=OBJECTIFS!$B$13,OBJECTIFS!$E$15="taux de chute"),AND($D140=OBJECTIFS!$B$20,OBJECTIFS!$E$22="taux de chute"),AND($D140=OBJECTIFS!$B$27,OBJECTIFS!$E$29="taux de chute"),AND($D140=OBJECTIFS!$B$34,OBJECTIFS!$E$36="taux de chute")),IFERROR(K140/J140,""),IFERROR(J140/K140,""))</f>
        <v/>
      </c>
      <c r="M140" s="91">
        <f>IFERROR(IF(OR(J140="",K140="",L140=""),0,IF(L140&lt;OBJECTIFS!$E$56,0,IF(L140&lt;OBJECTIFS!$G$56,M$8*OBJECTIFS!$F$60,IF(L140&lt;OBJECTIFS!$I$56,M$8*OBJECTIFS!$H$60,M$8)))),0)</f>
        <v>0</v>
      </c>
      <c r="N140" s="161"/>
      <c r="O140" s="92" t="str">
        <f>IF(OR($A140="",$D140="",N140=""),"",SUMIFS(OBJECTIFS!F$9:F$39,OBJECTIFS!$A$9:$A$39,$D140,OBJECTIFS!$C$9:$C$39,$F140))</f>
        <v/>
      </c>
      <c r="P140" s="90" t="str">
        <f>IF(OR(AND($D140=OBJECTIFS!$B$6,OBJECTIFS!$F$8="dmt"),AND($D140=OBJECTIFS!$B$13,OBJECTIFS!$F$15="dmt"),AND($D140=OBJECTIFS!$B$20,OBJECTIFS!$F$22="dmt"),AND($D140=OBJECTIFS!$B$27,OBJECTIFS!$F$29="dmt"),AND($D140=OBJECTIFS!$B$34,OBJECTIFS!$F$36="dmt"),AND($D140=OBJECTIFS!$B$6,OBJECTIFS!$F$8="taux de chute"),AND($D140=OBJECTIFS!$B$13,OBJECTIFS!$F$15="taux de chute"),AND($D140=OBJECTIFS!$B$20,OBJECTIFS!$F$22="taux de chute"),AND($D140=OBJECTIFS!$B$27,OBJECTIFS!$F$29="taux de chute"),AND($D140=OBJECTIFS!$B$34,OBJECTIFS!$F$36="taux de chute")),IFERROR(O140/N140,""),IFERROR(N140/O140,""))</f>
        <v/>
      </c>
      <c r="Q140" s="91">
        <f>IFERROR(IF(OR(N140="",O140="",P140=""),0,IF(P140&lt;OBJECTIFS!$E$56,0,IF(P140&lt;OBJECTIFS!$G$56,Q$8*OBJECTIFS!$F$60,IF(P140&lt;OBJECTIFS!$I$56,Q$8*OBJECTIFS!$H$60,Q$8)))),0)</f>
        <v>0</v>
      </c>
      <c r="R140" s="164"/>
      <c r="S140" s="93" t="str">
        <f>IF(OR($A140="",$D140="",R140=""),"",SUMIFS(OBJECTIFS!G$9:G$39,OBJECTIFS!$A$9:$A$39,$D140,OBJECTIFS!$C$9:$C$39,$F140))</f>
        <v/>
      </c>
      <c r="T140" s="90" t="str">
        <f>IF(OR(AND($D140=OBJECTIFS!$B$6,OBJECTIFS!G$8="dmt"),AND($D140=OBJECTIFS!$B$13,OBJECTIFS!$G$15="dmt"),AND($D140=OBJECTIFS!$B$20,OBJECTIFS!$G$22="dmt"),AND($D140=OBJECTIFS!$B$27,OBJECTIFS!$G$29="dmt"),AND($D140=OBJECTIFS!$B$34,OBJECTIFS!$G$36="dmt"),AND($D140=OBJECTIFS!$B$6,OBJECTIFS!$G$8="taux de chute"),AND($D140=OBJECTIFS!$B$13,OBJECTIFS!$G$15="taux de chute"),AND($D140=OBJECTIFS!$B$20,OBJECTIFS!$G$22="taux de chute"),AND($D140=OBJECTIFS!$B$27,OBJECTIFS!$G$29="taux de chute"),AND($D140=OBJECTIFS!$B$34,OBJECTIFS!$G$36="taux de chute")),IFERROR(S140/R140,""),IFERROR(R140/S140,""))</f>
        <v/>
      </c>
      <c r="U140" s="94">
        <f>IFERROR(IF(OR(R140="",S140="",T140=""),0,IF(T140&lt;OBJECTIFS!$E$56,0,IF(T140&lt;OBJECTIFS!$G$56,U$8*OBJECTIFS!$F$60,IF(T140&lt;OBJECTIFS!$I$56,U$8*OBJECTIFS!$H$60,U$8)))),0)</f>
        <v>0</v>
      </c>
      <c r="V140" s="25"/>
      <c r="W140" s="90" t="str">
        <f>IF(OR($A140="",$D140="",V140=""),"",SUMIFS(OBJECTIFS!H$9:H$39,OBJECTIFS!$A$9:$A$39,$D140,OBJECTIFS!$C$9:$C$39,$F140))</f>
        <v/>
      </c>
      <c r="X140" s="90" t="str">
        <f>IF(OR(AND($D140=OBJECTIFS!$B$6,OBJECTIFS!H$8="dmt"),AND($D140=OBJECTIFS!$B$13,OBJECTIFS!$H$15="dmt"),AND($D140=OBJECTIFS!$B$20,OBJECTIFS!$H$22="dmt"),AND($D140=OBJECTIFS!$B$27,OBJECTIFS!$H$29="dmt"),AND($D140=OBJECTIFS!$B$34,OBJECTIFS!$H$36="dmt"),AND($D140=OBJECTIFS!$B$6,OBJECTIFS!$H$8="taux de chute"),AND($D140=OBJECTIFS!$B$13,OBJECTIFS!$H$15="taux de chute"),AND($D140=OBJECTIFS!$B$20,OBJECTIFS!$H$22="taux de chute"),AND($D140=OBJECTIFS!$B$27,OBJECTIFS!$H$29="taux de chute"),AND($D140=OBJECTIFS!$B$34,OBJECTIFS!$H$36="taux de chute")),IFERROR(W140/V140,""),IFERROR(V140/W140,""))</f>
        <v/>
      </c>
      <c r="Y140" s="91">
        <f>IFERROR(IF(OR(V140="",W140="",X140=""),0,IF(X140&lt;OBJECTIFS!$E$56,0,IF(X140&lt;OBJECTIFS!$G$56,Y$8*OBJECTIFS!$F$60,IF(X140&lt;OBJECTIFS!$I$56,Y$8*OBJECTIFS!$H$60,Y$8)))),0)</f>
        <v>0</v>
      </c>
      <c r="Z140" s="167"/>
      <c r="AA140" s="90" t="str">
        <f>IF(OR($A140="",$D140="",Z140=""),"",SUMIFS(OBJECTIFS!I$9:I$39,OBJECTIFS!$A$9:$A$39,$D140,OBJECTIFS!$C$9:$C$39,$F140))</f>
        <v/>
      </c>
      <c r="AB140" s="90" t="str">
        <f>IF(OR(AND($D140=OBJECTIFS!$B$6,OBJECTIFS!I$8="dmt"),AND($D140=OBJECTIFS!$B$13,OBJECTIFS!$I$15="dmt"),AND($D140=OBJECTIFS!$B$20,OBJECTIFS!$I$22="dmt"),AND($D140=OBJECTIFS!$B$27,OBJECTIFS!$I$29="dmt"),AND($D140=OBJECTIFS!$B$34,OBJECTIFS!$I$36="dmt"),AND($D140=OBJECTIFS!$B$6,OBJECTIFS!$I$8="taux de chute"),AND($D140=OBJECTIFS!$B$13,OBJECTIFS!$I$15="taux de chute"),AND($D140=OBJECTIFS!$B$20,OBJECTIFS!$I$22="taux de chute"),AND($D140=OBJECTIFS!$B$27,OBJECTIFS!$I$29="taux de chute"),AND($D140=OBJECTIFS!$B$34,OBJECTIFS!$I$36="taux de chute")),IFERROR(AA140/Z140,""),IFERROR(Z140/AA140,""))</f>
        <v/>
      </c>
      <c r="AC140" s="95">
        <f>IFERROR(IF(OR(Z140="",AA140="",AB140=""),0,IF(AB140&lt;OBJECTIFS!$E$56,0,IF(AB140&lt;OBJECTIFS!$G$56,AC$8*OBJECTIFS!$F$60,IF(AB140&lt;OBJECTIFS!$I$56,AC$8*OBJECTIFS!$H$60,AC$8)))),0)</f>
        <v>0</v>
      </c>
      <c r="AD140" s="186"/>
      <c r="AE140" s="187"/>
      <c r="AF140" s="96">
        <f t="shared" ca="1" si="2"/>
        <v>0</v>
      </c>
      <c r="AG140" s="63"/>
      <c r="AH140" s="186"/>
      <c r="AI140" s="24"/>
      <c r="AJ140" s="24"/>
      <c r="AK140" s="24"/>
      <c r="AL140" s="24"/>
      <c r="AM140" s="79">
        <f t="shared" si="3"/>
        <v>0</v>
      </c>
      <c r="AN140" s="79">
        <v>22</v>
      </c>
      <c r="AO140" s="80">
        <f t="shared" si="4"/>
        <v>0</v>
      </c>
      <c r="AP140" s="81" t="str">
        <f t="shared" ca="1" si="5"/>
        <v/>
      </c>
      <c r="AQ140" s="82"/>
      <c r="AR140" s="97">
        <f>IFERROR(VLOOKUP(B140,OBJECTIFS!$C$76:$E$137,2,FALSE),0)</f>
        <v>0</v>
      </c>
      <c r="AS140" s="98">
        <f>IFERROR(VLOOKUP(B140,OBJECTIFS!$H$76:$J$137,2,FALSE),0)</f>
        <v>0</v>
      </c>
      <c r="AT140" s="98">
        <f>IFERROR(VLOOKUP(B140,OBJECTIFS!$C$142:$E$203,2,FALSE),0)</f>
        <v>0</v>
      </c>
      <c r="AU140" s="98">
        <f>IFERROR(VLOOKUP(B140,OBJECTIFS!$H$142:$J$203,2,FALSE),0)</f>
        <v>0</v>
      </c>
      <c r="AV140" s="98">
        <f>IFERROR(VLOOKUP(B140,OBJECTIFS!$F$208:$H$269,3,FALSE),0)</f>
        <v>0</v>
      </c>
      <c r="AW140" s="81">
        <f t="shared" si="6"/>
        <v>0</v>
      </c>
      <c r="AX140" s="82"/>
      <c r="AY140" s="99" t="str">
        <f t="shared" ca="1" si="7"/>
        <v/>
      </c>
      <c r="AZ140" s="63"/>
      <c r="BA140" s="100">
        <f t="shared" ca="1" si="8"/>
        <v>0</v>
      </c>
      <c r="BB140" s="64" t="str">
        <f t="shared" ca="1" si="9"/>
        <v/>
      </c>
      <c r="BC140" s="101" t="str">
        <f t="shared" ca="1" si="10"/>
        <v/>
      </c>
    </row>
    <row r="141" spans="1:55" x14ac:dyDescent="0.2">
      <c r="A141" s="21"/>
      <c r="B141" s="22"/>
      <c r="C141" s="22"/>
      <c r="D141" s="23"/>
      <c r="E141" s="24"/>
      <c r="F141" s="34"/>
      <c r="H141" s="89" t="str">
        <f>IF(OR(D141="",F141="",A141=""),"",IF(E141="oui",0,IF(D141=OBJECTIFS!$C$45,VLOOKUP(F141,OBJECTIFS!$C$9:$D$11,2,FALSE),IF(D141=OBJECTIFS!$C$46,VLOOKUP(F141,OBJECTIFS!$C$16:$D$18,2,FALSE),IF(D141=OBJECTIFS!$C$47,VLOOKUP(F141,OBJECTIFS!$C$23:$D$25,2,FALSE),IF(D141=OBJECTIFS!$C$48,VLOOKUP(F141,OBJECTIFS!$C$30:$D$32,2,FALSE),IF(D141=OBJECTIFS!$C$49,VLOOKUP(F141,OBJECTIFS!$C$37:$D$39,2,FALSE))))))))</f>
        <v/>
      </c>
      <c r="J141" s="25"/>
      <c r="K141" s="90" t="str">
        <f>IF(OR($A141="",$D141="",J141=""),"",SUMIFS(OBJECTIFS!E$9:E$39,OBJECTIFS!$A$9:$A$39,$D141,OBJECTIFS!$C$9:$C$39,$F141))</f>
        <v/>
      </c>
      <c r="L141" s="90" t="str">
        <f>IF(OR(AND($D141=OBJECTIFS!$B$6,OBJECTIFS!E$8="dmt"),AND($D141=OBJECTIFS!$B$13,OBJECTIFS!$E$15="dmt"),AND($D141=OBJECTIFS!$B$20,OBJECTIFS!$E$22="dmt"),AND($D141=OBJECTIFS!$B$27,OBJECTIFS!$E$29="dmt"),AND($D141=OBJECTIFS!$B$34,OBJECTIFS!$E$36="dmt"),AND($D141=OBJECTIFS!$B$6,OBJECTIFS!$E$8="taux de chute"),AND($D141=OBJECTIFS!$B$13,OBJECTIFS!$E$15="taux de chute"),AND($D141=OBJECTIFS!$B$20,OBJECTIFS!$E$22="taux de chute"),AND($D141=OBJECTIFS!$B$27,OBJECTIFS!$E$29="taux de chute"),AND($D141=OBJECTIFS!$B$34,OBJECTIFS!$E$36="taux de chute")),IFERROR(K141/J141,""),IFERROR(J141/K141,""))</f>
        <v/>
      </c>
      <c r="M141" s="91">
        <f>IFERROR(IF(OR(J141="",K141="",L141=""),0,IF(L141&lt;OBJECTIFS!$E$56,0,IF(L141&lt;OBJECTIFS!$G$56,M$8*OBJECTIFS!$F$60,IF(L141&lt;OBJECTIFS!$I$56,M$8*OBJECTIFS!$H$60,M$8)))),0)</f>
        <v>0</v>
      </c>
      <c r="N141" s="161"/>
      <c r="O141" s="92" t="str">
        <f>IF(OR($A141="",$D141="",N141=""),"",SUMIFS(OBJECTIFS!F$9:F$39,OBJECTIFS!$A$9:$A$39,$D141,OBJECTIFS!$C$9:$C$39,$F141))</f>
        <v/>
      </c>
      <c r="P141" s="90" t="str">
        <f>IF(OR(AND($D141=OBJECTIFS!$B$6,OBJECTIFS!$F$8="dmt"),AND($D141=OBJECTIFS!$B$13,OBJECTIFS!$F$15="dmt"),AND($D141=OBJECTIFS!$B$20,OBJECTIFS!$F$22="dmt"),AND($D141=OBJECTIFS!$B$27,OBJECTIFS!$F$29="dmt"),AND($D141=OBJECTIFS!$B$34,OBJECTIFS!$F$36="dmt"),AND($D141=OBJECTIFS!$B$6,OBJECTIFS!$F$8="taux de chute"),AND($D141=OBJECTIFS!$B$13,OBJECTIFS!$F$15="taux de chute"),AND($D141=OBJECTIFS!$B$20,OBJECTIFS!$F$22="taux de chute"),AND($D141=OBJECTIFS!$B$27,OBJECTIFS!$F$29="taux de chute"),AND($D141=OBJECTIFS!$B$34,OBJECTIFS!$F$36="taux de chute")),IFERROR(O141/N141,""),IFERROR(N141/O141,""))</f>
        <v/>
      </c>
      <c r="Q141" s="91">
        <f>IFERROR(IF(OR(N141="",O141="",P141=""),0,IF(P141&lt;OBJECTIFS!$E$56,0,IF(P141&lt;OBJECTIFS!$G$56,Q$8*OBJECTIFS!$F$60,IF(P141&lt;OBJECTIFS!$I$56,Q$8*OBJECTIFS!$H$60,Q$8)))),0)</f>
        <v>0</v>
      </c>
      <c r="R141" s="164"/>
      <c r="S141" s="93" t="str">
        <f>IF(OR($A141="",$D141="",R141=""),"",SUMIFS(OBJECTIFS!G$9:G$39,OBJECTIFS!$A$9:$A$39,$D141,OBJECTIFS!$C$9:$C$39,$F141))</f>
        <v/>
      </c>
      <c r="T141" s="90" t="str">
        <f>IF(OR(AND($D141=OBJECTIFS!$B$6,OBJECTIFS!G$8="dmt"),AND($D141=OBJECTIFS!$B$13,OBJECTIFS!$G$15="dmt"),AND($D141=OBJECTIFS!$B$20,OBJECTIFS!$G$22="dmt"),AND($D141=OBJECTIFS!$B$27,OBJECTIFS!$G$29="dmt"),AND($D141=OBJECTIFS!$B$34,OBJECTIFS!$G$36="dmt"),AND($D141=OBJECTIFS!$B$6,OBJECTIFS!$G$8="taux de chute"),AND($D141=OBJECTIFS!$B$13,OBJECTIFS!$G$15="taux de chute"),AND($D141=OBJECTIFS!$B$20,OBJECTIFS!$G$22="taux de chute"),AND($D141=OBJECTIFS!$B$27,OBJECTIFS!$G$29="taux de chute"),AND($D141=OBJECTIFS!$B$34,OBJECTIFS!$G$36="taux de chute")),IFERROR(S141/R141,""),IFERROR(R141/S141,""))</f>
        <v/>
      </c>
      <c r="U141" s="94">
        <f>IFERROR(IF(OR(R141="",S141="",T141=""),0,IF(T141&lt;OBJECTIFS!$E$56,0,IF(T141&lt;OBJECTIFS!$G$56,U$8*OBJECTIFS!$F$60,IF(T141&lt;OBJECTIFS!$I$56,U$8*OBJECTIFS!$H$60,U$8)))),0)</f>
        <v>0</v>
      </c>
      <c r="V141" s="25"/>
      <c r="W141" s="90" t="str">
        <f>IF(OR($A141="",$D141="",V141=""),"",SUMIFS(OBJECTIFS!H$9:H$39,OBJECTIFS!$A$9:$A$39,$D141,OBJECTIFS!$C$9:$C$39,$F141))</f>
        <v/>
      </c>
      <c r="X141" s="90" t="str">
        <f>IF(OR(AND($D141=OBJECTIFS!$B$6,OBJECTIFS!H$8="dmt"),AND($D141=OBJECTIFS!$B$13,OBJECTIFS!$H$15="dmt"),AND($D141=OBJECTIFS!$B$20,OBJECTIFS!$H$22="dmt"),AND($D141=OBJECTIFS!$B$27,OBJECTIFS!$H$29="dmt"),AND($D141=OBJECTIFS!$B$34,OBJECTIFS!$H$36="dmt"),AND($D141=OBJECTIFS!$B$6,OBJECTIFS!$H$8="taux de chute"),AND($D141=OBJECTIFS!$B$13,OBJECTIFS!$H$15="taux de chute"),AND($D141=OBJECTIFS!$B$20,OBJECTIFS!$H$22="taux de chute"),AND($D141=OBJECTIFS!$B$27,OBJECTIFS!$H$29="taux de chute"),AND($D141=OBJECTIFS!$B$34,OBJECTIFS!$H$36="taux de chute")),IFERROR(W141/V141,""),IFERROR(V141/W141,""))</f>
        <v/>
      </c>
      <c r="Y141" s="91">
        <f>IFERROR(IF(OR(V141="",W141="",X141=""),0,IF(X141&lt;OBJECTIFS!$E$56,0,IF(X141&lt;OBJECTIFS!$G$56,Y$8*OBJECTIFS!$F$60,IF(X141&lt;OBJECTIFS!$I$56,Y$8*OBJECTIFS!$H$60,Y$8)))),0)</f>
        <v>0</v>
      </c>
      <c r="Z141" s="167"/>
      <c r="AA141" s="90" t="str">
        <f>IF(OR($A141="",$D141="",Z141=""),"",SUMIFS(OBJECTIFS!I$9:I$39,OBJECTIFS!$A$9:$A$39,$D141,OBJECTIFS!$C$9:$C$39,$F141))</f>
        <v/>
      </c>
      <c r="AB141" s="90" t="str">
        <f>IF(OR(AND($D141=OBJECTIFS!$B$6,OBJECTIFS!I$8="dmt"),AND($D141=OBJECTIFS!$B$13,OBJECTIFS!$I$15="dmt"),AND($D141=OBJECTIFS!$B$20,OBJECTIFS!$I$22="dmt"),AND($D141=OBJECTIFS!$B$27,OBJECTIFS!$I$29="dmt"),AND($D141=OBJECTIFS!$B$34,OBJECTIFS!$I$36="dmt"),AND($D141=OBJECTIFS!$B$6,OBJECTIFS!$I$8="taux de chute"),AND($D141=OBJECTIFS!$B$13,OBJECTIFS!$I$15="taux de chute"),AND($D141=OBJECTIFS!$B$20,OBJECTIFS!$I$22="taux de chute"),AND($D141=OBJECTIFS!$B$27,OBJECTIFS!$I$29="taux de chute"),AND($D141=OBJECTIFS!$B$34,OBJECTIFS!$I$36="taux de chute")),IFERROR(AA141/Z141,""),IFERROR(Z141/AA141,""))</f>
        <v/>
      </c>
      <c r="AC141" s="95">
        <f>IFERROR(IF(OR(Z141="",AA141="",AB141=""),0,IF(AB141&lt;OBJECTIFS!$E$56,0,IF(AB141&lt;OBJECTIFS!$G$56,AC$8*OBJECTIFS!$F$60,IF(AB141&lt;OBJECTIFS!$I$56,AC$8*OBJECTIFS!$H$60,AC$8)))),0)</f>
        <v>0</v>
      </c>
      <c r="AD141" s="186"/>
      <c r="AE141" s="187"/>
      <c r="AF141" s="96">
        <f t="shared" ca="1" si="2"/>
        <v>0</v>
      </c>
      <c r="AG141" s="63"/>
      <c r="AH141" s="186"/>
      <c r="AI141" s="24"/>
      <c r="AJ141" s="24"/>
      <c r="AK141" s="24"/>
      <c r="AL141" s="24"/>
      <c r="AM141" s="79">
        <f t="shared" si="3"/>
        <v>0</v>
      </c>
      <c r="AN141" s="79">
        <v>22</v>
      </c>
      <c r="AO141" s="80">
        <f t="shared" si="4"/>
        <v>0</v>
      </c>
      <c r="AP141" s="81" t="str">
        <f t="shared" ca="1" si="5"/>
        <v/>
      </c>
      <c r="AQ141" s="82"/>
      <c r="AR141" s="97">
        <f>IFERROR(VLOOKUP(B141,OBJECTIFS!$C$76:$E$137,2,FALSE),0)</f>
        <v>0</v>
      </c>
      <c r="AS141" s="98">
        <f>IFERROR(VLOOKUP(B141,OBJECTIFS!$H$76:$J$137,2,FALSE),0)</f>
        <v>0</v>
      </c>
      <c r="AT141" s="98">
        <f>IFERROR(VLOOKUP(B141,OBJECTIFS!$C$142:$E$203,2,FALSE),0)</f>
        <v>0</v>
      </c>
      <c r="AU141" s="98">
        <f>IFERROR(VLOOKUP(B141,OBJECTIFS!$H$142:$J$203,2,FALSE),0)</f>
        <v>0</v>
      </c>
      <c r="AV141" s="98">
        <f>IFERROR(VLOOKUP(B141,OBJECTIFS!$F$208:$H$269,3,FALSE),0)</f>
        <v>0</v>
      </c>
      <c r="AW141" s="81">
        <f t="shared" si="6"/>
        <v>0</v>
      </c>
      <c r="AX141" s="82"/>
      <c r="AY141" s="99" t="str">
        <f t="shared" ca="1" si="7"/>
        <v/>
      </c>
      <c r="AZ141" s="63"/>
      <c r="BA141" s="100">
        <f t="shared" ca="1" si="8"/>
        <v>0</v>
      </c>
      <c r="BB141" s="64" t="str">
        <f t="shared" ca="1" si="9"/>
        <v/>
      </c>
      <c r="BC141" s="101" t="str">
        <f t="shared" ca="1" si="10"/>
        <v/>
      </c>
    </row>
    <row r="142" spans="1:55" x14ac:dyDescent="0.2">
      <c r="A142" s="21"/>
      <c r="B142" s="22"/>
      <c r="C142" s="22"/>
      <c r="D142" s="23"/>
      <c r="E142" s="24"/>
      <c r="F142" s="34"/>
      <c r="H142" s="89" t="str">
        <f>IF(OR(D142="",F142="",A142=""),"",IF(E142="oui",0,IF(D142=OBJECTIFS!$C$45,VLOOKUP(F142,OBJECTIFS!$C$9:$D$11,2,FALSE),IF(D142=OBJECTIFS!$C$46,VLOOKUP(F142,OBJECTIFS!$C$16:$D$18,2,FALSE),IF(D142=OBJECTIFS!$C$47,VLOOKUP(F142,OBJECTIFS!$C$23:$D$25,2,FALSE),IF(D142=OBJECTIFS!$C$48,VLOOKUP(F142,OBJECTIFS!$C$30:$D$32,2,FALSE),IF(D142=OBJECTIFS!$C$49,VLOOKUP(F142,OBJECTIFS!$C$37:$D$39,2,FALSE))))))))</f>
        <v/>
      </c>
      <c r="J142" s="25"/>
      <c r="K142" s="90" t="str">
        <f>IF(OR($A142="",$D142="",J142=""),"",SUMIFS(OBJECTIFS!E$9:E$39,OBJECTIFS!$A$9:$A$39,$D142,OBJECTIFS!$C$9:$C$39,$F142))</f>
        <v/>
      </c>
      <c r="L142" s="90" t="str">
        <f>IF(OR(AND($D142=OBJECTIFS!$B$6,OBJECTIFS!E$8="dmt"),AND($D142=OBJECTIFS!$B$13,OBJECTIFS!$E$15="dmt"),AND($D142=OBJECTIFS!$B$20,OBJECTIFS!$E$22="dmt"),AND($D142=OBJECTIFS!$B$27,OBJECTIFS!$E$29="dmt"),AND($D142=OBJECTIFS!$B$34,OBJECTIFS!$E$36="dmt"),AND($D142=OBJECTIFS!$B$6,OBJECTIFS!$E$8="taux de chute"),AND($D142=OBJECTIFS!$B$13,OBJECTIFS!$E$15="taux de chute"),AND($D142=OBJECTIFS!$B$20,OBJECTIFS!$E$22="taux de chute"),AND($D142=OBJECTIFS!$B$27,OBJECTIFS!$E$29="taux de chute"),AND($D142=OBJECTIFS!$B$34,OBJECTIFS!$E$36="taux de chute")),IFERROR(K142/J142,""),IFERROR(J142/K142,""))</f>
        <v/>
      </c>
      <c r="M142" s="91">
        <f>IFERROR(IF(OR(J142="",K142="",L142=""),0,IF(L142&lt;OBJECTIFS!$E$56,0,IF(L142&lt;OBJECTIFS!$G$56,M$8*OBJECTIFS!$F$60,IF(L142&lt;OBJECTIFS!$I$56,M$8*OBJECTIFS!$H$60,M$8)))),0)</f>
        <v>0</v>
      </c>
      <c r="N142" s="161"/>
      <c r="O142" s="92" t="str">
        <f>IF(OR($A142="",$D142="",N142=""),"",SUMIFS(OBJECTIFS!F$9:F$39,OBJECTIFS!$A$9:$A$39,$D142,OBJECTIFS!$C$9:$C$39,$F142))</f>
        <v/>
      </c>
      <c r="P142" s="90" t="str">
        <f>IF(OR(AND($D142=OBJECTIFS!$B$6,OBJECTIFS!$F$8="dmt"),AND($D142=OBJECTIFS!$B$13,OBJECTIFS!$F$15="dmt"),AND($D142=OBJECTIFS!$B$20,OBJECTIFS!$F$22="dmt"),AND($D142=OBJECTIFS!$B$27,OBJECTIFS!$F$29="dmt"),AND($D142=OBJECTIFS!$B$34,OBJECTIFS!$F$36="dmt"),AND($D142=OBJECTIFS!$B$6,OBJECTIFS!$F$8="taux de chute"),AND($D142=OBJECTIFS!$B$13,OBJECTIFS!$F$15="taux de chute"),AND($D142=OBJECTIFS!$B$20,OBJECTIFS!$F$22="taux de chute"),AND($D142=OBJECTIFS!$B$27,OBJECTIFS!$F$29="taux de chute"),AND($D142=OBJECTIFS!$B$34,OBJECTIFS!$F$36="taux de chute")),IFERROR(O142/N142,""),IFERROR(N142/O142,""))</f>
        <v/>
      </c>
      <c r="Q142" s="91">
        <f>IFERROR(IF(OR(N142="",O142="",P142=""),0,IF(P142&lt;OBJECTIFS!$E$56,0,IF(P142&lt;OBJECTIFS!$G$56,Q$8*OBJECTIFS!$F$60,IF(P142&lt;OBJECTIFS!$I$56,Q$8*OBJECTIFS!$H$60,Q$8)))),0)</f>
        <v>0</v>
      </c>
      <c r="R142" s="164"/>
      <c r="S142" s="93" t="str">
        <f>IF(OR($A142="",$D142="",R142=""),"",SUMIFS(OBJECTIFS!G$9:G$39,OBJECTIFS!$A$9:$A$39,$D142,OBJECTIFS!$C$9:$C$39,$F142))</f>
        <v/>
      </c>
      <c r="T142" s="90" t="str">
        <f>IF(OR(AND($D142=OBJECTIFS!$B$6,OBJECTIFS!G$8="dmt"),AND($D142=OBJECTIFS!$B$13,OBJECTIFS!$G$15="dmt"),AND($D142=OBJECTIFS!$B$20,OBJECTIFS!$G$22="dmt"),AND($D142=OBJECTIFS!$B$27,OBJECTIFS!$G$29="dmt"),AND($D142=OBJECTIFS!$B$34,OBJECTIFS!$G$36="dmt"),AND($D142=OBJECTIFS!$B$6,OBJECTIFS!$G$8="taux de chute"),AND($D142=OBJECTIFS!$B$13,OBJECTIFS!$G$15="taux de chute"),AND($D142=OBJECTIFS!$B$20,OBJECTIFS!$G$22="taux de chute"),AND($D142=OBJECTIFS!$B$27,OBJECTIFS!$G$29="taux de chute"),AND($D142=OBJECTIFS!$B$34,OBJECTIFS!$G$36="taux de chute")),IFERROR(S142/R142,""),IFERROR(R142/S142,""))</f>
        <v/>
      </c>
      <c r="U142" s="94">
        <f>IFERROR(IF(OR(R142="",S142="",T142=""),0,IF(T142&lt;OBJECTIFS!$E$56,0,IF(T142&lt;OBJECTIFS!$G$56,U$8*OBJECTIFS!$F$60,IF(T142&lt;OBJECTIFS!$I$56,U$8*OBJECTIFS!$H$60,U$8)))),0)</f>
        <v>0</v>
      </c>
      <c r="V142" s="25"/>
      <c r="W142" s="90" t="str">
        <f>IF(OR($A142="",$D142="",V142=""),"",SUMIFS(OBJECTIFS!H$9:H$39,OBJECTIFS!$A$9:$A$39,$D142,OBJECTIFS!$C$9:$C$39,$F142))</f>
        <v/>
      </c>
      <c r="X142" s="90" t="str">
        <f>IF(OR(AND($D142=OBJECTIFS!$B$6,OBJECTIFS!H$8="dmt"),AND($D142=OBJECTIFS!$B$13,OBJECTIFS!$H$15="dmt"),AND($D142=OBJECTIFS!$B$20,OBJECTIFS!$H$22="dmt"),AND($D142=OBJECTIFS!$B$27,OBJECTIFS!$H$29="dmt"),AND($D142=OBJECTIFS!$B$34,OBJECTIFS!$H$36="dmt"),AND($D142=OBJECTIFS!$B$6,OBJECTIFS!$H$8="taux de chute"),AND($D142=OBJECTIFS!$B$13,OBJECTIFS!$H$15="taux de chute"),AND($D142=OBJECTIFS!$B$20,OBJECTIFS!$H$22="taux de chute"),AND($D142=OBJECTIFS!$B$27,OBJECTIFS!$H$29="taux de chute"),AND($D142=OBJECTIFS!$B$34,OBJECTIFS!$H$36="taux de chute")),IFERROR(W142/V142,""),IFERROR(V142/W142,""))</f>
        <v/>
      </c>
      <c r="Y142" s="91">
        <f>IFERROR(IF(OR(V142="",W142="",X142=""),0,IF(X142&lt;OBJECTIFS!$E$56,0,IF(X142&lt;OBJECTIFS!$G$56,Y$8*OBJECTIFS!$F$60,IF(X142&lt;OBJECTIFS!$I$56,Y$8*OBJECTIFS!$H$60,Y$8)))),0)</f>
        <v>0</v>
      </c>
      <c r="Z142" s="167"/>
      <c r="AA142" s="90" t="str">
        <f>IF(OR($A142="",$D142="",Z142=""),"",SUMIFS(OBJECTIFS!I$9:I$39,OBJECTIFS!$A$9:$A$39,$D142,OBJECTIFS!$C$9:$C$39,$F142))</f>
        <v/>
      </c>
      <c r="AB142" s="90" t="str">
        <f>IF(OR(AND($D142=OBJECTIFS!$B$6,OBJECTIFS!I$8="dmt"),AND($D142=OBJECTIFS!$B$13,OBJECTIFS!$I$15="dmt"),AND($D142=OBJECTIFS!$B$20,OBJECTIFS!$I$22="dmt"),AND($D142=OBJECTIFS!$B$27,OBJECTIFS!$I$29="dmt"),AND($D142=OBJECTIFS!$B$34,OBJECTIFS!$I$36="dmt"),AND($D142=OBJECTIFS!$B$6,OBJECTIFS!$I$8="taux de chute"),AND($D142=OBJECTIFS!$B$13,OBJECTIFS!$I$15="taux de chute"),AND($D142=OBJECTIFS!$B$20,OBJECTIFS!$I$22="taux de chute"),AND($D142=OBJECTIFS!$B$27,OBJECTIFS!$I$29="taux de chute"),AND($D142=OBJECTIFS!$B$34,OBJECTIFS!$I$36="taux de chute")),IFERROR(AA142/Z142,""),IFERROR(Z142/AA142,""))</f>
        <v/>
      </c>
      <c r="AC142" s="95">
        <f>IFERROR(IF(OR(Z142="",AA142="",AB142=""),0,IF(AB142&lt;OBJECTIFS!$E$56,0,IF(AB142&lt;OBJECTIFS!$G$56,AC$8*OBJECTIFS!$F$60,IF(AB142&lt;OBJECTIFS!$I$56,AC$8*OBJECTIFS!$H$60,AC$8)))),0)</f>
        <v>0</v>
      </c>
      <c r="AD142" s="186"/>
      <c r="AE142" s="187"/>
      <c r="AF142" s="96">
        <f t="shared" ca="1" si="2"/>
        <v>0</v>
      </c>
      <c r="AG142" s="63"/>
      <c r="AH142" s="186"/>
      <c r="AI142" s="24"/>
      <c r="AJ142" s="24"/>
      <c r="AK142" s="24"/>
      <c r="AL142" s="24"/>
      <c r="AM142" s="79">
        <f t="shared" si="3"/>
        <v>0</v>
      </c>
      <c r="AN142" s="79">
        <v>22</v>
      </c>
      <c r="AO142" s="80">
        <f t="shared" si="4"/>
        <v>0</v>
      </c>
      <c r="AP142" s="81" t="str">
        <f t="shared" ca="1" si="5"/>
        <v/>
      </c>
      <c r="AQ142" s="82"/>
      <c r="AR142" s="97">
        <f>IFERROR(VLOOKUP(B142,OBJECTIFS!$C$76:$E$137,2,FALSE),0)</f>
        <v>0</v>
      </c>
      <c r="AS142" s="98">
        <f>IFERROR(VLOOKUP(B142,OBJECTIFS!$H$76:$J$137,2,FALSE),0)</f>
        <v>0</v>
      </c>
      <c r="AT142" s="98">
        <f>IFERROR(VLOOKUP(B142,OBJECTIFS!$C$142:$E$203,2,FALSE),0)</f>
        <v>0</v>
      </c>
      <c r="AU142" s="98">
        <f>IFERROR(VLOOKUP(B142,OBJECTIFS!$H$142:$J$203,2,FALSE),0)</f>
        <v>0</v>
      </c>
      <c r="AV142" s="98">
        <f>IFERROR(VLOOKUP(B142,OBJECTIFS!$F$208:$H$269,3,FALSE),0)</f>
        <v>0</v>
      </c>
      <c r="AW142" s="81">
        <f t="shared" si="6"/>
        <v>0</v>
      </c>
      <c r="AX142" s="82"/>
      <c r="AY142" s="99" t="str">
        <f t="shared" ca="1" si="7"/>
        <v/>
      </c>
      <c r="AZ142" s="63"/>
      <c r="BA142" s="100">
        <f t="shared" ca="1" si="8"/>
        <v>0</v>
      </c>
      <c r="BB142" s="64" t="str">
        <f t="shared" ca="1" si="9"/>
        <v/>
      </c>
      <c r="BC142" s="101" t="str">
        <f t="shared" ca="1" si="10"/>
        <v/>
      </c>
    </row>
    <row r="143" spans="1:55" x14ac:dyDescent="0.2">
      <c r="A143" s="21"/>
      <c r="B143" s="22"/>
      <c r="C143" s="22"/>
      <c r="D143" s="23"/>
      <c r="E143" s="24"/>
      <c r="F143" s="34"/>
      <c r="H143" s="89" t="str">
        <f>IF(OR(D143="",F143="",A143=""),"",IF(E143="oui",0,IF(D143=OBJECTIFS!$C$45,VLOOKUP(F143,OBJECTIFS!$C$9:$D$11,2,FALSE),IF(D143=OBJECTIFS!$C$46,VLOOKUP(F143,OBJECTIFS!$C$16:$D$18,2,FALSE),IF(D143=OBJECTIFS!$C$47,VLOOKUP(F143,OBJECTIFS!$C$23:$D$25,2,FALSE),IF(D143=OBJECTIFS!$C$48,VLOOKUP(F143,OBJECTIFS!$C$30:$D$32,2,FALSE),IF(D143=OBJECTIFS!$C$49,VLOOKUP(F143,OBJECTIFS!$C$37:$D$39,2,FALSE))))))))</f>
        <v/>
      </c>
      <c r="J143" s="25"/>
      <c r="K143" s="90" t="str">
        <f>IF(OR($A143="",$D143="",J143=""),"",SUMIFS(OBJECTIFS!E$9:E$39,OBJECTIFS!$A$9:$A$39,$D143,OBJECTIFS!$C$9:$C$39,$F143))</f>
        <v/>
      </c>
      <c r="L143" s="90" t="str">
        <f>IF(OR(AND($D143=OBJECTIFS!$B$6,OBJECTIFS!E$8="dmt"),AND($D143=OBJECTIFS!$B$13,OBJECTIFS!$E$15="dmt"),AND($D143=OBJECTIFS!$B$20,OBJECTIFS!$E$22="dmt"),AND($D143=OBJECTIFS!$B$27,OBJECTIFS!$E$29="dmt"),AND($D143=OBJECTIFS!$B$34,OBJECTIFS!$E$36="dmt"),AND($D143=OBJECTIFS!$B$6,OBJECTIFS!$E$8="taux de chute"),AND($D143=OBJECTIFS!$B$13,OBJECTIFS!$E$15="taux de chute"),AND($D143=OBJECTIFS!$B$20,OBJECTIFS!$E$22="taux de chute"),AND($D143=OBJECTIFS!$B$27,OBJECTIFS!$E$29="taux de chute"),AND($D143=OBJECTIFS!$B$34,OBJECTIFS!$E$36="taux de chute")),IFERROR(K143/J143,""),IFERROR(J143/K143,""))</f>
        <v/>
      </c>
      <c r="M143" s="91">
        <f>IFERROR(IF(OR(J143="",K143="",L143=""),0,IF(L143&lt;OBJECTIFS!$E$56,0,IF(L143&lt;OBJECTIFS!$G$56,M$8*OBJECTIFS!$F$60,IF(L143&lt;OBJECTIFS!$I$56,M$8*OBJECTIFS!$H$60,M$8)))),0)</f>
        <v>0</v>
      </c>
      <c r="N143" s="161"/>
      <c r="O143" s="92" t="str">
        <f>IF(OR($A143="",$D143="",N143=""),"",SUMIFS(OBJECTIFS!F$9:F$39,OBJECTIFS!$A$9:$A$39,$D143,OBJECTIFS!$C$9:$C$39,$F143))</f>
        <v/>
      </c>
      <c r="P143" s="90" t="str">
        <f>IF(OR(AND($D143=OBJECTIFS!$B$6,OBJECTIFS!$F$8="dmt"),AND($D143=OBJECTIFS!$B$13,OBJECTIFS!$F$15="dmt"),AND($D143=OBJECTIFS!$B$20,OBJECTIFS!$F$22="dmt"),AND($D143=OBJECTIFS!$B$27,OBJECTIFS!$F$29="dmt"),AND($D143=OBJECTIFS!$B$34,OBJECTIFS!$F$36="dmt"),AND($D143=OBJECTIFS!$B$6,OBJECTIFS!$F$8="taux de chute"),AND($D143=OBJECTIFS!$B$13,OBJECTIFS!$F$15="taux de chute"),AND($D143=OBJECTIFS!$B$20,OBJECTIFS!$F$22="taux de chute"),AND($D143=OBJECTIFS!$B$27,OBJECTIFS!$F$29="taux de chute"),AND($D143=OBJECTIFS!$B$34,OBJECTIFS!$F$36="taux de chute")),IFERROR(O143/N143,""),IFERROR(N143/O143,""))</f>
        <v/>
      </c>
      <c r="Q143" s="91">
        <f>IFERROR(IF(OR(N143="",O143="",P143=""),0,IF(P143&lt;OBJECTIFS!$E$56,0,IF(P143&lt;OBJECTIFS!$G$56,Q$8*OBJECTIFS!$F$60,IF(P143&lt;OBJECTIFS!$I$56,Q$8*OBJECTIFS!$H$60,Q$8)))),0)</f>
        <v>0</v>
      </c>
      <c r="R143" s="164"/>
      <c r="S143" s="93" t="str">
        <f>IF(OR($A143="",$D143="",R143=""),"",SUMIFS(OBJECTIFS!G$9:G$39,OBJECTIFS!$A$9:$A$39,$D143,OBJECTIFS!$C$9:$C$39,$F143))</f>
        <v/>
      </c>
      <c r="T143" s="90" t="str">
        <f>IF(OR(AND($D143=OBJECTIFS!$B$6,OBJECTIFS!G$8="dmt"),AND($D143=OBJECTIFS!$B$13,OBJECTIFS!$G$15="dmt"),AND($D143=OBJECTIFS!$B$20,OBJECTIFS!$G$22="dmt"),AND($D143=OBJECTIFS!$B$27,OBJECTIFS!$G$29="dmt"),AND($D143=OBJECTIFS!$B$34,OBJECTIFS!$G$36="dmt"),AND($D143=OBJECTIFS!$B$6,OBJECTIFS!$G$8="taux de chute"),AND($D143=OBJECTIFS!$B$13,OBJECTIFS!$G$15="taux de chute"),AND($D143=OBJECTIFS!$B$20,OBJECTIFS!$G$22="taux de chute"),AND($D143=OBJECTIFS!$B$27,OBJECTIFS!$G$29="taux de chute"),AND($D143=OBJECTIFS!$B$34,OBJECTIFS!$G$36="taux de chute")),IFERROR(S143/R143,""),IFERROR(R143/S143,""))</f>
        <v/>
      </c>
      <c r="U143" s="94">
        <f>IFERROR(IF(OR(R143="",S143="",T143=""),0,IF(T143&lt;OBJECTIFS!$E$56,0,IF(T143&lt;OBJECTIFS!$G$56,U$8*OBJECTIFS!$F$60,IF(T143&lt;OBJECTIFS!$I$56,U$8*OBJECTIFS!$H$60,U$8)))),0)</f>
        <v>0</v>
      </c>
      <c r="V143" s="25"/>
      <c r="W143" s="90" t="str">
        <f>IF(OR($A143="",$D143="",V143=""),"",SUMIFS(OBJECTIFS!H$9:H$39,OBJECTIFS!$A$9:$A$39,$D143,OBJECTIFS!$C$9:$C$39,$F143))</f>
        <v/>
      </c>
      <c r="X143" s="90" t="str">
        <f>IF(OR(AND($D143=OBJECTIFS!$B$6,OBJECTIFS!H$8="dmt"),AND($D143=OBJECTIFS!$B$13,OBJECTIFS!$H$15="dmt"),AND($D143=OBJECTIFS!$B$20,OBJECTIFS!$H$22="dmt"),AND($D143=OBJECTIFS!$B$27,OBJECTIFS!$H$29="dmt"),AND($D143=OBJECTIFS!$B$34,OBJECTIFS!$H$36="dmt"),AND($D143=OBJECTIFS!$B$6,OBJECTIFS!$H$8="taux de chute"),AND($D143=OBJECTIFS!$B$13,OBJECTIFS!$H$15="taux de chute"),AND($D143=OBJECTIFS!$B$20,OBJECTIFS!$H$22="taux de chute"),AND($D143=OBJECTIFS!$B$27,OBJECTIFS!$H$29="taux de chute"),AND($D143=OBJECTIFS!$B$34,OBJECTIFS!$H$36="taux de chute")),IFERROR(W143/V143,""),IFERROR(V143/W143,""))</f>
        <v/>
      </c>
      <c r="Y143" s="91">
        <f>IFERROR(IF(OR(V143="",W143="",X143=""),0,IF(X143&lt;OBJECTIFS!$E$56,0,IF(X143&lt;OBJECTIFS!$G$56,Y$8*OBJECTIFS!$F$60,IF(X143&lt;OBJECTIFS!$I$56,Y$8*OBJECTIFS!$H$60,Y$8)))),0)</f>
        <v>0</v>
      </c>
      <c r="Z143" s="167"/>
      <c r="AA143" s="90" t="str">
        <f>IF(OR($A143="",$D143="",Z143=""),"",SUMIFS(OBJECTIFS!I$9:I$39,OBJECTIFS!$A$9:$A$39,$D143,OBJECTIFS!$C$9:$C$39,$F143))</f>
        <v/>
      </c>
      <c r="AB143" s="90" t="str">
        <f>IF(OR(AND($D143=OBJECTIFS!$B$6,OBJECTIFS!I$8="dmt"),AND($D143=OBJECTIFS!$B$13,OBJECTIFS!$I$15="dmt"),AND($D143=OBJECTIFS!$B$20,OBJECTIFS!$I$22="dmt"),AND($D143=OBJECTIFS!$B$27,OBJECTIFS!$I$29="dmt"),AND($D143=OBJECTIFS!$B$34,OBJECTIFS!$I$36="dmt"),AND($D143=OBJECTIFS!$B$6,OBJECTIFS!$I$8="taux de chute"),AND($D143=OBJECTIFS!$B$13,OBJECTIFS!$I$15="taux de chute"),AND($D143=OBJECTIFS!$B$20,OBJECTIFS!$I$22="taux de chute"),AND($D143=OBJECTIFS!$B$27,OBJECTIFS!$I$29="taux de chute"),AND($D143=OBJECTIFS!$B$34,OBJECTIFS!$I$36="taux de chute")),IFERROR(AA143/Z143,""),IFERROR(Z143/AA143,""))</f>
        <v/>
      </c>
      <c r="AC143" s="95">
        <f>IFERROR(IF(OR(Z143="",AA143="",AB143=""),0,IF(AB143&lt;OBJECTIFS!$E$56,0,IF(AB143&lt;OBJECTIFS!$G$56,AC$8*OBJECTIFS!$F$60,IF(AB143&lt;OBJECTIFS!$I$56,AC$8*OBJECTIFS!$H$60,AC$8)))),0)</f>
        <v>0</v>
      </c>
      <c r="AD143" s="186"/>
      <c r="AE143" s="187"/>
      <c r="AF143" s="96">
        <f t="shared" ca="1" si="2"/>
        <v>0</v>
      </c>
      <c r="AG143" s="63"/>
      <c r="AH143" s="186"/>
      <c r="AI143" s="24"/>
      <c r="AJ143" s="24"/>
      <c r="AK143" s="24"/>
      <c r="AL143" s="24"/>
      <c r="AM143" s="79">
        <f t="shared" si="3"/>
        <v>0</v>
      </c>
      <c r="AN143" s="79">
        <v>22</v>
      </c>
      <c r="AO143" s="80">
        <f t="shared" si="4"/>
        <v>0</v>
      </c>
      <c r="AP143" s="81" t="str">
        <f t="shared" ca="1" si="5"/>
        <v/>
      </c>
      <c r="AQ143" s="82"/>
      <c r="AR143" s="97">
        <f>IFERROR(VLOOKUP(B143,OBJECTIFS!$C$76:$E$137,2,FALSE),0)</f>
        <v>0</v>
      </c>
      <c r="AS143" s="98">
        <f>IFERROR(VLOOKUP(B143,OBJECTIFS!$H$76:$J$137,2,FALSE),0)</f>
        <v>0</v>
      </c>
      <c r="AT143" s="98">
        <f>IFERROR(VLOOKUP(B143,OBJECTIFS!$C$142:$E$203,2,FALSE),0)</f>
        <v>0</v>
      </c>
      <c r="AU143" s="98">
        <f>IFERROR(VLOOKUP(B143,OBJECTIFS!$H$142:$J$203,2,FALSE),0)</f>
        <v>0</v>
      </c>
      <c r="AV143" s="98">
        <f>IFERROR(VLOOKUP(B143,OBJECTIFS!$F$208:$H$269,3,FALSE),0)</f>
        <v>0</v>
      </c>
      <c r="AW143" s="81">
        <f t="shared" si="6"/>
        <v>0</v>
      </c>
      <c r="AX143" s="82"/>
      <c r="AY143" s="99" t="str">
        <f t="shared" ca="1" si="7"/>
        <v/>
      </c>
      <c r="AZ143" s="63"/>
      <c r="BA143" s="100">
        <f t="shared" ca="1" si="8"/>
        <v>0</v>
      </c>
      <c r="BB143" s="64" t="str">
        <f t="shared" ca="1" si="9"/>
        <v/>
      </c>
      <c r="BC143" s="101" t="str">
        <f t="shared" ca="1" si="10"/>
        <v/>
      </c>
    </row>
    <row r="144" spans="1:55" x14ac:dyDescent="0.2">
      <c r="A144" s="21"/>
      <c r="B144" s="22"/>
      <c r="C144" s="22"/>
      <c r="D144" s="23"/>
      <c r="E144" s="24"/>
      <c r="F144" s="34"/>
      <c r="H144" s="89" t="str">
        <f>IF(OR(D144="",F144="",A144=""),"",IF(E144="oui",0,IF(D144=OBJECTIFS!$C$45,VLOOKUP(F144,OBJECTIFS!$C$9:$D$11,2,FALSE),IF(D144=OBJECTIFS!$C$46,VLOOKUP(F144,OBJECTIFS!$C$16:$D$18,2,FALSE),IF(D144=OBJECTIFS!$C$47,VLOOKUP(F144,OBJECTIFS!$C$23:$D$25,2,FALSE),IF(D144=OBJECTIFS!$C$48,VLOOKUP(F144,OBJECTIFS!$C$30:$D$32,2,FALSE),IF(D144=OBJECTIFS!$C$49,VLOOKUP(F144,OBJECTIFS!$C$37:$D$39,2,FALSE))))))))</f>
        <v/>
      </c>
      <c r="J144" s="25"/>
      <c r="K144" s="90" t="str">
        <f>IF(OR($A144="",$D144="",J144=""),"",SUMIFS(OBJECTIFS!E$9:E$39,OBJECTIFS!$A$9:$A$39,$D144,OBJECTIFS!$C$9:$C$39,$F144))</f>
        <v/>
      </c>
      <c r="L144" s="90" t="str">
        <f>IF(OR(AND($D144=OBJECTIFS!$B$6,OBJECTIFS!E$8="dmt"),AND($D144=OBJECTIFS!$B$13,OBJECTIFS!$E$15="dmt"),AND($D144=OBJECTIFS!$B$20,OBJECTIFS!$E$22="dmt"),AND($D144=OBJECTIFS!$B$27,OBJECTIFS!$E$29="dmt"),AND($D144=OBJECTIFS!$B$34,OBJECTIFS!$E$36="dmt"),AND($D144=OBJECTIFS!$B$6,OBJECTIFS!$E$8="taux de chute"),AND($D144=OBJECTIFS!$B$13,OBJECTIFS!$E$15="taux de chute"),AND($D144=OBJECTIFS!$B$20,OBJECTIFS!$E$22="taux de chute"),AND($D144=OBJECTIFS!$B$27,OBJECTIFS!$E$29="taux de chute"),AND($D144=OBJECTIFS!$B$34,OBJECTIFS!$E$36="taux de chute")),IFERROR(K144/J144,""),IFERROR(J144/K144,""))</f>
        <v/>
      </c>
      <c r="M144" s="91">
        <f>IFERROR(IF(OR(J144="",K144="",L144=""),0,IF(L144&lt;OBJECTIFS!$E$56,0,IF(L144&lt;OBJECTIFS!$G$56,M$8*OBJECTIFS!$F$60,IF(L144&lt;OBJECTIFS!$I$56,M$8*OBJECTIFS!$H$60,M$8)))),0)</f>
        <v>0</v>
      </c>
      <c r="N144" s="161"/>
      <c r="O144" s="92" t="str">
        <f>IF(OR($A144="",$D144="",N144=""),"",SUMIFS(OBJECTIFS!F$9:F$39,OBJECTIFS!$A$9:$A$39,$D144,OBJECTIFS!$C$9:$C$39,$F144))</f>
        <v/>
      </c>
      <c r="P144" s="90" t="str">
        <f>IF(OR(AND($D144=OBJECTIFS!$B$6,OBJECTIFS!$F$8="dmt"),AND($D144=OBJECTIFS!$B$13,OBJECTIFS!$F$15="dmt"),AND($D144=OBJECTIFS!$B$20,OBJECTIFS!$F$22="dmt"),AND($D144=OBJECTIFS!$B$27,OBJECTIFS!$F$29="dmt"),AND($D144=OBJECTIFS!$B$34,OBJECTIFS!$F$36="dmt"),AND($D144=OBJECTIFS!$B$6,OBJECTIFS!$F$8="taux de chute"),AND($D144=OBJECTIFS!$B$13,OBJECTIFS!$F$15="taux de chute"),AND($D144=OBJECTIFS!$B$20,OBJECTIFS!$F$22="taux de chute"),AND($D144=OBJECTIFS!$B$27,OBJECTIFS!$F$29="taux de chute"),AND($D144=OBJECTIFS!$B$34,OBJECTIFS!$F$36="taux de chute")),IFERROR(O144/N144,""),IFERROR(N144/O144,""))</f>
        <v/>
      </c>
      <c r="Q144" s="91">
        <f>IFERROR(IF(OR(N144="",O144="",P144=""),0,IF(P144&lt;OBJECTIFS!$E$56,0,IF(P144&lt;OBJECTIFS!$G$56,Q$8*OBJECTIFS!$F$60,IF(P144&lt;OBJECTIFS!$I$56,Q$8*OBJECTIFS!$H$60,Q$8)))),0)</f>
        <v>0</v>
      </c>
      <c r="R144" s="164"/>
      <c r="S144" s="93" t="str">
        <f>IF(OR($A144="",$D144="",R144=""),"",SUMIFS(OBJECTIFS!G$9:G$39,OBJECTIFS!$A$9:$A$39,$D144,OBJECTIFS!$C$9:$C$39,$F144))</f>
        <v/>
      </c>
      <c r="T144" s="90" t="str">
        <f>IF(OR(AND($D144=OBJECTIFS!$B$6,OBJECTIFS!G$8="dmt"),AND($D144=OBJECTIFS!$B$13,OBJECTIFS!$G$15="dmt"),AND($D144=OBJECTIFS!$B$20,OBJECTIFS!$G$22="dmt"),AND($D144=OBJECTIFS!$B$27,OBJECTIFS!$G$29="dmt"),AND($D144=OBJECTIFS!$B$34,OBJECTIFS!$G$36="dmt"),AND($D144=OBJECTIFS!$B$6,OBJECTIFS!$G$8="taux de chute"),AND($D144=OBJECTIFS!$B$13,OBJECTIFS!$G$15="taux de chute"),AND($D144=OBJECTIFS!$B$20,OBJECTIFS!$G$22="taux de chute"),AND($D144=OBJECTIFS!$B$27,OBJECTIFS!$G$29="taux de chute"),AND($D144=OBJECTIFS!$B$34,OBJECTIFS!$G$36="taux de chute")),IFERROR(S144/R144,""),IFERROR(R144/S144,""))</f>
        <v/>
      </c>
      <c r="U144" s="94">
        <f>IFERROR(IF(OR(R144="",S144="",T144=""),0,IF(T144&lt;OBJECTIFS!$E$56,0,IF(T144&lt;OBJECTIFS!$G$56,U$8*OBJECTIFS!$F$60,IF(T144&lt;OBJECTIFS!$I$56,U$8*OBJECTIFS!$H$60,U$8)))),0)</f>
        <v>0</v>
      </c>
      <c r="V144" s="25"/>
      <c r="W144" s="90" t="str">
        <f>IF(OR($A144="",$D144="",V144=""),"",SUMIFS(OBJECTIFS!H$9:H$39,OBJECTIFS!$A$9:$A$39,$D144,OBJECTIFS!$C$9:$C$39,$F144))</f>
        <v/>
      </c>
      <c r="X144" s="90" t="str">
        <f>IF(OR(AND($D144=OBJECTIFS!$B$6,OBJECTIFS!H$8="dmt"),AND($D144=OBJECTIFS!$B$13,OBJECTIFS!$H$15="dmt"),AND($D144=OBJECTIFS!$B$20,OBJECTIFS!$H$22="dmt"),AND($D144=OBJECTIFS!$B$27,OBJECTIFS!$H$29="dmt"),AND($D144=OBJECTIFS!$B$34,OBJECTIFS!$H$36="dmt"),AND($D144=OBJECTIFS!$B$6,OBJECTIFS!$H$8="taux de chute"),AND($D144=OBJECTIFS!$B$13,OBJECTIFS!$H$15="taux de chute"),AND($D144=OBJECTIFS!$B$20,OBJECTIFS!$H$22="taux de chute"),AND($D144=OBJECTIFS!$B$27,OBJECTIFS!$H$29="taux de chute"),AND($D144=OBJECTIFS!$B$34,OBJECTIFS!$H$36="taux de chute")),IFERROR(W144/V144,""),IFERROR(V144/W144,""))</f>
        <v/>
      </c>
      <c r="Y144" s="91">
        <f>IFERROR(IF(OR(V144="",W144="",X144=""),0,IF(X144&lt;OBJECTIFS!$E$56,0,IF(X144&lt;OBJECTIFS!$G$56,Y$8*OBJECTIFS!$F$60,IF(X144&lt;OBJECTIFS!$I$56,Y$8*OBJECTIFS!$H$60,Y$8)))),0)</f>
        <v>0</v>
      </c>
      <c r="Z144" s="167"/>
      <c r="AA144" s="90" t="str">
        <f>IF(OR($A144="",$D144="",Z144=""),"",SUMIFS(OBJECTIFS!I$9:I$39,OBJECTIFS!$A$9:$A$39,$D144,OBJECTIFS!$C$9:$C$39,$F144))</f>
        <v/>
      </c>
      <c r="AB144" s="90" t="str">
        <f>IF(OR(AND($D144=OBJECTIFS!$B$6,OBJECTIFS!I$8="dmt"),AND($D144=OBJECTIFS!$B$13,OBJECTIFS!$I$15="dmt"),AND($D144=OBJECTIFS!$B$20,OBJECTIFS!$I$22="dmt"),AND($D144=OBJECTIFS!$B$27,OBJECTIFS!$I$29="dmt"),AND($D144=OBJECTIFS!$B$34,OBJECTIFS!$I$36="dmt"),AND($D144=OBJECTIFS!$B$6,OBJECTIFS!$I$8="taux de chute"),AND($D144=OBJECTIFS!$B$13,OBJECTIFS!$I$15="taux de chute"),AND($D144=OBJECTIFS!$B$20,OBJECTIFS!$I$22="taux de chute"),AND($D144=OBJECTIFS!$B$27,OBJECTIFS!$I$29="taux de chute"),AND($D144=OBJECTIFS!$B$34,OBJECTIFS!$I$36="taux de chute")),IFERROR(AA144/Z144,""),IFERROR(Z144/AA144,""))</f>
        <v/>
      </c>
      <c r="AC144" s="95">
        <f>IFERROR(IF(OR(Z144="",AA144="",AB144=""),0,IF(AB144&lt;OBJECTIFS!$E$56,0,IF(AB144&lt;OBJECTIFS!$G$56,AC$8*OBJECTIFS!$F$60,IF(AB144&lt;OBJECTIFS!$I$56,AC$8*OBJECTIFS!$H$60,AC$8)))),0)</f>
        <v>0</v>
      </c>
      <c r="AD144" s="186"/>
      <c r="AE144" s="187"/>
      <c r="AF144" s="96">
        <f t="shared" ca="1" si="2"/>
        <v>0</v>
      </c>
      <c r="AG144" s="63"/>
      <c r="AH144" s="186"/>
      <c r="AI144" s="24"/>
      <c r="AJ144" s="24"/>
      <c r="AK144" s="24"/>
      <c r="AL144" s="24"/>
      <c r="AM144" s="79">
        <f t="shared" si="3"/>
        <v>0</v>
      </c>
      <c r="AN144" s="79">
        <v>22</v>
      </c>
      <c r="AO144" s="80">
        <f t="shared" si="4"/>
        <v>0</v>
      </c>
      <c r="AP144" s="81" t="str">
        <f t="shared" ca="1" si="5"/>
        <v/>
      </c>
      <c r="AQ144" s="82"/>
      <c r="AR144" s="97">
        <f>IFERROR(VLOOKUP(B144,OBJECTIFS!$C$76:$E$137,2,FALSE),0)</f>
        <v>0</v>
      </c>
      <c r="AS144" s="98">
        <f>IFERROR(VLOOKUP(B144,OBJECTIFS!$H$76:$J$137,2,FALSE),0)</f>
        <v>0</v>
      </c>
      <c r="AT144" s="98">
        <f>IFERROR(VLOOKUP(B144,OBJECTIFS!$C$142:$E$203,2,FALSE),0)</f>
        <v>0</v>
      </c>
      <c r="AU144" s="98">
        <f>IFERROR(VLOOKUP(B144,OBJECTIFS!$H$142:$J$203,2,FALSE),0)</f>
        <v>0</v>
      </c>
      <c r="AV144" s="98">
        <f>IFERROR(VLOOKUP(B144,OBJECTIFS!$F$208:$H$269,3,FALSE),0)</f>
        <v>0</v>
      </c>
      <c r="AW144" s="81">
        <f t="shared" si="6"/>
        <v>0</v>
      </c>
      <c r="AX144" s="82"/>
      <c r="AY144" s="99" t="str">
        <f t="shared" ca="1" si="7"/>
        <v/>
      </c>
      <c r="AZ144" s="63"/>
      <c r="BA144" s="100">
        <f t="shared" ca="1" si="8"/>
        <v>0</v>
      </c>
      <c r="BB144" s="64" t="str">
        <f t="shared" ca="1" si="9"/>
        <v/>
      </c>
      <c r="BC144" s="101" t="str">
        <f t="shared" ca="1" si="10"/>
        <v/>
      </c>
    </row>
    <row r="145" spans="1:55" x14ac:dyDescent="0.2">
      <c r="A145" s="21"/>
      <c r="B145" s="22"/>
      <c r="C145" s="22"/>
      <c r="D145" s="23"/>
      <c r="E145" s="24"/>
      <c r="F145" s="34"/>
      <c r="H145" s="89" t="str">
        <f>IF(OR(D145="",F145="",A145=""),"",IF(E145="oui",0,IF(D145=OBJECTIFS!$C$45,VLOOKUP(F145,OBJECTIFS!$C$9:$D$11,2,FALSE),IF(D145=OBJECTIFS!$C$46,VLOOKUP(F145,OBJECTIFS!$C$16:$D$18,2,FALSE),IF(D145=OBJECTIFS!$C$47,VLOOKUP(F145,OBJECTIFS!$C$23:$D$25,2,FALSE),IF(D145=OBJECTIFS!$C$48,VLOOKUP(F145,OBJECTIFS!$C$30:$D$32,2,FALSE),IF(D145=OBJECTIFS!$C$49,VLOOKUP(F145,OBJECTIFS!$C$37:$D$39,2,FALSE))))))))</f>
        <v/>
      </c>
      <c r="J145" s="25"/>
      <c r="K145" s="90" t="str">
        <f>IF(OR($A145="",$D145="",J145=""),"",SUMIFS(OBJECTIFS!E$9:E$39,OBJECTIFS!$A$9:$A$39,$D145,OBJECTIFS!$C$9:$C$39,$F145))</f>
        <v/>
      </c>
      <c r="L145" s="90" t="str">
        <f>IF(OR(AND($D145=OBJECTIFS!$B$6,OBJECTIFS!E$8="dmt"),AND($D145=OBJECTIFS!$B$13,OBJECTIFS!$E$15="dmt"),AND($D145=OBJECTIFS!$B$20,OBJECTIFS!$E$22="dmt"),AND($D145=OBJECTIFS!$B$27,OBJECTIFS!$E$29="dmt"),AND($D145=OBJECTIFS!$B$34,OBJECTIFS!$E$36="dmt"),AND($D145=OBJECTIFS!$B$6,OBJECTIFS!$E$8="taux de chute"),AND($D145=OBJECTIFS!$B$13,OBJECTIFS!$E$15="taux de chute"),AND($D145=OBJECTIFS!$B$20,OBJECTIFS!$E$22="taux de chute"),AND($D145=OBJECTIFS!$B$27,OBJECTIFS!$E$29="taux de chute"),AND($D145=OBJECTIFS!$B$34,OBJECTIFS!$E$36="taux de chute")),IFERROR(K145/J145,""),IFERROR(J145/K145,""))</f>
        <v/>
      </c>
      <c r="M145" s="91">
        <f>IFERROR(IF(OR(J145="",K145="",L145=""),0,IF(L145&lt;OBJECTIFS!$E$56,0,IF(L145&lt;OBJECTIFS!$G$56,M$8*OBJECTIFS!$F$60,IF(L145&lt;OBJECTIFS!$I$56,M$8*OBJECTIFS!$H$60,M$8)))),0)</f>
        <v>0</v>
      </c>
      <c r="N145" s="161"/>
      <c r="O145" s="92" t="str">
        <f>IF(OR($A145="",$D145="",N145=""),"",SUMIFS(OBJECTIFS!F$9:F$39,OBJECTIFS!$A$9:$A$39,$D145,OBJECTIFS!$C$9:$C$39,$F145))</f>
        <v/>
      </c>
      <c r="P145" s="90" t="str">
        <f>IF(OR(AND($D145=OBJECTIFS!$B$6,OBJECTIFS!$F$8="dmt"),AND($D145=OBJECTIFS!$B$13,OBJECTIFS!$F$15="dmt"),AND($D145=OBJECTIFS!$B$20,OBJECTIFS!$F$22="dmt"),AND($D145=OBJECTIFS!$B$27,OBJECTIFS!$F$29="dmt"),AND($D145=OBJECTIFS!$B$34,OBJECTIFS!$F$36="dmt"),AND($D145=OBJECTIFS!$B$6,OBJECTIFS!$F$8="taux de chute"),AND($D145=OBJECTIFS!$B$13,OBJECTIFS!$F$15="taux de chute"),AND($D145=OBJECTIFS!$B$20,OBJECTIFS!$F$22="taux de chute"),AND($D145=OBJECTIFS!$B$27,OBJECTIFS!$F$29="taux de chute"),AND($D145=OBJECTIFS!$B$34,OBJECTIFS!$F$36="taux de chute")),IFERROR(O145/N145,""),IFERROR(N145/O145,""))</f>
        <v/>
      </c>
      <c r="Q145" s="91">
        <f>IFERROR(IF(OR(N145="",O145="",P145=""),0,IF(P145&lt;OBJECTIFS!$E$56,0,IF(P145&lt;OBJECTIFS!$G$56,Q$8*OBJECTIFS!$F$60,IF(P145&lt;OBJECTIFS!$I$56,Q$8*OBJECTIFS!$H$60,Q$8)))),0)</f>
        <v>0</v>
      </c>
      <c r="R145" s="164"/>
      <c r="S145" s="93" t="str">
        <f>IF(OR($A145="",$D145="",R145=""),"",SUMIFS(OBJECTIFS!G$9:G$39,OBJECTIFS!$A$9:$A$39,$D145,OBJECTIFS!$C$9:$C$39,$F145))</f>
        <v/>
      </c>
      <c r="T145" s="90" t="str">
        <f>IF(OR(AND($D145=OBJECTIFS!$B$6,OBJECTIFS!G$8="dmt"),AND($D145=OBJECTIFS!$B$13,OBJECTIFS!$G$15="dmt"),AND($D145=OBJECTIFS!$B$20,OBJECTIFS!$G$22="dmt"),AND($D145=OBJECTIFS!$B$27,OBJECTIFS!$G$29="dmt"),AND($D145=OBJECTIFS!$B$34,OBJECTIFS!$G$36="dmt"),AND($D145=OBJECTIFS!$B$6,OBJECTIFS!$G$8="taux de chute"),AND($D145=OBJECTIFS!$B$13,OBJECTIFS!$G$15="taux de chute"),AND($D145=OBJECTIFS!$B$20,OBJECTIFS!$G$22="taux de chute"),AND($D145=OBJECTIFS!$B$27,OBJECTIFS!$G$29="taux de chute"),AND($D145=OBJECTIFS!$B$34,OBJECTIFS!$G$36="taux de chute")),IFERROR(S145/R145,""),IFERROR(R145/S145,""))</f>
        <v/>
      </c>
      <c r="U145" s="94">
        <f>IFERROR(IF(OR(R145="",S145="",T145=""),0,IF(T145&lt;OBJECTIFS!$E$56,0,IF(T145&lt;OBJECTIFS!$G$56,U$8*OBJECTIFS!$F$60,IF(T145&lt;OBJECTIFS!$I$56,U$8*OBJECTIFS!$H$60,U$8)))),0)</f>
        <v>0</v>
      </c>
      <c r="V145" s="25"/>
      <c r="W145" s="90" t="str">
        <f>IF(OR($A145="",$D145="",V145=""),"",SUMIFS(OBJECTIFS!H$9:H$39,OBJECTIFS!$A$9:$A$39,$D145,OBJECTIFS!$C$9:$C$39,$F145))</f>
        <v/>
      </c>
      <c r="X145" s="90" t="str">
        <f>IF(OR(AND($D145=OBJECTIFS!$B$6,OBJECTIFS!H$8="dmt"),AND($D145=OBJECTIFS!$B$13,OBJECTIFS!$H$15="dmt"),AND($D145=OBJECTIFS!$B$20,OBJECTIFS!$H$22="dmt"),AND($D145=OBJECTIFS!$B$27,OBJECTIFS!$H$29="dmt"),AND($D145=OBJECTIFS!$B$34,OBJECTIFS!$H$36="dmt"),AND($D145=OBJECTIFS!$B$6,OBJECTIFS!$H$8="taux de chute"),AND($D145=OBJECTIFS!$B$13,OBJECTIFS!$H$15="taux de chute"),AND($D145=OBJECTIFS!$B$20,OBJECTIFS!$H$22="taux de chute"),AND($D145=OBJECTIFS!$B$27,OBJECTIFS!$H$29="taux de chute"),AND($D145=OBJECTIFS!$B$34,OBJECTIFS!$H$36="taux de chute")),IFERROR(W145/V145,""),IFERROR(V145/W145,""))</f>
        <v/>
      </c>
      <c r="Y145" s="91">
        <f>IFERROR(IF(OR(V145="",W145="",X145=""),0,IF(X145&lt;OBJECTIFS!$E$56,0,IF(X145&lt;OBJECTIFS!$G$56,Y$8*OBJECTIFS!$F$60,IF(X145&lt;OBJECTIFS!$I$56,Y$8*OBJECTIFS!$H$60,Y$8)))),0)</f>
        <v>0</v>
      </c>
      <c r="Z145" s="167"/>
      <c r="AA145" s="90" t="str">
        <f>IF(OR($A145="",$D145="",Z145=""),"",SUMIFS(OBJECTIFS!I$9:I$39,OBJECTIFS!$A$9:$A$39,$D145,OBJECTIFS!$C$9:$C$39,$F145))</f>
        <v/>
      </c>
      <c r="AB145" s="90" t="str">
        <f>IF(OR(AND($D145=OBJECTIFS!$B$6,OBJECTIFS!I$8="dmt"),AND($D145=OBJECTIFS!$B$13,OBJECTIFS!$I$15="dmt"),AND($D145=OBJECTIFS!$B$20,OBJECTIFS!$I$22="dmt"),AND($D145=OBJECTIFS!$B$27,OBJECTIFS!$I$29="dmt"),AND($D145=OBJECTIFS!$B$34,OBJECTIFS!$I$36="dmt"),AND($D145=OBJECTIFS!$B$6,OBJECTIFS!$I$8="taux de chute"),AND($D145=OBJECTIFS!$B$13,OBJECTIFS!$I$15="taux de chute"),AND($D145=OBJECTIFS!$B$20,OBJECTIFS!$I$22="taux de chute"),AND($D145=OBJECTIFS!$B$27,OBJECTIFS!$I$29="taux de chute"),AND($D145=OBJECTIFS!$B$34,OBJECTIFS!$I$36="taux de chute")),IFERROR(AA145/Z145,""),IFERROR(Z145/AA145,""))</f>
        <v/>
      </c>
      <c r="AC145" s="95">
        <f>IFERROR(IF(OR(Z145="",AA145="",AB145=""),0,IF(AB145&lt;OBJECTIFS!$E$56,0,IF(AB145&lt;OBJECTIFS!$G$56,AC$8*OBJECTIFS!$F$60,IF(AB145&lt;OBJECTIFS!$I$56,AC$8*OBJECTIFS!$H$60,AC$8)))),0)</f>
        <v>0</v>
      </c>
      <c r="AD145" s="186"/>
      <c r="AE145" s="187"/>
      <c r="AF145" s="96">
        <f t="shared" ca="1" si="2"/>
        <v>0</v>
      </c>
      <c r="AG145" s="63"/>
      <c r="AH145" s="186"/>
      <c r="AI145" s="24"/>
      <c r="AJ145" s="24"/>
      <c r="AK145" s="24"/>
      <c r="AL145" s="24"/>
      <c r="AM145" s="79">
        <f t="shared" si="3"/>
        <v>0</v>
      </c>
      <c r="AN145" s="79">
        <v>22</v>
      </c>
      <c r="AO145" s="80">
        <f t="shared" si="4"/>
        <v>0</v>
      </c>
      <c r="AP145" s="81" t="str">
        <f t="shared" ca="1" si="5"/>
        <v/>
      </c>
      <c r="AQ145" s="82"/>
      <c r="AR145" s="97">
        <f>IFERROR(VLOOKUP(B145,OBJECTIFS!$C$76:$E$137,2,FALSE),0)</f>
        <v>0</v>
      </c>
      <c r="AS145" s="98">
        <f>IFERROR(VLOOKUP(B145,OBJECTIFS!$H$76:$J$137,2,FALSE),0)</f>
        <v>0</v>
      </c>
      <c r="AT145" s="98">
        <f>IFERROR(VLOOKUP(B145,OBJECTIFS!$C$142:$E$203,2,FALSE),0)</f>
        <v>0</v>
      </c>
      <c r="AU145" s="98">
        <f>IFERROR(VLOOKUP(B145,OBJECTIFS!$H$142:$J$203,2,FALSE),0)</f>
        <v>0</v>
      </c>
      <c r="AV145" s="98">
        <f>IFERROR(VLOOKUP(B145,OBJECTIFS!$F$208:$H$269,3,FALSE),0)</f>
        <v>0</v>
      </c>
      <c r="AW145" s="81">
        <f t="shared" si="6"/>
        <v>0</v>
      </c>
      <c r="AX145" s="82"/>
      <c r="AY145" s="99" t="str">
        <f t="shared" ca="1" si="7"/>
        <v/>
      </c>
      <c r="AZ145" s="63"/>
      <c r="BA145" s="100">
        <f t="shared" ca="1" si="8"/>
        <v>0</v>
      </c>
      <c r="BB145" s="64" t="str">
        <f t="shared" ca="1" si="9"/>
        <v/>
      </c>
      <c r="BC145" s="101" t="str">
        <f t="shared" ca="1" si="10"/>
        <v/>
      </c>
    </row>
    <row r="146" spans="1:55" x14ac:dyDescent="0.2">
      <c r="A146" s="21"/>
      <c r="B146" s="22"/>
      <c r="C146" s="22"/>
      <c r="D146" s="23"/>
      <c r="E146" s="24"/>
      <c r="F146" s="34"/>
      <c r="H146" s="89" t="str">
        <f>IF(OR(D146="",F146="",A146=""),"",IF(E146="oui",0,IF(D146=OBJECTIFS!$C$45,VLOOKUP(F146,OBJECTIFS!$C$9:$D$11,2,FALSE),IF(D146=OBJECTIFS!$C$46,VLOOKUP(F146,OBJECTIFS!$C$16:$D$18,2,FALSE),IF(D146=OBJECTIFS!$C$47,VLOOKUP(F146,OBJECTIFS!$C$23:$D$25,2,FALSE),IF(D146=OBJECTIFS!$C$48,VLOOKUP(F146,OBJECTIFS!$C$30:$D$32,2,FALSE),IF(D146=OBJECTIFS!$C$49,VLOOKUP(F146,OBJECTIFS!$C$37:$D$39,2,FALSE))))))))</f>
        <v/>
      </c>
      <c r="J146" s="25"/>
      <c r="K146" s="90" t="str">
        <f>IF(OR($A146="",$D146="",J146=""),"",SUMIFS(OBJECTIFS!E$9:E$39,OBJECTIFS!$A$9:$A$39,$D146,OBJECTIFS!$C$9:$C$39,$F146))</f>
        <v/>
      </c>
      <c r="L146" s="90" t="str">
        <f>IF(OR(AND($D146=OBJECTIFS!$B$6,OBJECTIFS!E$8="dmt"),AND($D146=OBJECTIFS!$B$13,OBJECTIFS!$E$15="dmt"),AND($D146=OBJECTIFS!$B$20,OBJECTIFS!$E$22="dmt"),AND($D146=OBJECTIFS!$B$27,OBJECTIFS!$E$29="dmt"),AND($D146=OBJECTIFS!$B$34,OBJECTIFS!$E$36="dmt"),AND($D146=OBJECTIFS!$B$6,OBJECTIFS!$E$8="taux de chute"),AND($D146=OBJECTIFS!$B$13,OBJECTIFS!$E$15="taux de chute"),AND($D146=OBJECTIFS!$B$20,OBJECTIFS!$E$22="taux de chute"),AND($D146=OBJECTIFS!$B$27,OBJECTIFS!$E$29="taux de chute"),AND($D146=OBJECTIFS!$B$34,OBJECTIFS!$E$36="taux de chute")),IFERROR(K146/J146,""),IFERROR(J146/K146,""))</f>
        <v/>
      </c>
      <c r="M146" s="91">
        <f>IFERROR(IF(OR(J146="",K146="",L146=""),0,IF(L146&lt;OBJECTIFS!$E$56,0,IF(L146&lt;OBJECTIFS!$G$56,M$8*OBJECTIFS!$F$60,IF(L146&lt;OBJECTIFS!$I$56,M$8*OBJECTIFS!$H$60,M$8)))),0)</f>
        <v>0</v>
      </c>
      <c r="N146" s="161"/>
      <c r="O146" s="92" t="str">
        <f>IF(OR($A146="",$D146="",N146=""),"",SUMIFS(OBJECTIFS!F$9:F$39,OBJECTIFS!$A$9:$A$39,$D146,OBJECTIFS!$C$9:$C$39,$F146))</f>
        <v/>
      </c>
      <c r="P146" s="90" t="str">
        <f>IF(OR(AND($D146=OBJECTIFS!$B$6,OBJECTIFS!$F$8="dmt"),AND($D146=OBJECTIFS!$B$13,OBJECTIFS!$F$15="dmt"),AND($D146=OBJECTIFS!$B$20,OBJECTIFS!$F$22="dmt"),AND($D146=OBJECTIFS!$B$27,OBJECTIFS!$F$29="dmt"),AND($D146=OBJECTIFS!$B$34,OBJECTIFS!$F$36="dmt"),AND($D146=OBJECTIFS!$B$6,OBJECTIFS!$F$8="taux de chute"),AND($D146=OBJECTIFS!$B$13,OBJECTIFS!$F$15="taux de chute"),AND($D146=OBJECTIFS!$B$20,OBJECTIFS!$F$22="taux de chute"),AND($D146=OBJECTIFS!$B$27,OBJECTIFS!$F$29="taux de chute"),AND($D146=OBJECTIFS!$B$34,OBJECTIFS!$F$36="taux de chute")),IFERROR(O146/N146,""),IFERROR(N146/O146,""))</f>
        <v/>
      </c>
      <c r="Q146" s="91">
        <f>IFERROR(IF(OR(N146="",O146="",P146=""),0,IF(P146&lt;OBJECTIFS!$E$56,0,IF(P146&lt;OBJECTIFS!$G$56,Q$8*OBJECTIFS!$F$60,IF(P146&lt;OBJECTIFS!$I$56,Q$8*OBJECTIFS!$H$60,Q$8)))),0)</f>
        <v>0</v>
      </c>
      <c r="R146" s="164"/>
      <c r="S146" s="93" t="str">
        <f>IF(OR($A146="",$D146="",R146=""),"",SUMIFS(OBJECTIFS!G$9:G$39,OBJECTIFS!$A$9:$A$39,$D146,OBJECTIFS!$C$9:$C$39,$F146))</f>
        <v/>
      </c>
      <c r="T146" s="90" t="str">
        <f>IF(OR(AND($D146=OBJECTIFS!$B$6,OBJECTIFS!G$8="dmt"),AND($D146=OBJECTIFS!$B$13,OBJECTIFS!$G$15="dmt"),AND($D146=OBJECTIFS!$B$20,OBJECTIFS!$G$22="dmt"),AND($D146=OBJECTIFS!$B$27,OBJECTIFS!$G$29="dmt"),AND($D146=OBJECTIFS!$B$34,OBJECTIFS!$G$36="dmt"),AND($D146=OBJECTIFS!$B$6,OBJECTIFS!$G$8="taux de chute"),AND($D146=OBJECTIFS!$B$13,OBJECTIFS!$G$15="taux de chute"),AND($D146=OBJECTIFS!$B$20,OBJECTIFS!$G$22="taux de chute"),AND($D146=OBJECTIFS!$B$27,OBJECTIFS!$G$29="taux de chute"),AND($D146=OBJECTIFS!$B$34,OBJECTIFS!$G$36="taux de chute")),IFERROR(S146/R146,""),IFERROR(R146/S146,""))</f>
        <v/>
      </c>
      <c r="U146" s="94">
        <f>IFERROR(IF(OR(R146="",S146="",T146=""),0,IF(T146&lt;OBJECTIFS!$E$56,0,IF(T146&lt;OBJECTIFS!$G$56,U$8*OBJECTIFS!$F$60,IF(T146&lt;OBJECTIFS!$I$56,U$8*OBJECTIFS!$H$60,U$8)))),0)</f>
        <v>0</v>
      </c>
      <c r="V146" s="25"/>
      <c r="W146" s="90" t="str">
        <f>IF(OR($A146="",$D146="",V146=""),"",SUMIFS(OBJECTIFS!H$9:H$39,OBJECTIFS!$A$9:$A$39,$D146,OBJECTIFS!$C$9:$C$39,$F146))</f>
        <v/>
      </c>
      <c r="X146" s="90" t="str">
        <f>IF(OR(AND($D146=OBJECTIFS!$B$6,OBJECTIFS!H$8="dmt"),AND($D146=OBJECTIFS!$B$13,OBJECTIFS!$H$15="dmt"),AND($D146=OBJECTIFS!$B$20,OBJECTIFS!$H$22="dmt"),AND($D146=OBJECTIFS!$B$27,OBJECTIFS!$H$29="dmt"),AND($D146=OBJECTIFS!$B$34,OBJECTIFS!$H$36="dmt"),AND($D146=OBJECTIFS!$B$6,OBJECTIFS!$H$8="taux de chute"),AND($D146=OBJECTIFS!$B$13,OBJECTIFS!$H$15="taux de chute"),AND($D146=OBJECTIFS!$B$20,OBJECTIFS!$H$22="taux de chute"),AND($D146=OBJECTIFS!$B$27,OBJECTIFS!$H$29="taux de chute"),AND($D146=OBJECTIFS!$B$34,OBJECTIFS!$H$36="taux de chute")),IFERROR(W146/V146,""),IFERROR(V146/W146,""))</f>
        <v/>
      </c>
      <c r="Y146" s="91">
        <f>IFERROR(IF(OR(V146="",W146="",X146=""),0,IF(X146&lt;OBJECTIFS!$E$56,0,IF(X146&lt;OBJECTIFS!$G$56,Y$8*OBJECTIFS!$F$60,IF(X146&lt;OBJECTIFS!$I$56,Y$8*OBJECTIFS!$H$60,Y$8)))),0)</f>
        <v>0</v>
      </c>
      <c r="Z146" s="167"/>
      <c r="AA146" s="90" t="str">
        <f>IF(OR($A146="",$D146="",Z146=""),"",SUMIFS(OBJECTIFS!I$9:I$39,OBJECTIFS!$A$9:$A$39,$D146,OBJECTIFS!$C$9:$C$39,$F146))</f>
        <v/>
      </c>
      <c r="AB146" s="90" t="str">
        <f>IF(OR(AND($D146=OBJECTIFS!$B$6,OBJECTIFS!I$8="dmt"),AND($D146=OBJECTIFS!$B$13,OBJECTIFS!$I$15="dmt"),AND($D146=OBJECTIFS!$B$20,OBJECTIFS!$I$22="dmt"),AND($D146=OBJECTIFS!$B$27,OBJECTIFS!$I$29="dmt"),AND($D146=OBJECTIFS!$B$34,OBJECTIFS!$I$36="dmt"),AND($D146=OBJECTIFS!$B$6,OBJECTIFS!$I$8="taux de chute"),AND($D146=OBJECTIFS!$B$13,OBJECTIFS!$I$15="taux de chute"),AND($D146=OBJECTIFS!$B$20,OBJECTIFS!$I$22="taux de chute"),AND($D146=OBJECTIFS!$B$27,OBJECTIFS!$I$29="taux de chute"),AND($D146=OBJECTIFS!$B$34,OBJECTIFS!$I$36="taux de chute")),IFERROR(AA146/Z146,""),IFERROR(Z146/AA146,""))</f>
        <v/>
      </c>
      <c r="AC146" s="95">
        <f>IFERROR(IF(OR(Z146="",AA146="",AB146=""),0,IF(AB146&lt;OBJECTIFS!$E$56,0,IF(AB146&lt;OBJECTIFS!$G$56,AC$8*OBJECTIFS!$F$60,IF(AB146&lt;OBJECTIFS!$I$56,AC$8*OBJECTIFS!$H$60,AC$8)))),0)</f>
        <v>0</v>
      </c>
      <c r="AD146" s="186"/>
      <c r="AE146" s="187"/>
      <c r="AF146" s="96">
        <f t="shared" ca="1" si="2"/>
        <v>0</v>
      </c>
      <c r="AG146" s="63"/>
      <c r="AH146" s="186"/>
      <c r="AI146" s="24"/>
      <c r="AJ146" s="24"/>
      <c r="AK146" s="24"/>
      <c r="AL146" s="24"/>
      <c r="AM146" s="79">
        <f t="shared" si="3"/>
        <v>0</v>
      </c>
      <c r="AN146" s="79">
        <v>22</v>
      </c>
      <c r="AO146" s="80">
        <f t="shared" si="4"/>
        <v>0</v>
      </c>
      <c r="AP146" s="81" t="str">
        <f t="shared" ca="1" si="5"/>
        <v/>
      </c>
      <c r="AQ146" s="82"/>
      <c r="AR146" s="97">
        <f>IFERROR(VLOOKUP(B146,OBJECTIFS!$C$76:$E$137,2,FALSE),0)</f>
        <v>0</v>
      </c>
      <c r="AS146" s="98">
        <f>IFERROR(VLOOKUP(B146,OBJECTIFS!$H$76:$J$137,2,FALSE),0)</f>
        <v>0</v>
      </c>
      <c r="AT146" s="98">
        <f>IFERROR(VLOOKUP(B146,OBJECTIFS!$C$142:$E$203,2,FALSE),0)</f>
        <v>0</v>
      </c>
      <c r="AU146" s="98">
        <f>IFERROR(VLOOKUP(B146,OBJECTIFS!$H$142:$J$203,2,FALSE),0)</f>
        <v>0</v>
      </c>
      <c r="AV146" s="98">
        <f>IFERROR(VLOOKUP(B146,OBJECTIFS!$F$208:$H$269,3,FALSE),0)</f>
        <v>0</v>
      </c>
      <c r="AW146" s="81">
        <f t="shared" si="6"/>
        <v>0</v>
      </c>
      <c r="AX146" s="82"/>
      <c r="AY146" s="99" t="str">
        <f t="shared" ca="1" si="7"/>
        <v/>
      </c>
      <c r="AZ146" s="63"/>
      <c r="BA146" s="100">
        <f t="shared" ca="1" si="8"/>
        <v>0</v>
      </c>
      <c r="BB146" s="64" t="str">
        <f t="shared" ca="1" si="9"/>
        <v/>
      </c>
      <c r="BC146" s="101" t="str">
        <f t="shared" ca="1" si="10"/>
        <v/>
      </c>
    </row>
    <row r="147" spans="1:55" x14ac:dyDescent="0.2">
      <c r="A147" s="21"/>
      <c r="B147" s="22"/>
      <c r="C147" s="22"/>
      <c r="D147" s="23"/>
      <c r="E147" s="24"/>
      <c r="F147" s="34"/>
      <c r="H147" s="89" t="str">
        <f>IF(OR(D147="",F147="",A147=""),"",IF(E147="oui",0,IF(D147=OBJECTIFS!$C$45,VLOOKUP(F147,OBJECTIFS!$C$9:$D$11,2,FALSE),IF(D147=OBJECTIFS!$C$46,VLOOKUP(F147,OBJECTIFS!$C$16:$D$18,2,FALSE),IF(D147=OBJECTIFS!$C$47,VLOOKUP(F147,OBJECTIFS!$C$23:$D$25,2,FALSE),IF(D147=OBJECTIFS!$C$48,VLOOKUP(F147,OBJECTIFS!$C$30:$D$32,2,FALSE),IF(D147=OBJECTIFS!$C$49,VLOOKUP(F147,OBJECTIFS!$C$37:$D$39,2,FALSE))))))))</f>
        <v/>
      </c>
      <c r="J147" s="25"/>
      <c r="K147" s="90" t="str">
        <f>IF(OR($A147="",$D147="",J147=""),"",SUMIFS(OBJECTIFS!E$9:E$39,OBJECTIFS!$A$9:$A$39,$D147,OBJECTIFS!$C$9:$C$39,$F147))</f>
        <v/>
      </c>
      <c r="L147" s="90" t="str">
        <f>IF(OR(AND($D147=OBJECTIFS!$B$6,OBJECTIFS!E$8="dmt"),AND($D147=OBJECTIFS!$B$13,OBJECTIFS!$E$15="dmt"),AND($D147=OBJECTIFS!$B$20,OBJECTIFS!$E$22="dmt"),AND($D147=OBJECTIFS!$B$27,OBJECTIFS!$E$29="dmt"),AND($D147=OBJECTIFS!$B$34,OBJECTIFS!$E$36="dmt"),AND($D147=OBJECTIFS!$B$6,OBJECTIFS!$E$8="taux de chute"),AND($D147=OBJECTIFS!$B$13,OBJECTIFS!$E$15="taux de chute"),AND($D147=OBJECTIFS!$B$20,OBJECTIFS!$E$22="taux de chute"),AND($D147=OBJECTIFS!$B$27,OBJECTIFS!$E$29="taux de chute"),AND($D147=OBJECTIFS!$B$34,OBJECTIFS!$E$36="taux de chute")),IFERROR(K147/J147,""),IFERROR(J147/K147,""))</f>
        <v/>
      </c>
      <c r="M147" s="91">
        <f>IFERROR(IF(OR(J147="",K147="",L147=""),0,IF(L147&lt;OBJECTIFS!$E$56,0,IF(L147&lt;OBJECTIFS!$G$56,M$8*OBJECTIFS!$F$60,IF(L147&lt;OBJECTIFS!$I$56,M$8*OBJECTIFS!$H$60,M$8)))),0)</f>
        <v>0</v>
      </c>
      <c r="N147" s="161"/>
      <c r="O147" s="92" t="str">
        <f>IF(OR($A147="",$D147="",N147=""),"",SUMIFS(OBJECTIFS!F$9:F$39,OBJECTIFS!$A$9:$A$39,$D147,OBJECTIFS!$C$9:$C$39,$F147))</f>
        <v/>
      </c>
      <c r="P147" s="90" t="str">
        <f>IF(OR(AND($D147=OBJECTIFS!$B$6,OBJECTIFS!$F$8="dmt"),AND($D147=OBJECTIFS!$B$13,OBJECTIFS!$F$15="dmt"),AND($D147=OBJECTIFS!$B$20,OBJECTIFS!$F$22="dmt"),AND($D147=OBJECTIFS!$B$27,OBJECTIFS!$F$29="dmt"),AND($D147=OBJECTIFS!$B$34,OBJECTIFS!$F$36="dmt"),AND($D147=OBJECTIFS!$B$6,OBJECTIFS!$F$8="taux de chute"),AND($D147=OBJECTIFS!$B$13,OBJECTIFS!$F$15="taux de chute"),AND($D147=OBJECTIFS!$B$20,OBJECTIFS!$F$22="taux de chute"),AND($D147=OBJECTIFS!$B$27,OBJECTIFS!$F$29="taux de chute"),AND($D147=OBJECTIFS!$B$34,OBJECTIFS!$F$36="taux de chute")),IFERROR(O147/N147,""),IFERROR(N147/O147,""))</f>
        <v/>
      </c>
      <c r="Q147" s="91">
        <f>IFERROR(IF(OR(N147="",O147="",P147=""),0,IF(P147&lt;OBJECTIFS!$E$56,0,IF(P147&lt;OBJECTIFS!$G$56,Q$8*OBJECTIFS!$F$60,IF(P147&lt;OBJECTIFS!$I$56,Q$8*OBJECTIFS!$H$60,Q$8)))),0)</f>
        <v>0</v>
      </c>
      <c r="R147" s="164"/>
      <c r="S147" s="93" t="str">
        <f>IF(OR($A147="",$D147="",R147=""),"",SUMIFS(OBJECTIFS!G$9:G$39,OBJECTIFS!$A$9:$A$39,$D147,OBJECTIFS!$C$9:$C$39,$F147))</f>
        <v/>
      </c>
      <c r="T147" s="90" t="str">
        <f>IF(OR(AND($D147=OBJECTIFS!$B$6,OBJECTIFS!G$8="dmt"),AND($D147=OBJECTIFS!$B$13,OBJECTIFS!$G$15="dmt"),AND($D147=OBJECTIFS!$B$20,OBJECTIFS!$G$22="dmt"),AND($D147=OBJECTIFS!$B$27,OBJECTIFS!$G$29="dmt"),AND($D147=OBJECTIFS!$B$34,OBJECTIFS!$G$36="dmt"),AND($D147=OBJECTIFS!$B$6,OBJECTIFS!$G$8="taux de chute"),AND($D147=OBJECTIFS!$B$13,OBJECTIFS!$G$15="taux de chute"),AND($D147=OBJECTIFS!$B$20,OBJECTIFS!$G$22="taux de chute"),AND($D147=OBJECTIFS!$B$27,OBJECTIFS!$G$29="taux de chute"),AND($D147=OBJECTIFS!$B$34,OBJECTIFS!$G$36="taux de chute")),IFERROR(S147/R147,""),IFERROR(R147/S147,""))</f>
        <v/>
      </c>
      <c r="U147" s="94">
        <f>IFERROR(IF(OR(R147="",S147="",T147=""),0,IF(T147&lt;OBJECTIFS!$E$56,0,IF(T147&lt;OBJECTIFS!$G$56,U$8*OBJECTIFS!$F$60,IF(T147&lt;OBJECTIFS!$I$56,U$8*OBJECTIFS!$H$60,U$8)))),0)</f>
        <v>0</v>
      </c>
      <c r="V147" s="25"/>
      <c r="W147" s="90" t="str">
        <f>IF(OR($A147="",$D147="",V147=""),"",SUMIFS(OBJECTIFS!H$9:H$39,OBJECTIFS!$A$9:$A$39,$D147,OBJECTIFS!$C$9:$C$39,$F147))</f>
        <v/>
      </c>
      <c r="X147" s="90" t="str">
        <f>IF(OR(AND($D147=OBJECTIFS!$B$6,OBJECTIFS!H$8="dmt"),AND($D147=OBJECTIFS!$B$13,OBJECTIFS!$H$15="dmt"),AND($D147=OBJECTIFS!$B$20,OBJECTIFS!$H$22="dmt"),AND($D147=OBJECTIFS!$B$27,OBJECTIFS!$H$29="dmt"),AND($D147=OBJECTIFS!$B$34,OBJECTIFS!$H$36="dmt"),AND($D147=OBJECTIFS!$B$6,OBJECTIFS!$H$8="taux de chute"),AND($D147=OBJECTIFS!$B$13,OBJECTIFS!$H$15="taux de chute"),AND($D147=OBJECTIFS!$B$20,OBJECTIFS!$H$22="taux de chute"),AND($D147=OBJECTIFS!$B$27,OBJECTIFS!$H$29="taux de chute"),AND($D147=OBJECTIFS!$B$34,OBJECTIFS!$H$36="taux de chute")),IFERROR(W147/V147,""),IFERROR(V147/W147,""))</f>
        <v/>
      </c>
      <c r="Y147" s="91">
        <f>IFERROR(IF(OR(V147="",W147="",X147=""),0,IF(X147&lt;OBJECTIFS!$E$56,0,IF(X147&lt;OBJECTIFS!$G$56,Y$8*OBJECTIFS!$F$60,IF(X147&lt;OBJECTIFS!$I$56,Y$8*OBJECTIFS!$H$60,Y$8)))),0)</f>
        <v>0</v>
      </c>
      <c r="Z147" s="167"/>
      <c r="AA147" s="90" t="str">
        <f>IF(OR($A147="",$D147="",Z147=""),"",SUMIFS(OBJECTIFS!I$9:I$39,OBJECTIFS!$A$9:$A$39,$D147,OBJECTIFS!$C$9:$C$39,$F147))</f>
        <v/>
      </c>
      <c r="AB147" s="90" t="str">
        <f>IF(OR(AND($D147=OBJECTIFS!$B$6,OBJECTIFS!I$8="dmt"),AND($D147=OBJECTIFS!$B$13,OBJECTIFS!$I$15="dmt"),AND($D147=OBJECTIFS!$B$20,OBJECTIFS!$I$22="dmt"),AND($D147=OBJECTIFS!$B$27,OBJECTIFS!$I$29="dmt"),AND($D147=OBJECTIFS!$B$34,OBJECTIFS!$I$36="dmt"),AND($D147=OBJECTIFS!$B$6,OBJECTIFS!$I$8="taux de chute"),AND($D147=OBJECTIFS!$B$13,OBJECTIFS!$I$15="taux de chute"),AND($D147=OBJECTIFS!$B$20,OBJECTIFS!$I$22="taux de chute"),AND($D147=OBJECTIFS!$B$27,OBJECTIFS!$I$29="taux de chute"),AND($D147=OBJECTIFS!$B$34,OBJECTIFS!$I$36="taux de chute")),IFERROR(AA147/Z147,""),IFERROR(Z147/AA147,""))</f>
        <v/>
      </c>
      <c r="AC147" s="95">
        <f>IFERROR(IF(OR(Z147="",AA147="",AB147=""),0,IF(AB147&lt;OBJECTIFS!$E$56,0,IF(AB147&lt;OBJECTIFS!$G$56,AC$8*OBJECTIFS!$F$60,IF(AB147&lt;OBJECTIFS!$I$56,AC$8*OBJECTIFS!$H$60,AC$8)))),0)</f>
        <v>0</v>
      </c>
      <c r="AD147" s="186"/>
      <c r="AE147" s="187"/>
      <c r="AF147" s="96">
        <f t="shared" ca="1" si="2"/>
        <v>0</v>
      </c>
      <c r="AG147" s="63"/>
      <c r="AH147" s="186"/>
      <c r="AI147" s="24"/>
      <c r="AJ147" s="24"/>
      <c r="AK147" s="24"/>
      <c r="AL147" s="24"/>
      <c r="AM147" s="79">
        <f t="shared" si="3"/>
        <v>0</v>
      </c>
      <c r="AN147" s="79">
        <v>22</v>
      </c>
      <c r="AO147" s="80">
        <f t="shared" si="4"/>
        <v>0</v>
      </c>
      <c r="AP147" s="81" t="str">
        <f t="shared" ca="1" si="5"/>
        <v/>
      </c>
      <c r="AQ147" s="82"/>
      <c r="AR147" s="97">
        <f>IFERROR(VLOOKUP(B147,OBJECTIFS!$C$76:$E$137,2,FALSE),0)</f>
        <v>0</v>
      </c>
      <c r="AS147" s="98">
        <f>IFERROR(VLOOKUP(B147,OBJECTIFS!$H$76:$J$137,2,FALSE),0)</f>
        <v>0</v>
      </c>
      <c r="AT147" s="98">
        <f>IFERROR(VLOOKUP(B147,OBJECTIFS!$C$142:$E$203,2,FALSE),0)</f>
        <v>0</v>
      </c>
      <c r="AU147" s="98">
        <f>IFERROR(VLOOKUP(B147,OBJECTIFS!$H$142:$J$203,2,FALSE),0)</f>
        <v>0</v>
      </c>
      <c r="AV147" s="98">
        <f>IFERROR(VLOOKUP(B147,OBJECTIFS!$F$208:$H$269,3,FALSE),0)</f>
        <v>0</v>
      </c>
      <c r="AW147" s="81">
        <f t="shared" si="6"/>
        <v>0</v>
      </c>
      <c r="AX147" s="82"/>
      <c r="AY147" s="99" t="str">
        <f t="shared" ca="1" si="7"/>
        <v/>
      </c>
      <c r="AZ147" s="63"/>
      <c r="BA147" s="100">
        <f t="shared" ca="1" si="8"/>
        <v>0</v>
      </c>
      <c r="BB147" s="64" t="str">
        <f t="shared" ca="1" si="9"/>
        <v/>
      </c>
      <c r="BC147" s="101" t="str">
        <f t="shared" ca="1" si="10"/>
        <v/>
      </c>
    </row>
    <row r="148" spans="1:55" x14ac:dyDescent="0.2">
      <c r="A148" s="21"/>
      <c r="B148" s="22"/>
      <c r="C148" s="22"/>
      <c r="D148" s="23"/>
      <c r="E148" s="24"/>
      <c r="F148" s="34"/>
      <c r="H148" s="89" t="str">
        <f>IF(OR(D148="",F148="",A148=""),"",IF(E148="oui",0,IF(D148=OBJECTIFS!$C$45,VLOOKUP(F148,OBJECTIFS!$C$9:$D$11,2,FALSE),IF(D148=OBJECTIFS!$C$46,VLOOKUP(F148,OBJECTIFS!$C$16:$D$18,2,FALSE),IF(D148=OBJECTIFS!$C$47,VLOOKUP(F148,OBJECTIFS!$C$23:$D$25,2,FALSE),IF(D148=OBJECTIFS!$C$48,VLOOKUP(F148,OBJECTIFS!$C$30:$D$32,2,FALSE),IF(D148=OBJECTIFS!$C$49,VLOOKUP(F148,OBJECTIFS!$C$37:$D$39,2,FALSE))))))))</f>
        <v/>
      </c>
      <c r="J148" s="25"/>
      <c r="K148" s="90" t="str">
        <f>IF(OR($A148="",$D148="",J148=""),"",SUMIFS(OBJECTIFS!E$9:E$39,OBJECTIFS!$A$9:$A$39,$D148,OBJECTIFS!$C$9:$C$39,$F148))</f>
        <v/>
      </c>
      <c r="L148" s="90" t="str">
        <f>IF(OR(AND($D148=OBJECTIFS!$B$6,OBJECTIFS!E$8="dmt"),AND($D148=OBJECTIFS!$B$13,OBJECTIFS!$E$15="dmt"),AND($D148=OBJECTIFS!$B$20,OBJECTIFS!$E$22="dmt"),AND($D148=OBJECTIFS!$B$27,OBJECTIFS!$E$29="dmt"),AND($D148=OBJECTIFS!$B$34,OBJECTIFS!$E$36="dmt"),AND($D148=OBJECTIFS!$B$6,OBJECTIFS!$E$8="taux de chute"),AND($D148=OBJECTIFS!$B$13,OBJECTIFS!$E$15="taux de chute"),AND($D148=OBJECTIFS!$B$20,OBJECTIFS!$E$22="taux de chute"),AND($D148=OBJECTIFS!$B$27,OBJECTIFS!$E$29="taux de chute"),AND($D148=OBJECTIFS!$B$34,OBJECTIFS!$E$36="taux de chute")),IFERROR(K148/J148,""),IFERROR(J148/K148,""))</f>
        <v/>
      </c>
      <c r="M148" s="91">
        <f>IFERROR(IF(OR(J148="",K148="",L148=""),0,IF(L148&lt;OBJECTIFS!$E$56,0,IF(L148&lt;OBJECTIFS!$G$56,M$8*OBJECTIFS!$F$60,IF(L148&lt;OBJECTIFS!$I$56,M$8*OBJECTIFS!$H$60,M$8)))),0)</f>
        <v>0</v>
      </c>
      <c r="N148" s="161"/>
      <c r="O148" s="92" t="str">
        <f>IF(OR($A148="",$D148="",N148=""),"",SUMIFS(OBJECTIFS!F$9:F$39,OBJECTIFS!$A$9:$A$39,$D148,OBJECTIFS!$C$9:$C$39,$F148))</f>
        <v/>
      </c>
      <c r="P148" s="90" t="str">
        <f>IF(OR(AND($D148=OBJECTIFS!$B$6,OBJECTIFS!$F$8="dmt"),AND($D148=OBJECTIFS!$B$13,OBJECTIFS!$F$15="dmt"),AND($D148=OBJECTIFS!$B$20,OBJECTIFS!$F$22="dmt"),AND($D148=OBJECTIFS!$B$27,OBJECTIFS!$F$29="dmt"),AND($D148=OBJECTIFS!$B$34,OBJECTIFS!$F$36="dmt"),AND($D148=OBJECTIFS!$B$6,OBJECTIFS!$F$8="taux de chute"),AND($D148=OBJECTIFS!$B$13,OBJECTIFS!$F$15="taux de chute"),AND($D148=OBJECTIFS!$B$20,OBJECTIFS!$F$22="taux de chute"),AND($D148=OBJECTIFS!$B$27,OBJECTIFS!$F$29="taux de chute"),AND($D148=OBJECTIFS!$B$34,OBJECTIFS!$F$36="taux de chute")),IFERROR(O148/N148,""),IFERROR(N148/O148,""))</f>
        <v/>
      </c>
      <c r="Q148" s="91">
        <f>IFERROR(IF(OR(N148="",O148="",P148=""),0,IF(P148&lt;OBJECTIFS!$E$56,0,IF(P148&lt;OBJECTIFS!$G$56,Q$8*OBJECTIFS!$F$60,IF(P148&lt;OBJECTIFS!$I$56,Q$8*OBJECTIFS!$H$60,Q$8)))),0)</f>
        <v>0</v>
      </c>
      <c r="R148" s="164"/>
      <c r="S148" s="93" t="str">
        <f>IF(OR($A148="",$D148="",R148=""),"",SUMIFS(OBJECTIFS!G$9:G$39,OBJECTIFS!$A$9:$A$39,$D148,OBJECTIFS!$C$9:$C$39,$F148))</f>
        <v/>
      </c>
      <c r="T148" s="90" t="str">
        <f>IF(OR(AND($D148=OBJECTIFS!$B$6,OBJECTIFS!G$8="dmt"),AND($D148=OBJECTIFS!$B$13,OBJECTIFS!$G$15="dmt"),AND($D148=OBJECTIFS!$B$20,OBJECTIFS!$G$22="dmt"),AND($D148=OBJECTIFS!$B$27,OBJECTIFS!$G$29="dmt"),AND($D148=OBJECTIFS!$B$34,OBJECTIFS!$G$36="dmt"),AND($D148=OBJECTIFS!$B$6,OBJECTIFS!$G$8="taux de chute"),AND($D148=OBJECTIFS!$B$13,OBJECTIFS!$G$15="taux de chute"),AND($D148=OBJECTIFS!$B$20,OBJECTIFS!$G$22="taux de chute"),AND($D148=OBJECTIFS!$B$27,OBJECTIFS!$G$29="taux de chute"),AND($D148=OBJECTIFS!$B$34,OBJECTIFS!$G$36="taux de chute")),IFERROR(S148/R148,""),IFERROR(R148/S148,""))</f>
        <v/>
      </c>
      <c r="U148" s="94">
        <f>IFERROR(IF(OR(R148="",S148="",T148=""),0,IF(T148&lt;OBJECTIFS!$E$56,0,IF(T148&lt;OBJECTIFS!$G$56,U$8*OBJECTIFS!$F$60,IF(T148&lt;OBJECTIFS!$I$56,U$8*OBJECTIFS!$H$60,U$8)))),0)</f>
        <v>0</v>
      </c>
      <c r="V148" s="25"/>
      <c r="W148" s="90" t="str">
        <f>IF(OR($A148="",$D148="",V148=""),"",SUMIFS(OBJECTIFS!H$9:H$39,OBJECTIFS!$A$9:$A$39,$D148,OBJECTIFS!$C$9:$C$39,$F148))</f>
        <v/>
      </c>
      <c r="X148" s="90" t="str">
        <f>IF(OR(AND($D148=OBJECTIFS!$B$6,OBJECTIFS!H$8="dmt"),AND($D148=OBJECTIFS!$B$13,OBJECTIFS!$H$15="dmt"),AND($D148=OBJECTIFS!$B$20,OBJECTIFS!$H$22="dmt"),AND($D148=OBJECTIFS!$B$27,OBJECTIFS!$H$29="dmt"),AND($D148=OBJECTIFS!$B$34,OBJECTIFS!$H$36="dmt"),AND($D148=OBJECTIFS!$B$6,OBJECTIFS!$H$8="taux de chute"),AND($D148=OBJECTIFS!$B$13,OBJECTIFS!$H$15="taux de chute"),AND($D148=OBJECTIFS!$B$20,OBJECTIFS!$H$22="taux de chute"),AND($D148=OBJECTIFS!$B$27,OBJECTIFS!$H$29="taux de chute"),AND($D148=OBJECTIFS!$B$34,OBJECTIFS!$H$36="taux de chute")),IFERROR(W148/V148,""),IFERROR(V148/W148,""))</f>
        <v/>
      </c>
      <c r="Y148" s="91">
        <f>IFERROR(IF(OR(V148="",W148="",X148=""),0,IF(X148&lt;OBJECTIFS!$E$56,0,IF(X148&lt;OBJECTIFS!$G$56,Y$8*OBJECTIFS!$F$60,IF(X148&lt;OBJECTIFS!$I$56,Y$8*OBJECTIFS!$H$60,Y$8)))),0)</f>
        <v>0</v>
      </c>
      <c r="Z148" s="167"/>
      <c r="AA148" s="90" t="str">
        <f>IF(OR($A148="",$D148="",Z148=""),"",SUMIFS(OBJECTIFS!I$9:I$39,OBJECTIFS!$A$9:$A$39,$D148,OBJECTIFS!$C$9:$C$39,$F148))</f>
        <v/>
      </c>
      <c r="AB148" s="90" t="str">
        <f>IF(OR(AND($D148=OBJECTIFS!$B$6,OBJECTIFS!I$8="dmt"),AND($D148=OBJECTIFS!$B$13,OBJECTIFS!$I$15="dmt"),AND($D148=OBJECTIFS!$B$20,OBJECTIFS!$I$22="dmt"),AND($D148=OBJECTIFS!$B$27,OBJECTIFS!$I$29="dmt"),AND($D148=OBJECTIFS!$B$34,OBJECTIFS!$I$36="dmt"),AND($D148=OBJECTIFS!$B$6,OBJECTIFS!$I$8="taux de chute"),AND($D148=OBJECTIFS!$B$13,OBJECTIFS!$I$15="taux de chute"),AND($D148=OBJECTIFS!$B$20,OBJECTIFS!$I$22="taux de chute"),AND($D148=OBJECTIFS!$B$27,OBJECTIFS!$I$29="taux de chute"),AND($D148=OBJECTIFS!$B$34,OBJECTIFS!$I$36="taux de chute")),IFERROR(AA148/Z148,""),IFERROR(Z148/AA148,""))</f>
        <v/>
      </c>
      <c r="AC148" s="95">
        <f>IFERROR(IF(OR(Z148="",AA148="",AB148=""),0,IF(AB148&lt;OBJECTIFS!$E$56,0,IF(AB148&lt;OBJECTIFS!$G$56,AC$8*OBJECTIFS!$F$60,IF(AB148&lt;OBJECTIFS!$I$56,AC$8*OBJECTIFS!$H$60,AC$8)))),0)</f>
        <v>0</v>
      </c>
      <c r="AD148" s="186"/>
      <c r="AE148" s="187"/>
      <c r="AF148" s="96">
        <f t="shared" ca="1" si="2"/>
        <v>0</v>
      </c>
      <c r="AG148" s="63"/>
      <c r="AH148" s="186"/>
      <c r="AI148" s="24"/>
      <c r="AJ148" s="24"/>
      <c r="AK148" s="24"/>
      <c r="AL148" s="24"/>
      <c r="AM148" s="79">
        <f t="shared" si="3"/>
        <v>0</v>
      </c>
      <c r="AN148" s="79">
        <v>22</v>
      </c>
      <c r="AO148" s="80">
        <f t="shared" si="4"/>
        <v>0</v>
      </c>
      <c r="AP148" s="81" t="str">
        <f t="shared" ca="1" si="5"/>
        <v/>
      </c>
      <c r="AQ148" s="82"/>
      <c r="AR148" s="97">
        <f>IFERROR(VLOOKUP(B148,OBJECTIFS!$C$76:$E$137,2,FALSE),0)</f>
        <v>0</v>
      </c>
      <c r="AS148" s="98">
        <f>IFERROR(VLOOKUP(B148,OBJECTIFS!$H$76:$J$137,2,FALSE),0)</f>
        <v>0</v>
      </c>
      <c r="AT148" s="98">
        <f>IFERROR(VLOOKUP(B148,OBJECTIFS!$C$142:$E$203,2,FALSE),0)</f>
        <v>0</v>
      </c>
      <c r="AU148" s="98">
        <f>IFERROR(VLOOKUP(B148,OBJECTIFS!$H$142:$J$203,2,FALSE),0)</f>
        <v>0</v>
      </c>
      <c r="AV148" s="98">
        <f>IFERROR(VLOOKUP(B148,OBJECTIFS!$F$208:$H$269,3,FALSE),0)</f>
        <v>0</v>
      </c>
      <c r="AW148" s="81">
        <f t="shared" si="6"/>
        <v>0</v>
      </c>
      <c r="AX148" s="82"/>
      <c r="AY148" s="99" t="str">
        <f t="shared" ca="1" si="7"/>
        <v/>
      </c>
      <c r="AZ148" s="63"/>
      <c r="BA148" s="100">
        <f t="shared" ca="1" si="8"/>
        <v>0</v>
      </c>
      <c r="BB148" s="64" t="str">
        <f t="shared" ca="1" si="9"/>
        <v/>
      </c>
      <c r="BC148" s="101" t="str">
        <f t="shared" ca="1" si="10"/>
        <v/>
      </c>
    </row>
    <row r="149" spans="1:55" x14ac:dyDescent="0.2">
      <c r="A149" s="21"/>
      <c r="B149" s="22"/>
      <c r="C149" s="22"/>
      <c r="D149" s="23"/>
      <c r="E149" s="24"/>
      <c r="F149" s="34"/>
      <c r="H149" s="89" t="str">
        <f>IF(OR(D149="",F149="",A149=""),"",IF(E149="oui",0,IF(D149=OBJECTIFS!$C$45,VLOOKUP(F149,OBJECTIFS!$C$9:$D$11,2,FALSE),IF(D149=OBJECTIFS!$C$46,VLOOKUP(F149,OBJECTIFS!$C$16:$D$18,2,FALSE),IF(D149=OBJECTIFS!$C$47,VLOOKUP(F149,OBJECTIFS!$C$23:$D$25,2,FALSE),IF(D149=OBJECTIFS!$C$48,VLOOKUP(F149,OBJECTIFS!$C$30:$D$32,2,FALSE),IF(D149=OBJECTIFS!$C$49,VLOOKUP(F149,OBJECTIFS!$C$37:$D$39,2,FALSE))))))))</f>
        <v/>
      </c>
      <c r="J149" s="25"/>
      <c r="K149" s="90" t="str">
        <f>IF(OR($A149="",$D149="",J149=""),"",SUMIFS(OBJECTIFS!E$9:E$39,OBJECTIFS!$A$9:$A$39,$D149,OBJECTIFS!$C$9:$C$39,$F149))</f>
        <v/>
      </c>
      <c r="L149" s="90" t="str">
        <f>IF(OR(AND($D149=OBJECTIFS!$B$6,OBJECTIFS!E$8="dmt"),AND($D149=OBJECTIFS!$B$13,OBJECTIFS!$E$15="dmt"),AND($D149=OBJECTIFS!$B$20,OBJECTIFS!$E$22="dmt"),AND($D149=OBJECTIFS!$B$27,OBJECTIFS!$E$29="dmt"),AND($D149=OBJECTIFS!$B$34,OBJECTIFS!$E$36="dmt"),AND($D149=OBJECTIFS!$B$6,OBJECTIFS!$E$8="taux de chute"),AND($D149=OBJECTIFS!$B$13,OBJECTIFS!$E$15="taux de chute"),AND($D149=OBJECTIFS!$B$20,OBJECTIFS!$E$22="taux de chute"),AND($D149=OBJECTIFS!$B$27,OBJECTIFS!$E$29="taux de chute"),AND($D149=OBJECTIFS!$B$34,OBJECTIFS!$E$36="taux de chute")),IFERROR(K149/J149,""),IFERROR(J149/K149,""))</f>
        <v/>
      </c>
      <c r="M149" s="91">
        <f>IFERROR(IF(OR(J149="",K149="",L149=""),0,IF(L149&lt;OBJECTIFS!$E$56,0,IF(L149&lt;OBJECTIFS!$G$56,M$8*OBJECTIFS!$F$60,IF(L149&lt;OBJECTIFS!$I$56,M$8*OBJECTIFS!$H$60,M$8)))),0)</f>
        <v>0</v>
      </c>
      <c r="N149" s="161"/>
      <c r="O149" s="92" t="str">
        <f>IF(OR($A149="",$D149="",N149=""),"",SUMIFS(OBJECTIFS!F$9:F$39,OBJECTIFS!$A$9:$A$39,$D149,OBJECTIFS!$C$9:$C$39,$F149))</f>
        <v/>
      </c>
      <c r="P149" s="90" t="str">
        <f>IF(OR(AND($D149=OBJECTIFS!$B$6,OBJECTIFS!$F$8="dmt"),AND($D149=OBJECTIFS!$B$13,OBJECTIFS!$F$15="dmt"),AND($D149=OBJECTIFS!$B$20,OBJECTIFS!$F$22="dmt"),AND($D149=OBJECTIFS!$B$27,OBJECTIFS!$F$29="dmt"),AND($D149=OBJECTIFS!$B$34,OBJECTIFS!$F$36="dmt"),AND($D149=OBJECTIFS!$B$6,OBJECTIFS!$F$8="taux de chute"),AND($D149=OBJECTIFS!$B$13,OBJECTIFS!$F$15="taux de chute"),AND($D149=OBJECTIFS!$B$20,OBJECTIFS!$F$22="taux de chute"),AND($D149=OBJECTIFS!$B$27,OBJECTIFS!$F$29="taux de chute"),AND($D149=OBJECTIFS!$B$34,OBJECTIFS!$F$36="taux de chute")),IFERROR(O149/N149,""),IFERROR(N149/O149,""))</f>
        <v/>
      </c>
      <c r="Q149" s="91">
        <f>IFERROR(IF(OR(N149="",O149="",P149=""),0,IF(P149&lt;OBJECTIFS!$E$56,0,IF(P149&lt;OBJECTIFS!$G$56,Q$8*OBJECTIFS!$F$60,IF(P149&lt;OBJECTIFS!$I$56,Q$8*OBJECTIFS!$H$60,Q$8)))),0)</f>
        <v>0</v>
      </c>
      <c r="R149" s="164"/>
      <c r="S149" s="93" t="str">
        <f>IF(OR($A149="",$D149="",R149=""),"",SUMIFS(OBJECTIFS!G$9:G$39,OBJECTIFS!$A$9:$A$39,$D149,OBJECTIFS!$C$9:$C$39,$F149))</f>
        <v/>
      </c>
      <c r="T149" s="90" t="str">
        <f>IF(OR(AND($D149=OBJECTIFS!$B$6,OBJECTIFS!G$8="dmt"),AND($D149=OBJECTIFS!$B$13,OBJECTIFS!$G$15="dmt"),AND($D149=OBJECTIFS!$B$20,OBJECTIFS!$G$22="dmt"),AND($D149=OBJECTIFS!$B$27,OBJECTIFS!$G$29="dmt"),AND($D149=OBJECTIFS!$B$34,OBJECTIFS!$G$36="dmt"),AND($D149=OBJECTIFS!$B$6,OBJECTIFS!$G$8="taux de chute"),AND($D149=OBJECTIFS!$B$13,OBJECTIFS!$G$15="taux de chute"),AND($D149=OBJECTIFS!$B$20,OBJECTIFS!$G$22="taux de chute"),AND($D149=OBJECTIFS!$B$27,OBJECTIFS!$G$29="taux de chute"),AND($D149=OBJECTIFS!$B$34,OBJECTIFS!$G$36="taux de chute")),IFERROR(S149/R149,""),IFERROR(R149/S149,""))</f>
        <v/>
      </c>
      <c r="U149" s="94">
        <f>IFERROR(IF(OR(R149="",S149="",T149=""),0,IF(T149&lt;OBJECTIFS!$E$56,0,IF(T149&lt;OBJECTIFS!$G$56,U$8*OBJECTIFS!$F$60,IF(T149&lt;OBJECTIFS!$I$56,U$8*OBJECTIFS!$H$60,U$8)))),0)</f>
        <v>0</v>
      </c>
      <c r="V149" s="25"/>
      <c r="W149" s="90" t="str">
        <f>IF(OR($A149="",$D149="",V149=""),"",SUMIFS(OBJECTIFS!H$9:H$39,OBJECTIFS!$A$9:$A$39,$D149,OBJECTIFS!$C$9:$C$39,$F149))</f>
        <v/>
      </c>
      <c r="X149" s="90" t="str">
        <f>IF(OR(AND($D149=OBJECTIFS!$B$6,OBJECTIFS!H$8="dmt"),AND($D149=OBJECTIFS!$B$13,OBJECTIFS!$H$15="dmt"),AND($D149=OBJECTIFS!$B$20,OBJECTIFS!$H$22="dmt"),AND($D149=OBJECTIFS!$B$27,OBJECTIFS!$H$29="dmt"),AND($D149=OBJECTIFS!$B$34,OBJECTIFS!$H$36="dmt"),AND($D149=OBJECTIFS!$B$6,OBJECTIFS!$H$8="taux de chute"),AND($D149=OBJECTIFS!$B$13,OBJECTIFS!$H$15="taux de chute"),AND($D149=OBJECTIFS!$B$20,OBJECTIFS!$H$22="taux de chute"),AND($D149=OBJECTIFS!$B$27,OBJECTIFS!$H$29="taux de chute"),AND($D149=OBJECTIFS!$B$34,OBJECTIFS!$H$36="taux de chute")),IFERROR(W149/V149,""),IFERROR(V149/W149,""))</f>
        <v/>
      </c>
      <c r="Y149" s="91">
        <f>IFERROR(IF(OR(V149="",W149="",X149=""),0,IF(X149&lt;OBJECTIFS!$E$56,0,IF(X149&lt;OBJECTIFS!$G$56,Y$8*OBJECTIFS!$F$60,IF(X149&lt;OBJECTIFS!$I$56,Y$8*OBJECTIFS!$H$60,Y$8)))),0)</f>
        <v>0</v>
      </c>
      <c r="Z149" s="167"/>
      <c r="AA149" s="90" t="str">
        <f>IF(OR($A149="",$D149="",Z149=""),"",SUMIFS(OBJECTIFS!I$9:I$39,OBJECTIFS!$A$9:$A$39,$D149,OBJECTIFS!$C$9:$C$39,$F149))</f>
        <v/>
      </c>
      <c r="AB149" s="90" t="str">
        <f>IF(OR(AND($D149=OBJECTIFS!$B$6,OBJECTIFS!I$8="dmt"),AND($D149=OBJECTIFS!$B$13,OBJECTIFS!$I$15="dmt"),AND($D149=OBJECTIFS!$B$20,OBJECTIFS!$I$22="dmt"),AND($D149=OBJECTIFS!$B$27,OBJECTIFS!$I$29="dmt"),AND($D149=OBJECTIFS!$B$34,OBJECTIFS!$I$36="dmt"),AND($D149=OBJECTIFS!$B$6,OBJECTIFS!$I$8="taux de chute"),AND($D149=OBJECTIFS!$B$13,OBJECTIFS!$I$15="taux de chute"),AND($D149=OBJECTIFS!$B$20,OBJECTIFS!$I$22="taux de chute"),AND($D149=OBJECTIFS!$B$27,OBJECTIFS!$I$29="taux de chute"),AND($D149=OBJECTIFS!$B$34,OBJECTIFS!$I$36="taux de chute")),IFERROR(AA149/Z149,""),IFERROR(Z149/AA149,""))</f>
        <v/>
      </c>
      <c r="AC149" s="95">
        <f>IFERROR(IF(OR(Z149="",AA149="",AB149=""),0,IF(AB149&lt;OBJECTIFS!$E$56,0,IF(AB149&lt;OBJECTIFS!$G$56,AC$8*OBJECTIFS!$F$60,IF(AB149&lt;OBJECTIFS!$I$56,AC$8*OBJECTIFS!$H$60,AC$8)))),0)</f>
        <v>0</v>
      </c>
      <c r="AD149" s="186"/>
      <c r="AE149" s="187"/>
      <c r="AF149" s="96">
        <f t="shared" ca="1" si="2"/>
        <v>0</v>
      </c>
      <c r="AG149" s="63"/>
      <c r="AH149" s="186"/>
      <c r="AI149" s="24"/>
      <c r="AJ149" s="24"/>
      <c r="AK149" s="24"/>
      <c r="AL149" s="24"/>
      <c r="AM149" s="79">
        <f t="shared" si="3"/>
        <v>0</v>
      </c>
      <c r="AN149" s="79">
        <v>22</v>
      </c>
      <c r="AO149" s="80">
        <f t="shared" si="4"/>
        <v>0</v>
      </c>
      <c r="AP149" s="81" t="str">
        <f t="shared" ca="1" si="5"/>
        <v/>
      </c>
      <c r="AQ149" s="82"/>
      <c r="AR149" s="97">
        <f>IFERROR(VLOOKUP(B149,OBJECTIFS!$C$76:$E$137,2,FALSE),0)</f>
        <v>0</v>
      </c>
      <c r="AS149" s="98">
        <f>IFERROR(VLOOKUP(B149,OBJECTIFS!$H$76:$J$137,2,FALSE),0)</f>
        <v>0</v>
      </c>
      <c r="AT149" s="98">
        <f>IFERROR(VLOOKUP(B149,OBJECTIFS!$C$142:$E$203,2,FALSE),0)</f>
        <v>0</v>
      </c>
      <c r="AU149" s="98">
        <f>IFERROR(VLOOKUP(B149,OBJECTIFS!$H$142:$J$203,2,FALSE),0)</f>
        <v>0</v>
      </c>
      <c r="AV149" s="98">
        <f>IFERROR(VLOOKUP(B149,OBJECTIFS!$F$208:$H$269,3,FALSE),0)</f>
        <v>0</v>
      </c>
      <c r="AW149" s="81">
        <f t="shared" si="6"/>
        <v>0</v>
      </c>
      <c r="AX149" s="82"/>
      <c r="AY149" s="99" t="str">
        <f t="shared" ca="1" si="7"/>
        <v/>
      </c>
      <c r="AZ149" s="63"/>
      <c r="BA149" s="100">
        <f t="shared" ca="1" si="8"/>
        <v>0</v>
      </c>
      <c r="BB149" s="64" t="str">
        <f t="shared" ca="1" si="9"/>
        <v/>
      </c>
      <c r="BC149" s="101" t="str">
        <f t="shared" ca="1" si="10"/>
        <v/>
      </c>
    </row>
    <row r="150" spans="1:55" x14ac:dyDescent="0.2">
      <c r="A150" s="21"/>
      <c r="B150" s="22"/>
      <c r="C150" s="22"/>
      <c r="D150" s="23"/>
      <c r="E150" s="24"/>
      <c r="F150" s="34"/>
      <c r="H150" s="89" t="str">
        <f>IF(OR(D150="",F150="",A150=""),"",IF(E150="oui",0,IF(D150=OBJECTIFS!$C$45,VLOOKUP(F150,OBJECTIFS!$C$9:$D$11,2,FALSE),IF(D150=OBJECTIFS!$C$46,VLOOKUP(F150,OBJECTIFS!$C$16:$D$18,2,FALSE),IF(D150=OBJECTIFS!$C$47,VLOOKUP(F150,OBJECTIFS!$C$23:$D$25,2,FALSE),IF(D150=OBJECTIFS!$C$48,VLOOKUP(F150,OBJECTIFS!$C$30:$D$32,2,FALSE),IF(D150=OBJECTIFS!$C$49,VLOOKUP(F150,OBJECTIFS!$C$37:$D$39,2,FALSE))))))))</f>
        <v/>
      </c>
      <c r="J150" s="25"/>
      <c r="K150" s="90" t="str">
        <f>IF(OR($A150="",$D150="",J150=""),"",SUMIFS(OBJECTIFS!E$9:E$39,OBJECTIFS!$A$9:$A$39,$D150,OBJECTIFS!$C$9:$C$39,$F150))</f>
        <v/>
      </c>
      <c r="L150" s="90" t="str">
        <f>IF(OR(AND($D150=OBJECTIFS!$B$6,OBJECTIFS!E$8="dmt"),AND($D150=OBJECTIFS!$B$13,OBJECTIFS!$E$15="dmt"),AND($D150=OBJECTIFS!$B$20,OBJECTIFS!$E$22="dmt"),AND($D150=OBJECTIFS!$B$27,OBJECTIFS!$E$29="dmt"),AND($D150=OBJECTIFS!$B$34,OBJECTIFS!$E$36="dmt"),AND($D150=OBJECTIFS!$B$6,OBJECTIFS!$E$8="taux de chute"),AND($D150=OBJECTIFS!$B$13,OBJECTIFS!$E$15="taux de chute"),AND($D150=OBJECTIFS!$B$20,OBJECTIFS!$E$22="taux de chute"),AND($D150=OBJECTIFS!$B$27,OBJECTIFS!$E$29="taux de chute"),AND($D150=OBJECTIFS!$B$34,OBJECTIFS!$E$36="taux de chute")),IFERROR(K150/J150,""),IFERROR(J150/K150,""))</f>
        <v/>
      </c>
      <c r="M150" s="91">
        <f>IFERROR(IF(OR(J150="",K150="",L150=""),0,IF(L150&lt;OBJECTIFS!$E$56,0,IF(L150&lt;OBJECTIFS!$G$56,M$8*OBJECTIFS!$F$60,IF(L150&lt;OBJECTIFS!$I$56,M$8*OBJECTIFS!$H$60,M$8)))),0)</f>
        <v>0</v>
      </c>
      <c r="N150" s="161"/>
      <c r="O150" s="92" t="str">
        <f>IF(OR($A150="",$D150="",N150=""),"",SUMIFS(OBJECTIFS!F$9:F$39,OBJECTIFS!$A$9:$A$39,$D150,OBJECTIFS!$C$9:$C$39,$F150))</f>
        <v/>
      </c>
      <c r="P150" s="90" t="str">
        <f>IF(OR(AND($D150=OBJECTIFS!$B$6,OBJECTIFS!$F$8="dmt"),AND($D150=OBJECTIFS!$B$13,OBJECTIFS!$F$15="dmt"),AND($D150=OBJECTIFS!$B$20,OBJECTIFS!$F$22="dmt"),AND($D150=OBJECTIFS!$B$27,OBJECTIFS!$F$29="dmt"),AND($D150=OBJECTIFS!$B$34,OBJECTIFS!$F$36="dmt"),AND($D150=OBJECTIFS!$B$6,OBJECTIFS!$F$8="taux de chute"),AND($D150=OBJECTIFS!$B$13,OBJECTIFS!$F$15="taux de chute"),AND($D150=OBJECTIFS!$B$20,OBJECTIFS!$F$22="taux de chute"),AND($D150=OBJECTIFS!$B$27,OBJECTIFS!$F$29="taux de chute"),AND($D150=OBJECTIFS!$B$34,OBJECTIFS!$F$36="taux de chute")),IFERROR(O150/N150,""),IFERROR(N150/O150,""))</f>
        <v/>
      </c>
      <c r="Q150" s="91">
        <f>IFERROR(IF(OR(N150="",O150="",P150=""),0,IF(P150&lt;OBJECTIFS!$E$56,0,IF(P150&lt;OBJECTIFS!$G$56,Q$8*OBJECTIFS!$F$60,IF(P150&lt;OBJECTIFS!$I$56,Q$8*OBJECTIFS!$H$60,Q$8)))),0)</f>
        <v>0</v>
      </c>
      <c r="R150" s="164"/>
      <c r="S150" s="93" t="str">
        <f>IF(OR($A150="",$D150="",R150=""),"",SUMIFS(OBJECTIFS!G$9:G$39,OBJECTIFS!$A$9:$A$39,$D150,OBJECTIFS!$C$9:$C$39,$F150))</f>
        <v/>
      </c>
      <c r="T150" s="90" t="str">
        <f>IF(OR(AND($D150=OBJECTIFS!$B$6,OBJECTIFS!G$8="dmt"),AND($D150=OBJECTIFS!$B$13,OBJECTIFS!$G$15="dmt"),AND($D150=OBJECTIFS!$B$20,OBJECTIFS!$G$22="dmt"),AND($D150=OBJECTIFS!$B$27,OBJECTIFS!$G$29="dmt"),AND($D150=OBJECTIFS!$B$34,OBJECTIFS!$G$36="dmt"),AND($D150=OBJECTIFS!$B$6,OBJECTIFS!$G$8="taux de chute"),AND($D150=OBJECTIFS!$B$13,OBJECTIFS!$G$15="taux de chute"),AND($D150=OBJECTIFS!$B$20,OBJECTIFS!$G$22="taux de chute"),AND($D150=OBJECTIFS!$B$27,OBJECTIFS!$G$29="taux de chute"),AND($D150=OBJECTIFS!$B$34,OBJECTIFS!$G$36="taux de chute")),IFERROR(S150/R150,""),IFERROR(R150/S150,""))</f>
        <v/>
      </c>
      <c r="U150" s="94">
        <f>IFERROR(IF(OR(R150="",S150="",T150=""),0,IF(T150&lt;OBJECTIFS!$E$56,0,IF(T150&lt;OBJECTIFS!$G$56,U$8*OBJECTIFS!$F$60,IF(T150&lt;OBJECTIFS!$I$56,U$8*OBJECTIFS!$H$60,U$8)))),0)</f>
        <v>0</v>
      </c>
      <c r="V150" s="25"/>
      <c r="W150" s="90" t="str">
        <f>IF(OR($A150="",$D150="",V150=""),"",SUMIFS(OBJECTIFS!H$9:H$39,OBJECTIFS!$A$9:$A$39,$D150,OBJECTIFS!$C$9:$C$39,$F150))</f>
        <v/>
      </c>
      <c r="X150" s="90" t="str">
        <f>IF(OR(AND($D150=OBJECTIFS!$B$6,OBJECTIFS!H$8="dmt"),AND($D150=OBJECTIFS!$B$13,OBJECTIFS!$H$15="dmt"),AND($D150=OBJECTIFS!$B$20,OBJECTIFS!$H$22="dmt"),AND($D150=OBJECTIFS!$B$27,OBJECTIFS!$H$29="dmt"),AND($D150=OBJECTIFS!$B$34,OBJECTIFS!$H$36="dmt"),AND($D150=OBJECTIFS!$B$6,OBJECTIFS!$H$8="taux de chute"),AND($D150=OBJECTIFS!$B$13,OBJECTIFS!$H$15="taux de chute"),AND($D150=OBJECTIFS!$B$20,OBJECTIFS!$H$22="taux de chute"),AND($D150=OBJECTIFS!$B$27,OBJECTIFS!$H$29="taux de chute"),AND($D150=OBJECTIFS!$B$34,OBJECTIFS!$H$36="taux de chute")),IFERROR(W150/V150,""),IFERROR(V150/W150,""))</f>
        <v/>
      </c>
      <c r="Y150" s="91">
        <f>IFERROR(IF(OR(V150="",W150="",X150=""),0,IF(X150&lt;OBJECTIFS!$E$56,0,IF(X150&lt;OBJECTIFS!$G$56,Y$8*OBJECTIFS!$F$60,IF(X150&lt;OBJECTIFS!$I$56,Y$8*OBJECTIFS!$H$60,Y$8)))),0)</f>
        <v>0</v>
      </c>
      <c r="Z150" s="167"/>
      <c r="AA150" s="90" t="str">
        <f>IF(OR($A150="",$D150="",Z150=""),"",SUMIFS(OBJECTIFS!I$9:I$39,OBJECTIFS!$A$9:$A$39,$D150,OBJECTIFS!$C$9:$C$39,$F150))</f>
        <v/>
      </c>
      <c r="AB150" s="90" t="str">
        <f>IF(OR(AND($D150=OBJECTIFS!$B$6,OBJECTIFS!I$8="dmt"),AND($D150=OBJECTIFS!$B$13,OBJECTIFS!$I$15="dmt"),AND($D150=OBJECTIFS!$B$20,OBJECTIFS!$I$22="dmt"),AND($D150=OBJECTIFS!$B$27,OBJECTIFS!$I$29="dmt"),AND($D150=OBJECTIFS!$B$34,OBJECTIFS!$I$36="dmt"),AND($D150=OBJECTIFS!$B$6,OBJECTIFS!$I$8="taux de chute"),AND($D150=OBJECTIFS!$B$13,OBJECTIFS!$I$15="taux de chute"),AND($D150=OBJECTIFS!$B$20,OBJECTIFS!$I$22="taux de chute"),AND($D150=OBJECTIFS!$B$27,OBJECTIFS!$I$29="taux de chute"),AND($D150=OBJECTIFS!$B$34,OBJECTIFS!$I$36="taux de chute")),IFERROR(AA150/Z150,""),IFERROR(Z150/AA150,""))</f>
        <v/>
      </c>
      <c r="AC150" s="95">
        <f>IFERROR(IF(OR(Z150="",AA150="",AB150=""),0,IF(AB150&lt;OBJECTIFS!$E$56,0,IF(AB150&lt;OBJECTIFS!$G$56,AC$8*OBJECTIFS!$F$60,IF(AB150&lt;OBJECTIFS!$I$56,AC$8*OBJECTIFS!$H$60,AC$8)))),0)</f>
        <v>0</v>
      </c>
      <c r="AD150" s="186"/>
      <c r="AE150" s="187"/>
      <c r="AF150" s="96">
        <f t="shared" ref="AF150:AF213" ca="1" si="29">IF(AD150&gt;=1,0,SUMIF($J$7:$AC$8,"Nb de points",$J150:$AC150))</f>
        <v>0</v>
      </c>
      <c r="AG150" s="63"/>
      <c r="AH150" s="186"/>
      <c r="AI150" s="24"/>
      <c r="AJ150" s="24"/>
      <c r="AK150" s="24"/>
      <c r="AL150" s="24"/>
      <c r="AM150" s="79">
        <f t="shared" ref="AM150:AM213" si="30">SUM(AK150:AL150,AI150)</f>
        <v>0</v>
      </c>
      <c r="AN150" s="79">
        <v>22</v>
      </c>
      <c r="AO150" s="80">
        <f t="shared" ref="AO150:AO213" si="31">IFERROR(IF(IF(OR(AI150&gt;=2,AJ150&gt;=8,AND(AI150=1,AJ150&gt;=4)),0,IF(OR(AND(AI150=1,AJ150&lt;4),AND(AI150=0,AJ150&gt;=4,AJ150&lt;8)),50%,100%))*(AN150-AM150)/AN150=0,-100%,IF(OR(AI150&gt;=2,AJ150&gt;=8,AND(AI150=1,AJ150&gt;=4)),0,IF(OR(AND(AI150=1,AJ150&lt;4),AND(AI150=0,AJ150&gt;=4,AJ150&lt;8)),50%,100%))*(AN150-AM150)/AN150-1),"")</f>
        <v>0</v>
      </c>
      <c r="AP150" s="81" t="str">
        <f t="shared" ref="AP150:AP213" ca="1" si="32">IFERROR((H150*AF150/100)*(1+AO150),"")</f>
        <v/>
      </c>
      <c r="AQ150" s="82"/>
      <c r="AR150" s="97">
        <f>IFERROR(VLOOKUP(B150,OBJECTIFS!$C$76:$E$137,2,FALSE),0)</f>
        <v>0</v>
      </c>
      <c r="AS150" s="98">
        <f>IFERROR(VLOOKUP(B150,OBJECTIFS!$H$76:$J$137,2,FALSE),0)</f>
        <v>0</v>
      </c>
      <c r="AT150" s="98">
        <f>IFERROR(VLOOKUP(B150,OBJECTIFS!$C$142:$E$203,2,FALSE),0)</f>
        <v>0</v>
      </c>
      <c r="AU150" s="98">
        <f>IFERROR(VLOOKUP(B150,OBJECTIFS!$H$142:$J$203,2,FALSE),0)</f>
        <v>0</v>
      </c>
      <c r="AV150" s="98">
        <f>IFERROR(VLOOKUP(B150,OBJECTIFS!$F$208:$H$269,3,FALSE),0)</f>
        <v>0</v>
      </c>
      <c r="AW150" s="81">
        <f t="shared" ref="AW150:AW213" si="33">IF($B$5="interne",IF($AR$6="prime de langue",IF(AH150&gt;=191,SUM(AS150:AV150,AR150/191*191),SUM(AS150:AV150,AR150/191*AH150)),IF($AS$6="prime de langue",IF(AH150&gt;=191,SUM(AR150,AT150,AU150,AV150,AS150/191*191),SUM(AR150,AT150,AU150,AV150,AS150/191*AH150)),IF($AT$6="prime de langue",IF(AH150&gt;=191,SUM(AR150,AS150,AU150,AV150,AT150/191*191),SUM(AR150,AS150,AU150,AV150,AT150/191*AH150)),IF($AU$6="prime de langue",IF(AH150&gt;=191,SUM(AR150,AT150,AV150,AS150,AU150/191*191),SUM(AR150,AT150,AV150,AS150,AU150/191*AH150)),SUM(AR150:AV150))))),IF($AR$6="prime de langue",IF(AH150&gt;=176,SUM(AS150:AV150,AR150/176*176),SUM(AS150:AV150,AR150/176*AH150)),IF($AS$6="prime de langue",IF(AH150&gt;=176,SUM(AR150,AT150,AU150,AV150,AS150/176*176),SUM(AR150,AT150,AU150,AV150,AS150/176*AH150)),IF($AT$6="prime de langue",IF(AH150&gt;=176,SUM(AR150,AS150,AU150,AV150,AT150/176*176),SUM(AR150,AS150,AU150,AV150,AT150/176*AH150)),IF($AU$6="prime de langue",IF(AH150&gt;=176,SUM(AR150,AT150,AV150,AS150,AU150/176*176),SUM(AR150,AT150,AV150,AS150,AU150/176*AH150)),SUM(AR150:AV150))))))</f>
        <v>0</v>
      </c>
      <c r="AX150" s="82"/>
      <c r="AY150" s="99" t="str">
        <f t="shared" ref="AY150:AY213" ca="1" si="34">IFERROR(((H150*AF150/100)*(1+AO150)+AW150),"")</f>
        <v/>
      </c>
      <c r="AZ150" s="63"/>
      <c r="BA150" s="100">
        <f t="shared" ref="BA150:BA213" ca="1" si="35">IFERROR(IF(OR(AI150&gt;=2,AJ150&gt;=8,AND(AI150=1,AJ150&gt;=4)),0,IF(OR(AND(AI150=1,AJ150&lt;4),AND(AI150=0,AJ150&gt;=4,AJ150&lt;8)),0.5,1))*AF150*(AN150-AM150)/AN150,"")</f>
        <v>0</v>
      </c>
      <c r="BB150" s="64" t="str">
        <f t="shared" ref="BB150:BB213" ca="1" si="36">IF(BC150="","","è")</f>
        <v/>
      </c>
      <c r="BC150" s="101" t="str">
        <f t="shared" ref="BC150:BC213" ca="1" si="37">IF(BA150=0,"",IF(BA150&gt;=MAX($BA$9:$BA$216),A150,""))</f>
        <v/>
      </c>
    </row>
    <row r="151" spans="1:55" x14ac:dyDescent="0.2">
      <c r="A151" s="21"/>
      <c r="B151" s="22"/>
      <c r="C151" s="22"/>
      <c r="D151" s="23"/>
      <c r="E151" s="24"/>
      <c r="F151" s="34"/>
      <c r="H151" s="89" t="str">
        <f>IF(OR(D151="",F151="",A151=""),"",IF(E151="oui",0,IF(D151=OBJECTIFS!$C$45,VLOOKUP(F151,OBJECTIFS!$C$9:$D$11,2,FALSE),IF(D151=OBJECTIFS!$C$46,VLOOKUP(F151,OBJECTIFS!$C$16:$D$18,2,FALSE),IF(D151=OBJECTIFS!$C$47,VLOOKUP(F151,OBJECTIFS!$C$23:$D$25,2,FALSE),IF(D151=OBJECTIFS!$C$48,VLOOKUP(F151,OBJECTIFS!$C$30:$D$32,2,FALSE),IF(D151=OBJECTIFS!$C$49,VLOOKUP(F151,OBJECTIFS!$C$37:$D$39,2,FALSE))))))))</f>
        <v/>
      </c>
      <c r="J151" s="25"/>
      <c r="K151" s="90" t="str">
        <f>IF(OR($A151="",$D151="",J151=""),"",SUMIFS(OBJECTIFS!E$9:E$39,OBJECTIFS!$A$9:$A$39,$D151,OBJECTIFS!$C$9:$C$39,$F151))</f>
        <v/>
      </c>
      <c r="L151" s="90" t="str">
        <f>IF(OR(AND($D151=OBJECTIFS!$B$6,OBJECTIFS!E$8="dmt"),AND($D151=OBJECTIFS!$B$13,OBJECTIFS!$E$15="dmt"),AND($D151=OBJECTIFS!$B$20,OBJECTIFS!$E$22="dmt"),AND($D151=OBJECTIFS!$B$27,OBJECTIFS!$E$29="dmt"),AND($D151=OBJECTIFS!$B$34,OBJECTIFS!$E$36="dmt"),AND($D151=OBJECTIFS!$B$6,OBJECTIFS!$E$8="taux de chute"),AND($D151=OBJECTIFS!$B$13,OBJECTIFS!$E$15="taux de chute"),AND($D151=OBJECTIFS!$B$20,OBJECTIFS!$E$22="taux de chute"),AND($D151=OBJECTIFS!$B$27,OBJECTIFS!$E$29="taux de chute"),AND($D151=OBJECTIFS!$B$34,OBJECTIFS!$E$36="taux de chute")),IFERROR(K151/J151,""),IFERROR(J151/K151,""))</f>
        <v/>
      </c>
      <c r="M151" s="91">
        <f>IFERROR(IF(OR(J151="",K151="",L151=""),0,IF(L151&lt;OBJECTIFS!$E$56,0,IF(L151&lt;OBJECTIFS!$G$56,M$8*OBJECTIFS!$F$60,IF(L151&lt;OBJECTIFS!$I$56,M$8*OBJECTIFS!$H$60,M$8)))),0)</f>
        <v>0</v>
      </c>
      <c r="N151" s="161"/>
      <c r="O151" s="92" t="str">
        <f>IF(OR($A151="",$D151="",N151=""),"",SUMIFS(OBJECTIFS!F$9:F$39,OBJECTIFS!$A$9:$A$39,$D151,OBJECTIFS!$C$9:$C$39,$F151))</f>
        <v/>
      </c>
      <c r="P151" s="90" t="str">
        <f>IF(OR(AND($D151=OBJECTIFS!$B$6,OBJECTIFS!$F$8="dmt"),AND($D151=OBJECTIFS!$B$13,OBJECTIFS!$F$15="dmt"),AND($D151=OBJECTIFS!$B$20,OBJECTIFS!$F$22="dmt"),AND($D151=OBJECTIFS!$B$27,OBJECTIFS!$F$29="dmt"),AND($D151=OBJECTIFS!$B$34,OBJECTIFS!$F$36="dmt"),AND($D151=OBJECTIFS!$B$6,OBJECTIFS!$F$8="taux de chute"),AND($D151=OBJECTIFS!$B$13,OBJECTIFS!$F$15="taux de chute"),AND($D151=OBJECTIFS!$B$20,OBJECTIFS!$F$22="taux de chute"),AND($D151=OBJECTIFS!$B$27,OBJECTIFS!$F$29="taux de chute"),AND($D151=OBJECTIFS!$B$34,OBJECTIFS!$F$36="taux de chute")),IFERROR(O151/N151,""),IFERROR(N151/O151,""))</f>
        <v/>
      </c>
      <c r="Q151" s="91">
        <f>IFERROR(IF(OR(N151="",O151="",P151=""),0,IF(P151&lt;OBJECTIFS!$E$56,0,IF(P151&lt;OBJECTIFS!$G$56,Q$8*OBJECTIFS!$F$60,IF(P151&lt;OBJECTIFS!$I$56,Q$8*OBJECTIFS!$H$60,Q$8)))),0)</f>
        <v>0</v>
      </c>
      <c r="R151" s="164"/>
      <c r="S151" s="93" t="str">
        <f>IF(OR($A151="",$D151="",R151=""),"",SUMIFS(OBJECTIFS!G$9:G$39,OBJECTIFS!$A$9:$A$39,$D151,OBJECTIFS!$C$9:$C$39,$F151))</f>
        <v/>
      </c>
      <c r="T151" s="90" t="str">
        <f>IF(OR(AND($D151=OBJECTIFS!$B$6,OBJECTIFS!G$8="dmt"),AND($D151=OBJECTIFS!$B$13,OBJECTIFS!$G$15="dmt"),AND($D151=OBJECTIFS!$B$20,OBJECTIFS!$G$22="dmt"),AND($D151=OBJECTIFS!$B$27,OBJECTIFS!$G$29="dmt"),AND($D151=OBJECTIFS!$B$34,OBJECTIFS!$G$36="dmt"),AND($D151=OBJECTIFS!$B$6,OBJECTIFS!$G$8="taux de chute"),AND($D151=OBJECTIFS!$B$13,OBJECTIFS!$G$15="taux de chute"),AND($D151=OBJECTIFS!$B$20,OBJECTIFS!$G$22="taux de chute"),AND($D151=OBJECTIFS!$B$27,OBJECTIFS!$G$29="taux de chute"),AND($D151=OBJECTIFS!$B$34,OBJECTIFS!$G$36="taux de chute")),IFERROR(S151/R151,""),IFERROR(R151/S151,""))</f>
        <v/>
      </c>
      <c r="U151" s="94">
        <f>IFERROR(IF(OR(R151="",S151="",T151=""),0,IF(T151&lt;OBJECTIFS!$E$56,0,IF(T151&lt;OBJECTIFS!$G$56,U$8*OBJECTIFS!$F$60,IF(T151&lt;OBJECTIFS!$I$56,U$8*OBJECTIFS!$H$60,U$8)))),0)</f>
        <v>0</v>
      </c>
      <c r="V151" s="25"/>
      <c r="W151" s="90" t="str">
        <f>IF(OR($A151="",$D151="",V151=""),"",SUMIFS(OBJECTIFS!H$9:H$39,OBJECTIFS!$A$9:$A$39,$D151,OBJECTIFS!$C$9:$C$39,$F151))</f>
        <v/>
      </c>
      <c r="X151" s="90" t="str">
        <f>IF(OR(AND($D151=OBJECTIFS!$B$6,OBJECTIFS!H$8="dmt"),AND($D151=OBJECTIFS!$B$13,OBJECTIFS!$H$15="dmt"),AND($D151=OBJECTIFS!$B$20,OBJECTIFS!$H$22="dmt"),AND($D151=OBJECTIFS!$B$27,OBJECTIFS!$H$29="dmt"),AND($D151=OBJECTIFS!$B$34,OBJECTIFS!$H$36="dmt"),AND($D151=OBJECTIFS!$B$6,OBJECTIFS!$H$8="taux de chute"),AND($D151=OBJECTIFS!$B$13,OBJECTIFS!$H$15="taux de chute"),AND($D151=OBJECTIFS!$B$20,OBJECTIFS!$H$22="taux de chute"),AND($D151=OBJECTIFS!$B$27,OBJECTIFS!$H$29="taux de chute"),AND($D151=OBJECTIFS!$B$34,OBJECTIFS!$H$36="taux de chute")),IFERROR(W151/V151,""),IFERROR(V151/W151,""))</f>
        <v/>
      </c>
      <c r="Y151" s="91">
        <f>IFERROR(IF(OR(V151="",W151="",X151=""),0,IF(X151&lt;OBJECTIFS!$E$56,0,IF(X151&lt;OBJECTIFS!$G$56,Y$8*OBJECTIFS!$F$60,IF(X151&lt;OBJECTIFS!$I$56,Y$8*OBJECTIFS!$H$60,Y$8)))),0)</f>
        <v>0</v>
      </c>
      <c r="Z151" s="167"/>
      <c r="AA151" s="90" t="str">
        <f>IF(OR($A151="",$D151="",Z151=""),"",SUMIFS(OBJECTIFS!I$9:I$39,OBJECTIFS!$A$9:$A$39,$D151,OBJECTIFS!$C$9:$C$39,$F151))</f>
        <v/>
      </c>
      <c r="AB151" s="90" t="str">
        <f>IF(OR(AND($D151=OBJECTIFS!$B$6,OBJECTIFS!I$8="dmt"),AND($D151=OBJECTIFS!$B$13,OBJECTIFS!$I$15="dmt"),AND($D151=OBJECTIFS!$B$20,OBJECTIFS!$I$22="dmt"),AND($D151=OBJECTIFS!$B$27,OBJECTIFS!$I$29="dmt"),AND($D151=OBJECTIFS!$B$34,OBJECTIFS!$I$36="dmt"),AND($D151=OBJECTIFS!$B$6,OBJECTIFS!$I$8="taux de chute"),AND($D151=OBJECTIFS!$B$13,OBJECTIFS!$I$15="taux de chute"),AND($D151=OBJECTIFS!$B$20,OBJECTIFS!$I$22="taux de chute"),AND($D151=OBJECTIFS!$B$27,OBJECTIFS!$I$29="taux de chute"),AND($D151=OBJECTIFS!$B$34,OBJECTIFS!$I$36="taux de chute")),IFERROR(AA151/Z151,""),IFERROR(Z151/AA151,""))</f>
        <v/>
      </c>
      <c r="AC151" s="95">
        <f>IFERROR(IF(OR(Z151="",AA151="",AB151=""),0,IF(AB151&lt;OBJECTIFS!$E$56,0,IF(AB151&lt;OBJECTIFS!$G$56,AC$8*OBJECTIFS!$F$60,IF(AB151&lt;OBJECTIFS!$I$56,AC$8*OBJECTIFS!$H$60,AC$8)))),0)</f>
        <v>0</v>
      </c>
      <c r="AD151" s="186"/>
      <c r="AE151" s="187"/>
      <c r="AF151" s="96">
        <f t="shared" ca="1" si="29"/>
        <v>0</v>
      </c>
      <c r="AG151" s="63"/>
      <c r="AH151" s="186"/>
      <c r="AI151" s="24"/>
      <c r="AJ151" s="24"/>
      <c r="AK151" s="24"/>
      <c r="AL151" s="24"/>
      <c r="AM151" s="79">
        <f t="shared" si="30"/>
        <v>0</v>
      </c>
      <c r="AN151" s="79">
        <v>22</v>
      </c>
      <c r="AO151" s="80">
        <f t="shared" si="31"/>
        <v>0</v>
      </c>
      <c r="AP151" s="81" t="str">
        <f t="shared" ca="1" si="32"/>
        <v/>
      </c>
      <c r="AQ151" s="82"/>
      <c r="AR151" s="97">
        <f>IFERROR(VLOOKUP(B151,OBJECTIFS!$C$76:$E$137,2,FALSE),0)</f>
        <v>0</v>
      </c>
      <c r="AS151" s="98">
        <f>IFERROR(VLOOKUP(B151,OBJECTIFS!$H$76:$J$137,2,FALSE),0)</f>
        <v>0</v>
      </c>
      <c r="AT151" s="98">
        <f>IFERROR(VLOOKUP(B151,OBJECTIFS!$C$142:$E$203,2,FALSE),0)</f>
        <v>0</v>
      </c>
      <c r="AU151" s="98">
        <f>IFERROR(VLOOKUP(B151,OBJECTIFS!$H$142:$J$203,2,FALSE),0)</f>
        <v>0</v>
      </c>
      <c r="AV151" s="98">
        <f>IFERROR(VLOOKUP(B151,OBJECTIFS!$F$208:$H$269,3,FALSE),0)</f>
        <v>0</v>
      </c>
      <c r="AW151" s="81">
        <f t="shared" si="33"/>
        <v>0</v>
      </c>
      <c r="AX151" s="82"/>
      <c r="AY151" s="99" t="str">
        <f t="shared" ca="1" si="34"/>
        <v/>
      </c>
      <c r="AZ151" s="63"/>
      <c r="BA151" s="100">
        <f t="shared" ca="1" si="35"/>
        <v>0</v>
      </c>
      <c r="BB151" s="64" t="str">
        <f t="shared" ca="1" si="36"/>
        <v/>
      </c>
      <c r="BC151" s="101" t="str">
        <f t="shared" ca="1" si="37"/>
        <v/>
      </c>
    </row>
    <row r="152" spans="1:55" x14ac:dyDescent="0.2">
      <c r="A152" s="21"/>
      <c r="B152" s="22"/>
      <c r="C152" s="22"/>
      <c r="D152" s="23"/>
      <c r="E152" s="24"/>
      <c r="F152" s="34"/>
      <c r="H152" s="89" t="str">
        <f>IF(OR(D152="",F152="",A152=""),"",IF(E152="oui",0,IF(D152=OBJECTIFS!$C$45,VLOOKUP(F152,OBJECTIFS!$C$9:$D$11,2,FALSE),IF(D152=OBJECTIFS!$C$46,VLOOKUP(F152,OBJECTIFS!$C$16:$D$18,2,FALSE),IF(D152=OBJECTIFS!$C$47,VLOOKUP(F152,OBJECTIFS!$C$23:$D$25,2,FALSE),IF(D152=OBJECTIFS!$C$48,VLOOKUP(F152,OBJECTIFS!$C$30:$D$32,2,FALSE),IF(D152=OBJECTIFS!$C$49,VLOOKUP(F152,OBJECTIFS!$C$37:$D$39,2,FALSE))))))))</f>
        <v/>
      </c>
      <c r="J152" s="25"/>
      <c r="K152" s="90" t="str">
        <f>IF(OR($A152="",$D152="",J152=""),"",SUMIFS(OBJECTIFS!E$9:E$39,OBJECTIFS!$A$9:$A$39,$D152,OBJECTIFS!$C$9:$C$39,$F152))</f>
        <v/>
      </c>
      <c r="L152" s="90" t="str">
        <f>IF(OR(AND($D152=OBJECTIFS!$B$6,OBJECTIFS!E$8="dmt"),AND($D152=OBJECTIFS!$B$13,OBJECTIFS!$E$15="dmt"),AND($D152=OBJECTIFS!$B$20,OBJECTIFS!$E$22="dmt"),AND($D152=OBJECTIFS!$B$27,OBJECTIFS!$E$29="dmt"),AND($D152=OBJECTIFS!$B$34,OBJECTIFS!$E$36="dmt"),AND($D152=OBJECTIFS!$B$6,OBJECTIFS!$E$8="taux de chute"),AND($D152=OBJECTIFS!$B$13,OBJECTIFS!$E$15="taux de chute"),AND($D152=OBJECTIFS!$B$20,OBJECTIFS!$E$22="taux de chute"),AND($D152=OBJECTIFS!$B$27,OBJECTIFS!$E$29="taux de chute"),AND($D152=OBJECTIFS!$B$34,OBJECTIFS!$E$36="taux de chute")),IFERROR(K152/J152,""),IFERROR(J152/K152,""))</f>
        <v/>
      </c>
      <c r="M152" s="91">
        <f>IFERROR(IF(OR(J152="",K152="",L152=""),0,IF(L152&lt;OBJECTIFS!$E$56,0,IF(L152&lt;OBJECTIFS!$G$56,M$8*OBJECTIFS!$F$60,IF(L152&lt;OBJECTIFS!$I$56,M$8*OBJECTIFS!$H$60,M$8)))),0)</f>
        <v>0</v>
      </c>
      <c r="N152" s="161"/>
      <c r="O152" s="92" t="str">
        <f>IF(OR($A152="",$D152="",N152=""),"",SUMIFS(OBJECTIFS!F$9:F$39,OBJECTIFS!$A$9:$A$39,$D152,OBJECTIFS!$C$9:$C$39,$F152))</f>
        <v/>
      </c>
      <c r="P152" s="90" t="str">
        <f>IF(OR(AND($D152=OBJECTIFS!$B$6,OBJECTIFS!$F$8="dmt"),AND($D152=OBJECTIFS!$B$13,OBJECTIFS!$F$15="dmt"),AND($D152=OBJECTIFS!$B$20,OBJECTIFS!$F$22="dmt"),AND($D152=OBJECTIFS!$B$27,OBJECTIFS!$F$29="dmt"),AND($D152=OBJECTIFS!$B$34,OBJECTIFS!$F$36="dmt"),AND($D152=OBJECTIFS!$B$6,OBJECTIFS!$F$8="taux de chute"),AND($D152=OBJECTIFS!$B$13,OBJECTIFS!$F$15="taux de chute"),AND($D152=OBJECTIFS!$B$20,OBJECTIFS!$F$22="taux de chute"),AND($D152=OBJECTIFS!$B$27,OBJECTIFS!$F$29="taux de chute"),AND($D152=OBJECTIFS!$B$34,OBJECTIFS!$F$36="taux de chute")),IFERROR(O152/N152,""),IFERROR(N152/O152,""))</f>
        <v/>
      </c>
      <c r="Q152" s="91">
        <f>IFERROR(IF(OR(N152="",O152="",P152=""),0,IF(P152&lt;OBJECTIFS!$E$56,0,IF(P152&lt;OBJECTIFS!$G$56,Q$8*OBJECTIFS!$F$60,IF(P152&lt;OBJECTIFS!$I$56,Q$8*OBJECTIFS!$H$60,Q$8)))),0)</f>
        <v>0</v>
      </c>
      <c r="R152" s="164"/>
      <c r="S152" s="93" t="str">
        <f>IF(OR($A152="",$D152="",R152=""),"",SUMIFS(OBJECTIFS!G$9:G$39,OBJECTIFS!$A$9:$A$39,$D152,OBJECTIFS!$C$9:$C$39,$F152))</f>
        <v/>
      </c>
      <c r="T152" s="90" t="str">
        <f>IF(OR(AND($D152=OBJECTIFS!$B$6,OBJECTIFS!G$8="dmt"),AND($D152=OBJECTIFS!$B$13,OBJECTIFS!$G$15="dmt"),AND($D152=OBJECTIFS!$B$20,OBJECTIFS!$G$22="dmt"),AND($D152=OBJECTIFS!$B$27,OBJECTIFS!$G$29="dmt"),AND($D152=OBJECTIFS!$B$34,OBJECTIFS!$G$36="dmt"),AND($D152=OBJECTIFS!$B$6,OBJECTIFS!$G$8="taux de chute"),AND($D152=OBJECTIFS!$B$13,OBJECTIFS!$G$15="taux de chute"),AND($D152=OBJECTIFS!$B$20,OBJECTIFS!$G$22="taux de chute"),AND($D152=OBJECTIFS!$B$27,OBJECTIFS!$G$29="taux de chute"),AND($D152=OBJECTIFS!$B$34,OBJECTIFS!$G$36="taux de chute")),IFERROR(S152/R152,""),IFERROR(R152/S152,""))</f>
        <v/>
      </c>
      <c r="U152" s="94">
        <f>IFERROR(IF(OR(R152="",S152="",T152=""),0,IF(T152&lt;OBJECTIFS!$E$56,0,IF(T152&lt;OBJECTIFS!$G$56,U$8*OBJECTIFS!$F$60,IF(T152&lt;OBJECTIFS!$I$56,U$8*OBJECTIFS!$H$60,U$8)))),0)</f>
        <v>0</v>
      </c>
      <c r="V152" s="25"/>
      <c r="W152" s="90" t="str">
        <f>IF(OR($A152="",$D152="",V152=""),"",SUMIFS(OBJECTIFS!H$9:H$39,OBJECTIFS!$A$9:$A$39,$D152,OBJECTIFS!$C$9:$C$39,$F152))</f>
        <v/>
      </c>
      <c r="X152" s="90" t="str">
        <f>IF(OR(AND($D152=OBJECTIFS!$B$6,OBJECTIFS!H$8="dmt"),AND($D152=OBJECTIFS!$B$13,OBJECTIFS!$H$15="dmt"),AND($D152=OBJECTIFS!$B$20,OBJECTIFS!$H$22="dmt"),AND($D152=OBJECTIFS!$B$27,OBJECTIFS!$H$29="dmt"),AND($D152=OBJECTIFS!$B$34,OBJECTIFS!$H$36="dmt"),AND($D152=OBJECTIFS!$B$6,OBJECTIFS!$H$8="taux de chute"),AND($D152=OBJECTIFS!$B$13,OBJECTIFS!$H$15="taux de chute"),AND($D152=OBJECTIFS!$B$20,OBJECTIFS!$H$22="taux de chute"),AND($D152=OBJECTIFS!$B$27,OBJECTIFS!$H$29="taux de chute"),AND($D152=OBJECTIFS!$B$34,OBJECTIFS!$H$36="taux de chute")),IFERROR(W152/V152,""),IFERROR(V152/W152,""))</f>
        <v/>
      </c>
      <c r="Y152" s="91">
        <f>IFERROR(IF(OR(V152="",W152="",X152=""),0,IF(X152&lt;OBJECTIFS!$E$56,0,IF(X152&lt;OBJECTIFS!$G$56,Y$8*OBJECTIFS!$F$60,IF(X152&lt;OBJECTIFS!$I$56,Y$8*OBJECTIFS!$H$60,Y$8)))),0)</f>
        <v>0</v>
      </c>
      <c r="Z152" s="167"/>
      <c r="AA152" s="90" t="str">
        <f>IF(OR($A152="",$D152="",Z152=""),"",SUMIFS(OBJECTIFS!I$9:I$39,OBJECTIFS!$A$9:$A$39,$D152,OBJECTIFS!$C$9:$C$39,$F152))</f>
        <v/>
      </c>
      <c r="AB152" s="90" t="str">
        <f>IF(OR(AND($D152=OBJECTIFS!$B$6,OBJECTIFS!I$8="dmt"),AND($D152=OBJECTIFS!$B$13,OBJECTIFS!$I$15="dmt"),AND($D152=OBJECTIFS!$B$20,OBJECTIFS!$I$22="dmt"),AND($D152=OBJECTIFS!$B$27,OBJECTIFS!$I$29="dmt"),AND($D152=OBJECTIFS!$B$34,OBJECTIFS!$I$36="dmt"),AND($D152=OBJECTIFS!$B$6,OBJECTIFS!$I$8="taux de chute"),AND($D152=OBJECTIFS!$B$13,OBJECTIFS!$I$15="taux de chute"),AND($D152=OBJECTIFS!$B$20,OBJECTIFS!$I$22="taux de chute"),AND($D152=OBJECTIFS!$B$27,OBJECTIFS!$I$29="taux de chute"),AND($D152=OBJECTIFS!$B$34,OBJECTIFS!$I$36="taux de chute")),IFERROR(AA152/Z152,""),IFERROR(Z152/AA152,""))</f>
        <v/>
      </c>
      <c r="AC152" s="95">
        <f>IFERROR(IF(OR(Z152="",AA152="",AB152=""),0,IF(AB152&lt;OBJECTIFS!$E$56,0,IF(AB152&lt;OBJECTIFS!$G$56,AC$8*OBJECTIFS!$F$60,IF(AB152&lt;OBJECTIFS!$I$56,AC$8*OBJECTIFS!$H$60,AC$8)))),0)</f>
        <v>0</v>
      </c>
      <c r="AD152" s="186"/>
      <c r="AE152" s="187"/>
      <c r="AF152" s="96">
        <f t="shared" ca="1" si="29"/>
        <v>0</v>
      </c>
      <c r="AG152" s="63"/>
      <c r="AH152" s="186"/>
      <c r="AI152" s="24"/>
      <c r="AJ152" s="24"/>
      <c r="AK152" s="24"/>
      <c r="AL152" s="24"/>
      <c r="AM152" s="79">
        <f t="shared" si="30"/>
        <v>0</v>
      </c>
      <c r="AN152" s="79">
        <v>22</v>
      </c>
      <c r="AO152" s="80">
        <f t="shared" si="31"/>
        <v>0</v>
      </c>
      <c r="AP152" s="81" t="str">
        <f t="shared" ca="1" si="32"/>
        <v/>
      </c>
      <c r="AQ152" s="82"/>
      <c r="AR152" s="97">
        <f>IFERROR(VLOOKUP(B152,OBJECTIFS!$C$76:$E$137,2,FALSE),0)</f>
        <v>0</v>
      </c>
      <c r="AS152" s="98">
        <f>IFERROR(VLOOKUP(B152,OBJECTIFS!$H$76:$J$137,2,FALSE),0)</f>
        <v>0</v>
      </c>
      <c r="AT152" s="98">
        <f>IFERROR(VLOOKUP(B152,OBJECTIFS!$C$142:$E$203,2,FALSE),0)</f>
        <v>0</v>
      </c>
      <c r="AU152" s="98">
        <f>IFERROR(VLOOKUP(B152,OBJECTIFS!$H$142:$J$203,2,FALSE),0)</f>
        <v>0</v>
      </c>
      <c r="AV152" s="98">
        <f>IFERROR(VLOOKUP(B152,OBJECTIFS!$F$208:$H$269,3,FALSE),0)</f>
        <v>0</v>
      </c>
      <c r="AW152" s="81">
        <f t="shared" si="33"/>
        <v>0</v>
      </c>
      <c r="AX152" s="82"/>
      <c r="AY152" s="99" t="str">
        <f t="shared" ca="1" si="34"/>
        <v/>
      </c>
      <c r="AZ152" s="63"/>
      <c r="BA152" s="100">
        <f t="shared" ca="1" si="35"/>
        <v>0</v>
      </c>
      <c r="BB152" s="64" t="str">
        <f t="shared" ca="1" si="36"/>
        <v/>
      </c>
      <c r="BC152" s="101" t="str">
        <f t="shared" ca="1" si="37"/>
        <v/>
      </c>
    </row>
    <row r="153" spans="1:55" x14ac:dyDescent="0.2">
      <c r="A153" s="21"/>
      <c r="B153" s="22"/>
      <c r="C153" s="22"/>
      <c r="D153" s="23"/>
      <c r="E153" s="24"/>
      <c r="F153" s="34"/>
      <c r="H153" s="89" t="str">
        <f>IF(OR(D153="",F153="",A153=""),"",IF(E153="oui",0,IF(D153=OBJECTIFS!$C$45,VLOOKUP(F153,OBJECTIFS!$C$9:$D$11,2,FALSE),IF(D153=OBJECTIFS!$C$46,VLOOKUP(F153,OBJECTIFS!$C$16:$D$18,2,FALSE),IF(D153=OBJECTIFS!$C$47,VLOOKUP(F153,OBJECTIFS!$C$23:$D$25,2,FALSE),IF(D153=OBJECTIFS!$C$48,VLOOKUP(F153,OBJECTIFS!$C$30:$D$32,2,FALSE),IF(D153=OBJECTIFS!$C$49,VLOOKUP(F153,OBJECTIFS!$C$37:$D$39,2,FALSE))))))))</f>
        <v/>
      </c>
      <c r="J153" s="25"/>
      <c r="K153" s="90" t="str">
        <f>IF(OR($A153="",$D153="",J153=""),"",SUMIFS(OBJECTIFS!E$9:E$39,OBJECTIFS!$A$9:$A$39,$D153,OBJECTIFS!$C$9:$C$39,$F153))</f>
        <v/>
      </c>
      <c r="L153" s="90" t="str">
        <f>IF(OR(AND($D153=OBJECTIFS!$B$6,OBJECTIFS!E$8="dmt"),AND($D153=OBJECTIFS!$B$13,OBJECTIFS!$E$15="dmt"),AND($D153=OBJECTIFS!$B$20,OBJECTIFS!$E$22="dmt"),AND($D153=OBJECTIFS!$B$27,OBJECTIFS!$E$29="dmt"),AND($D153=OBJECTIFS!$B$34,OBJECTIFS!$E$36="dmt"),AND($D153=OBJECTIFS!$B$6,OBJECTIFS!$E$8="taux de chute"),AND($D153=OBJECTIFS!$B$13,OBJECTIFS!$E$15="taux de chute"),AND($D153=OBJECTIFS!$B$20,OBJECTIFS!$E$22="taux de chute"),AND($D153=OBJECTIFS!$B$27,OBJECTIFS!$E$29="taux de chute"),AND($D153=OBJECTIFS!$B$34,OBJECTIFS!$E$36="taux de chute")),IFERROR(K153/J153,""),IFERROR(J153/K153,""))</f>
        <v/>
      </c>
      <c r="M153" s="91">
        <f>IFERROR(IF(OR(J153="",K153="",L153=""),0,IF(L153&lt;OBJECTIFS!$E$56,0,IF(L153&lt;OBJECTIFS!$G$56,M$8*OBJECTIFS!$F$60,IF(L153&lt;OBJECTIFS!$I$56,M$8*OBJECTIFS!$H$60,M$8)))),0)</f>
        <v>0</v>
      </c>
      <c r="N153" s="161"/>
      <c r="O153" s="92" t="str">
        <f>IF(OR($A153="",$D153="",N153=""),"",SUMIFS(OBJECTIFS!F$9:F$39,OBJECTIFS!$A$9:$A$39,$D153,OBJECTIFS!$C$9:$C$39,$F153))</f>
        <v/>
      </c>
      <c r="P153" s="90" t="str">
        <f>IF(OR(AND($D153=OBJECTIFS!$B$6,OBJECTIFS!$F$8="dmt"),AND($D153=OBJECTIFS!$B$13,OBJECTIFS!$F$15="dmt"),AND($D153=OBJECTIFS!$B$20,OBJECTIFS!$F$22="dmt"),AND($D153=OBJECTIFS!$B$27,OBJECTIFS!$F$29="dmt"),AND($D153=OBJECTIFS!$B$34,OBJECTIFS!$F$36="dmt"),AND($D153=OBJECTIFS!$B$6,OBJECTIFS!$F$8="taux de chute"),AND($D153=OBJECTIFS!$B$13,OBJECTIFS!$F$15="taux de chute"),AND($D153=OBJECTIFS!$B$20,OBJECTIFS!$F$22="taux de chute"),AND($D153=OBJECTIFS!$B$27,OBJECTIFS!$F$29="taux de chute"),AND($D153=OBJECTIFS!$B$34,OBJECTIFS!$F$36="taux de chute")),IFERROR(O153/N153,""),IFERROR(N153/O153,""))</f>
        <v/>
      </c>
      <c r="Q153" s="91">
        <f>IFERROR(IF(OR(N153="",O153="",P153=""),0,IF(P153&lt;OBJECTIFS!$E$56,0,IF(P153&lt;OBJECTIFS!$G$56,Q$8*OBJECTIFS!$F$60,IF(P153&lt;OBJECTIFS!$I$56,Q$8*OBJECTIFS!$H$60,Q$8)))),0)</f>
        <v>0</v>
      </c>
      <c r="R153" s="164"/>
      <c r="S153" s="93" t="str">
        <f>IF(OR($A153="",$D153="",R153=""),"",SUMIFS(OBJECTIFS!G$9:G$39,OBJECTIFS!$A$9:$A$39,$D153,OBJECTIFS!$C$9:$C$39,$F153))</f>
        <v/>
      </c>
      <c r="T153" s="90" t="str">
        <f>IF(OR(AND($D153=OBJECTIFS!$B$6,OBJECTIFS!G$8="dmt"),AND($D153=OBJECTIFS!$B$13,OBJECTIFS!$G$15="dmt"),AND($D153=OBJECTIFS!$B$20,OBJECTIFS!$G$22="dmt"),AND($D153=OBJECTIFS!$B$27,OBJECTIFS!$G$29="dmt"),AND($D153=OBJECTIFS!$B$34,OBJECTIFS!$G$36="dmt"),AND($D153=OBJECTIFS!$B$6,OBJECTIFS!$G$8="taux de chute"),AND($D153=OBJECTIFS!$B$13,OBJECTIFS!$G$15="taux de chute"),AND($D153=OBJECTIFS!$B$20,OBJECTIFS!$G$22="taux de chute"),AND($D153=OBJECTIFS!$B$27,OBJECTIFS!$G$29="taux de chute"),AND($D153=OBJECTIFS!$B$34,OBJECTIFS!$G$36="taux de chute")),IFERROR(S153/R153,""),IFERROR(R153/S153,""))</f>
        <v/>
      </c>
      <c r="U153" s="94">
        <f>IFERROR(IF(OR(R153="",S153="",T153=""),0,IF(T153&lt;OBJECTIFS!$E$56,0,IF(T153&lt;OBJECTIFS!$G$56,U$8*OBJECTIFS!$F$60,IF(T153&lt;OBJECTIFS!$I$56,U$8*OBJECTIFS!$H$60,U$8)))),0)</f>
        <v>0</v>
      </c>
      <c r="V153" s="25"/>
      <c r="W153" s="90" t="str">
        <f>IF(OR($A153="",$D153="",V153=""),"",SUMIFS(OBJECTIFS!H$9:H$39,OBJECTIFS!$A$9:$A$39,$D153,OBJECTIFS!$C$9:$C$39,$F153))</f>
        <v/>
      </c>
      <c r="X153" s="90" t="str">
        <f>IF(OR(AND($D153=OBJECTIFS!$B$6,OBJECTIFS!H$8="dmt"),AND($D153=OBJECTIFS!$B$13,OBJECTIFS!$H$15="dmt"),AND($D153=OBJECTIFS!$B$20,OBJECTIFS!$H$22="dmt"),AND($D153=OBJECTIFS!$B$27,OBJECTIFS!$H$29="dmt"),AND($D153=OBJECTIFS!$B$34,OBJECTIFS!$H$36="dmt"),AND($D153=OBJECTIFS!$B$6,OBJECTIFS!$H$8="taux de chute"),AND($D153=OBJECTIFS!$B$13,OBJECTIFS!$H$15="taux de chute"),AND($D153=OBJECTIFS!$B$20,OBJECTIFS!$H$22="taux de chute"),AND($D153=OBJECTIFS!$B$27,OBJECTIFS!$H$29="taux de chute"),AND($D153=OBJECTIFS!$B$34,OBJECTIFS!$H$36="taux de chute")),IFERROR(W153/V153,""),IFERROR(V153/W153,""))</f>
        <v/>
      </c>
      <c r="Y153" s="91">
        <f>IFERROR(IF(OR(V153="",W153="",X153=""),0,IF(X153&lt;OBJECTIFS!$E$56,0,IF(X153&lt;OBJECTIFS!$G$56,Y$8*OBJECTIFS!$F$60,IF(X153&lt;OBJECTIFS!$I$56,Y$8*OBJECTIFS!$H$60,Y$8)))),0)</f>
        <v>0</v>
      </c>
      <c r="Z153" s="167"/>
      <c r="AA153" s="90" t="str">
        <f>IF(OR($A153="",$D153="",Z153=""),"",SUMIFS(OBJECTIFS!I$9:I$39,OBJECTIFS!$A$9:$A$39,$D153,OBJECTIFS!$C$9:$C$39,$F153))</f>
        <v/>
      </c>
      <c r="AB153" s="90" t="str">
        <f>IF(OR(AND($D153=OBJECTIFS!$B$6,OBJECTIFS!I$8="dmt"),AND($D153=OBJECTIFS!$B$13,OBJECTIFS!$I$15="dmt"),AND($D153=OBJECTIFS!$B$20,OBJECTIFS!$I$22="dmt"),AND($D153=OBJECTIFS!$B$27,OBJECTIFS!$I$29="dmt"),AND($D153=OBJECTIFS!$B$34,OBJECTIFS!$I$36="dmt"),AND($D153=OBJECTIFS!$B$6,OBJECTIFS!$I$8="taux de chute"),AND($D153=OBJECTIFS!$B$13,OBJECTIFS!$I$15="taux de chute"),AND($D153=OBJECTIFS!$B$20,OBJECTIFS!$I$22="taux de chute"),AND($D153=OBJECTIFS!$B$27,OBJECTIFS!$I$29="taux de chute"),AND($D153=OBJECTIFS!$B$34,OBJECTIFS!$I$36="taux de chute")),IFERROR(AA153/Z153,""),IFERROR(Z153/AA153,""))</f>
        <v/>
      </c>
      <c r="AC153" s="95">
        <f>IFERROR(IF(OR(Z153="",AA153="",AB153=""),0,IF(AB153&lt;OBJECTIFS!$E$56,0,IF(AB153&lt;OBJECTIFS!$G$56,AC$8*OBJECTIFS!$F$60,IF(AB153&lt;OBJECTIFS!$I$56,AC$8*OBJECTIFS!$H$60,AC$8)))),0)</f>
        <v>0</v>
      </c>
      <c r="AD153" s="186"/>
      <c r="AE153" s="187"/>
      <c r="AF153" s="96">
        <f t="shared" ca="1" si="29"/>
        <v>0</v>
      </c>
      <c r="AG153" s="63"/>
      <c r="AH153" s="186"/>
      <c r="AI153" s="24"/>
      <c r="AJ153" s="24"/>
      <c r="AK153" s="24"/>
      <c r="AL153" s="24"/>
      <c r="AM153" s="79">
        <f t="shared" si="30"/>
        <v>0</v>
      </c>
      <c r="AN153" s="79">
        <v>22</v>
      </c>
      <c r="AO153" s="80">
        <f t="shared" si="31"/>
        <v>0</v>
      </c>
      <c r="AP153" s="81" t="str">
        <f t="shared" ca="1" si="32"/>
        <v/>
      </c>
      <c r="AQ153" s="82"/>
      <c r="AR153" s="97">
        <f>IFERROR(VLOOKUP(B153,OBJECTIFS!$C$76:$E$137,2,FALSE),0)</f>
        <v>0</v>
      </c>
      <c r="AS153" s="98">
        <f>IFERROR(VLOOKUP(B153,OBJECTIFS!$H$76:$J$137,2,FALSE),0)</f>
        <v>0</v>
      </c>
      <c r="AT153" s="98">
        <f>IFERROR(VLOOKUP(B153,OBJECTIFS!$C$142:$E$203,2,FALSE),0)</f>
        <v>0</v>
      </c>
      <c r="AU153" s="98">
        <f>IFERROR(VLOOKUP(B153,OBJECTIFS!$H$142:$J$203,2,FALSE),0)</f>
        <v>0</v>
      </c>
      <c r="AV153" s="98">
        <f>IFERROR(VLOOKUP(B153,OBJECTIFS!$F$208:$H$269,3,FALSE),0)</f>
        <v>0</v>
      </c>
      <c r="AW153" s="81">
        <f t="shared" si="33"/>
        <v>0</v>
      </c>
      <c r="AX153" s="82"/>
      <c r="AY153" s="99" t="str">
        <f t="shared" ca="1" si="34"/>
        <v/>
      </c>
      <c r="AZ153" s="63"/>
      <c r="BA153" s="100">
        <f t="shared" ca="1" si="35"/>
        <v>0</v>
      </c>
      <c r="BB153" s="64" t="str">
        <f t="shared" ca="1" si="36"/>
        <v/>
      </c>
      <c r="BC153" s="101" t="str">
        <f t="shared" ca="1" si="37"/>
        <v/>
      </c>
    </row>
    <row r="154" spans="1:55" x14ac:dyDescent="0.2">
      <c r="A154" s="21"/>
      <c r="B154" s="22"/>
      <c r="C154" s="22"/>
      <c r="D154" s="23"/>
      <c r="E154" s="24"/>
      <c r="F154" s="34"/>
      <c r="H154" s="89" t="str">
        <f>IF(OR(D154="",F154="",A154=""),"",IF(E154="oui",0,IF(D154=OBJECTIFS!$C$45,VLOOKUP(F154,OBJECTIFS!$C$9:$D$11,2,FALSE),IF(D154=OBJECTIFS!$C$46,VLOOKUP(F154,OBJECTIFS!$C$16:$D$18,2,FALSE),IF(D154=OBJECTIFS!$C$47,VLOOKUP(F154,OBJECTIFS!$C$23:$D$25,2,FALSE),IF(D154=OBJECTIFS!$C$48,VLOOKUP(F154,OBJECTIFS!$C$30:$D$32,2,FALSE),IF(D154=OBJECTIFS!$C$49,VLOOKUP(F154,OBJECTIFS!$C$37:$D$39,2,FALSE))))))))</f>
        <v/>
      </c>
      <c r="J154" s="25"/>
      <c r="K154" s="90" t="str">
        <f>IF(OR($A154="",$D154="",J154=""),"",SUMIFS(OBJECTIFS!E$9:E$39,OBJECTIFS!$A$9:$A$39,$D154,OBJECTIFS!$C$9:$C$39,$F154))</f>
        <v/>
      </c>
      <c r="L154" s="90" t="str">
        <f>IF(OR(AND($D154=OBJECTIFS!$B$6,OBJECTIFS!E$8="dmt"),AND($D154=OBJECTIFS!$B$13,OBJECTIFS!$E$15="dmt"),AND($D154=OBJECTIFS!$B$20,OBJECTIFS!$E$22="dmt"),AND($D154=OBJECTIFS!$B$27,OBJECTIFS!$E$29="dmt"),AND($D154=OBJECTIFS!$B$34,OBJECTIFS!$E$36="dmt"),AND($D154=OBJECTIFS!$B$6,OBJECTIFS!$E$8="taux de chute"),AND($D154=OBJECTIFS!$B$13,OBJECTIFS!$E$15="taux de chute"),AND($D154=OBJECTIFS!$B$20,OBJECTIFS!$E$22="taux de chute"),AND($D154=OBJECTIFS!$B$27,OBJECTIFS!$E$29="taux de chute"),AND($D154=OBJECTIFS!$B$34,OBJECTIFS!$E$36="taux de chute")),IFERROR(K154/J154,""),IFERROR(J154/K154,""))</f>
        <v/>
      </c>
      <c r="M154" s="91">
        <f>IFERROR(IF(OR(J154="",K154="",L154=""),0,IF(L154&lt;OBJECTIFS!$E$56,0,IF(L154&lt;OBJECTIFS!$G$56,M$8*OBJECTIFS!$F$60,IF(L154&lt;OBJECTIFS!$I$56,M$8*OBJECTIFS!$H$60,M$8)))),0)</f>
        <v>0</v>
      </c>
      <c r="N154" s="161"/>
      <c r="O154" s="92" t="str">
        <f>IF(OR($A154="",$D154="",N154=""),"",SUMIFS(OBJECTIFS!F$9:F$39,OBJECTIFS!$A$9:$A$39,$D154,OBJECTIFS!$C$9:$C$39,$F154))</f>
        <v/>
      </c>
      <c r="P154" s="90" t="str">
        <f>IF(OR(AND($D154=OBJECTIFS!$B$6,OBJECTIFS!$F$8="dmt"),AND($D154=OBJECTIFS!$B$13,OBJECTIFS!$F$15="dmt"),AND($D154=OBJECTIFS!$B$20,OBJECTIFS!$F$22="dmt"),AND($D154=OBJECTIFS!$B$27,OBJECTIFS!$F$29="dmt"),AND($D154=OBJECTIFS!$B$34,OBJECTIFS!$F$36="dmt"),AND($D154=OBJECTIFS!$B$6,OBJECTIFS!$F$8="taux de chute"),AND($D154=OBJECTIFS!$B$13,OBJECTIFS!$F$15="taux de chute"),AND($D154=OBJECTIFS!$B$20,OBJECTIFS!$F$22="taux de chute"),AND($D154=OBJECTIFS!$B$27,OBJECTIFS!$F$29="taux de chute"),AND($D154=OBJECTIFS!$B$34,OBJECTIFS!$F$36="taux de chute")),IFERROR(O154/N154,""),IFERROR(N154/O154,""))</f>
        <v/>
      </c>
      <c r="Q154" s="91">
        <f>IFERROR(IF(OR(N154="",O154="",P154=""),0,IF(P154&lt;OBJECTIFS!$E$56,0,IF(P154&lt;OBJECTIFS!$G$56,Q$8*OBJECTIFS!$F$60,IF(P154&lt;OBJECTIFS!$I$56,Q$8*OBJECTIFS!$H$60,Q$8)))),0)</f>
        <v>0</v>
      </c>
      <c r="R154" s="164"/>
      <c r="S154" s="93" t="str">
        <f>IF(OR($A154="",$D154="",R154=""),"",SUMIFS(OBJECTIFS!G$9:G$39,OBJECTIFS!$A$9:$A$39,$D154,OBJECTIFS!$C$9:$C$39,$F154))</f>
        <v/>
      </c>
      <c r="T154" s="90" t="str">
        <f>IF(OR(AND($D154=OBJECTIFS!$B$6,OBJECTIFS!G$8="dmt"),AND($D154=OBJECTIFS!$B$13,OBJECTIFS!$G$15="dmt"),AND($D154=OBJECTIFS!$B$20,OBJECTIFS!$G$22="dmt"),AND($D154=OBJECTIFS!$B$27,OBJECTIFS!$G$29="dmt"),AND($D154=OBJECTIFS!$B$34,OBJECTIFS!$G$36="dmt"),AND($D154=OBJECTIFS!$B$6,OBJECTIFS!$G$8="taux de chute"),AND($D154=OBJECTIFS!$B$13,OBJECTIFS!$G$15="taux de chute"),AND($D154=OBJECTIFS!$B$20,OBJECTIFS!$G$22="taux de chute"),AND($D154=OBJECTIFS!$B$27,OBJECTIFS!$G$29="taux de chute"),AND($D154=OBJECTIFS!$B$34,OBJECTIFS!$G$36="taux de chute")),IFERROR(S154/R154,""),IFERROR(R154/S154,""))</f>
        <v/>
      </c>
      <c r="U154" s="94">
        <f>IFERROR(IF(OR(R154="",S154="",T154=""),0,IF(T154&lt;OBJECTIFS!$E$56,0,IF(T154&lt;OBJECTIFS!$G$56,U$8*OBJECTIFS!$F$60,IF(T154&lt;OBJECTIFS!$I$56,U$8*OBJECTIFS!$H$60,U$8)))),0)</f>
        <v>0</v>
      </c>
      <c r="V154" s="25"/>
      <c r="W154" s="90" t="str">
        <f>IF(OR($A154="",$D154="",V154=""),"",SUMIFS(OBJECTIFS!H$9:H$39,OBJECTIFS!$A$9:$A$39,$D154,OBJECTIFS!$C$9:$C$39,$F154))</f>
        <v/>
      </c>
      <c r="X154" s="90" t="str">
        <f>IF(OR(AND($D154=OBJECTIFS!$B$6,OBJECTIFS!H$8="dmt"),AND($D154=OBJECTIFS!$B$13,OBJECTIFS!$H$15="dmt"),AND($D154=OBJECTIFS!$B$20,OBJECTIFS!$H$22="dmt"),AND($D154=OBJECTIFS!$B$27,OBJECTIFS!$H$29="dmt"),AND($D154=OBJECTIFS!$B$34,OBJECTIFS!$H$36="dmt"),AND($D154=OBJECTIFS!$B$6,OBJECTIFS!$H$8="taux de chute"),AND($D154=OBJECTIFS!$B$13,OBJECTIFS!$H$15="taux de chute"),AND($D154=OBJECTIFS!$B$20,OBJECTIFS!$H$22="taux de chute"),AND($D154=OBJECTIFS!$B$27,OBJECTIFS!$H$29="taux de chute"),AND($D154=OBJECTIFS!$B$34,OBJECTIFS!$H$36="taux de chute")),IFERROR(W154/V154,""),IFERROR(V154/W154,""))</f>
        <v/>
      </c>
      <c r="Y154" s="91">
        <f>IFERROR(IF(OR(V154="",W154="",X154=""),0,IF(X154&lt;OBJECTIFS!$E$56,0,IF(X154&lt;OBJECTIFS!$G$56,Y$8*OBJECTIFS!$F$60,IF(X154&lt;OBJECTIFS!$I$56,Y$8*OBJECTIFS!$H$60,Y$8)))),0)</f>
        <v>0</v>
      </c>
      <c r="Z154" s="167"/>
      <c r="AA154" s="90" t="str">
        <f>IF(OR($A154="",$D154="",Z154=""),"",SUMIFS(OBJECTIFS!I$9:I$39,OBJECTIFS!$A$9:$A$39,$D154,OBJECTIFS!$C$9:$C$39,$F154))</f>
        <v/>
      </c>
      <c r="AB154" s="90" t="str">
        <f>IF(OR(AND($D154=OBJECTIFS!$B$6,OBJECTIFS!I$8="dmt"),AND($D154=OBJECTIFS!$B$13,OBJECTIFS!$I$15="dmt"),AND($D154=OBJECTIFS!$B$20,OBJECTIFS!$I$22="dmt"),AND($D154=OBJECTIFS!$B$27,OBJECTIFS!$I$29="dmt"),AND($D154=OBJECTIFS!$B$34,OBJECTIFS!$I$36="dmt"),AND($D154=OBJECTIFS!$B$6,OBJECTIFS!$I$8="taux de chute"),AND($D154=OBJECTIFS!$B$13,OBJECTIFS!$I$15="taux de chute"),AND($D154=OBJECTIFS!$B$20,OBJECTIFS!$I$22="taux de chute"),AND($D154=OBJECTIFS!$B$27,OBJECTIFS!$I$29="taux de chute"),AND($D154=OBJECTIFS!$B$34,OBJECTIFS!$I$36="taux de chute")),IFERROR(AA154/Z154,""),IFERROR(Z154/AA154,""))</f>
        <v/>
      </c>
      <c r="AC154" s="95">
        <f>IFERROR(IF(OR(Z154="",AA154="",AB154=""),0,IF(AB154&lt;OBJECTIFS!$E$56,0,IF(AB154&lt;OBJECTIFS!$G$56,AC$8*OBJECTIFS!$F$60,IF(AB154&lt;OBJECTIFS!$I$56,AC$8*OBJECTIFS!$H$60,AC$8)))),0)</f>
        <v>0</v>
      </c>
      <c r="AD154" s="186"/>
      <c r="AE154" s="187"/>
      <c r="AF154" s="96">
        <f t="shared" ca="1" si="29"/>
        <v>0</v>
      </c>
      <c r="AG154" s="63"/>
      <c r="AH154" s="186"/>
      <c r="AI154" s="24"/>
      <c r="AJ154" s="24"/>
      <c r="AK154" s="24"/>
      <c r="AL154" s="24"/>
      <c r="AM154" s="79">
        <f t="shared" si="30"/>
        <v>0</v>
      </c>
      <c r="AN154" s="79">
        <v>22</v>
      </c>
      <c r="AO154" s="80">
        <f t="shared" si="31"/>
        <v>0</v>
      </c>
      <c r="AP154" s="81" t="str">
        <f t="shared" ca="1" si="32"/>
        <v/>
      </c>
      <c r="AQ154" s="82"/>
      <c r="AR154" s="97">
        <f>IFERROR(VLOOKUP(B154,OBJECTIFS!$C$76:$E$137,2,FALSE),0)</f>
        <v>0</v>
      </c>
      <c r="AS154" s="98">
        <f>IFERROR(VLOOKUP(B154,OBJECTIFS!$H$76:$J$137,2,FALSE),0)</f>
        <v>0</v>
      </c>
      <c r="AT154" s="98">
        <f>IFERROR(VLOOKUP(B154,OBJECTIFS!$C$142:$E$203,2,FALSE),0)</f>
        <v>0</v>
      </c>
      <c r="AU154" s="98">
        <f>IFERROR(VLOOKUP(B154,OBJECTIFS!$H$142:$J$203,2,FALSE),0)</f>
        <v>0</v>
      </c>
      <c r="AV154" s="98">
        <f>IFERROR(VLOOKUP(B154,OBJECTIFS!$F$208:$H$269,3,FALSE),0)</f>
        <v>0</v>
      </c>
      <c r="AW154" s="81">
        <f t="shared" si="33"/>
        <v>0</v>
      </c>
      <c r="AX154" s="82"/>
      <c r="AY154" s="99" t="str">
        <f t="shared" ca="1" si="34"/>
        <v/>
      </c>
      <c r="AZ154" s="63"/>
      <c r="BA154" s="100">
        <f t="shared" ca="1" si="35"/>
        <v>0</v>
      </c>
      <c r="BB154" s="64" t="str">
        <f t="shared" ca="1" si="36"/>
        <v/>
      </c>
      <c r="BC154" s="101" t="str">
        <f t="shared" ca="1" si="37"/>
        <v/>
      </c>
    </row>
    <row r="155" spans="1:55" x14ac:dyDescent="0.2">
      <c r="A155" s="21"/>
      <c r="B155" s="22"/>
      <c r="C155" s="22"/>
      <c r="D155" s="23"/>
      <c r="E155" s="24"/>
      <c r="F155" s="34"/>
      <c r="H155" s="89" t="str">
        <f>IF(OR(D155="",F155="",A155=""),"",IF(E155="oui",0,IF(D155=OBJECTIFS!$C$45,VLOOKUP(F155,OBJECTIFS!$C$9:$D$11,2,FALSE),IF(D155=OBJECTIFS!$C$46,VLOOKUP(F155,OBJECTIFS!$C$16:$D$18,2,FALSE),IF(D155=OBJECTIFS!$C$47,VLOOKUP(F155,OBJECTIFS!$C$23:$D$25,2,FALSE),IF(D155=OBJECTIFS!$C$48,VLOOKUP(F155,OBJECTIFS!$C$30:$D$32,2,FALSE),IF(D155=OBJECTIFS!$C$49,VLOOKUP(F155,OBJECTIFS!$C$37:$D$39,2,FALSE))))))))</f>
        <v/>
      </c>
      <c r="J155" s="25"/>
      <c r="K155" s="90" t="str">
        <f>IF(OR($A155="",$D155="",J155=""),"",SUMIFS(OBJECTIFS!E$9:E$39,OBJECTIFS!$A$9:$A$39,$D155,OBJECTIFS!$C$9:$C$39,$F155))</f>
        <v/>
      </c>
      <c r="L155" s="90" t="str">
        <f>IF(OR(AND($D155=OBJECTIFS!$B$6,OBJECTIFS!E$8="dmt"),AND($D155=OBJECTIFS!$B$13,OBJECTIFS!$E$15="dmt"),AND($D155=OBJECTIFS!$B$20,OBJECTIFS!$E$22="dmt"),AND($D155=OBJECTIFS!$B$27,OBJECTIFS!$E$29="dmt"),AND($D155=OBJECTIFS!$B$34,OBJECTIFS!$E$36="dmt"),AND($D155=OBJECTIFS!$B$6,OBJECTIFS!$E$8="taux de chute"),AND($D155=OBJECTIFS!$B$13,OBJECTIFS!$E$15="taux de chute"),AND($D155=OBJECTIFS!$B$20,OBJECTIFS!$E$22="taux de chute"),AND($D155=OBJECTIFS!$B$27,OBJECTIFS!$E$29="taux de chute"),AND($D155=OBJECTIFS!$B$34,OBJECTIFS!$E$36="taux de chute")),IFERROR(K155/J155,""),IFERROR(J155/K155,""))</f>
        <v/>
      </c>
      <c r="M155" s="91">
        <f>IFERROR(IF(OR(J155="",K155="",L155=""),0,IF(L155&lt;OBJECTIFS!$E$56,0,IF(L155&lt;OBJECTIFS!$G$56,M$8*OBJECTIFS!$F$60,IF(L155&lt;OBJECTIFS!$I$56,M$8*OBJECTIFS!$H$60,M$8)))),0)</f>
        <v>0</v>
      </c>
      <c r="N155" s="161"/>
      <c r="O155" s="92" t="str">
        <f>IF(OR($A155="",$D155="",N155=""),"",SUMIFS(OBJECTIFS!F$9:F$39,OBJECTIFS!$A$9:$A$39,$D155,OBJECTIFS!$C$9:$C$39,$F155))</f>
        <v/>
      </c>
      <c r="P155" s="90" t="str">
        <f>IF(OR(AND($D155=OBJECTIFS!$B$6,OBJECTIFS!$F$8="dmt"),AND($D155=OBJECTIFS!$B$13,OBJECTIFS!$F$15="dmt"),AND($D155=OBJECTIFS!$B$20,OBJECTIFS!$F$22="dmt"),AND($D155=OBJECTIFS!$B$27,OBJECTIFS!$F$29="dmt"),AND($D155=OBJECTIFS!$B$34,OBJECTIFS!$F$36="dmt"),AND($D155=OBJECTIFS!$B$6,OBJECTIFS!$F$8="taux de chute"),AND($D155=OBJECTIFS!$B$13,OBJECTIFS!$F$15="taux de chute"),AND($D155=OBJECTIFS!$B$20,OBJECTIFS!$F$22="taux de chute"),AND($D155=OBJECTIFS!$B$27,OBJECTIFS!$F$29="taux de chute"),AND($D155=OBJECTIFS!$B$34,OBJECTIFS!$F$36="taux de chute")),IFERROR(O155/N155,""),IFERROR(N155/O155,""))</f>
        <v/>
      </c>
      <c r="Q155" s="91">
        <f>IFERROR(IF(OR(N155="",O155="",P155=""),0,IF(P155&lt;OBJECTIFS!$E$56,0,IF(P155&lt;OBJECTIFS!$G$56,Q$8*OBJECTIFS!$F$60,IF(P155&lt;OBJECTIFS!$I$56,Q$8*OBJECTIFS!$H$60,Q$8)))),0)</f>
        <v>0</v>
      </c>
      <c r="R155" s="164"/>
      <c r="S155" s="93" t="str">
        <f>IF(OR($A155="",$D155="",R155=""),"",SUMIFS(OBJECTIFS!G$9:G$39,OBJECTIFS!$A$9:$A$39,$D155,OBJECTIFS!$C$9:$C$39,$F155))</f>
        <v/>
      </c>
      <c r="T155" s="90" t="str">
        <f>IF(OR(AND($D155=OBJECTIFS!$B$6,OBJECTIFS!G$8="dmt"),AND($D155=OBJECTIFS!$B$13,OBJECTIFS!$G$15="dmt"),AND($D155=OBJECTIFS!$B$20,OBJECTIFS!$G$22="dmt"),AND($D155=OBJECTIFS!$B$27,OBJECTIFS!$G$29="dmt"),AND($D155=OBJECTIFS!$B$34,OBJECTIFS!$G$36="dmt"),AND($D155=OBJECTIFS!$B$6,OBJECTIFS!$G$8="taux de chute"),AND($D155=OBJECTIFS!$B$13,OBJECTIFS!$G$15="taux de chute"),AND($D155=OBJECTIFS!$B$20,OBJECTIFS!$G$22="taux de chute"),AND($D155=OBJECTIFS!$B$27,OBJECTIFS!$G$29="taux de chute"),AND($D155=OBJECTIFS!$B$34,OBJECTIFS!$G$36="taux de chute")),IFERROR(S155/R155,""),IFERROR(R155/S155,""))</f>
        <v/>
      </c>
      <c r="U155" s="94">
        <f>IFERROR(IF(OR(R155="",S155="",T155=""),0,IF(T155&lt;OBJECTIFS!$E$56,0,IF(T155&lt;OBJECTIFS!$G$56,U$8*OBJECTIFS!$F$60,IF(T155&lt;OBJECTIFS!$I$56,U$8*OBJECTIFS!$H$60,U$8)))),0)</f>
        <v>0</v>
      </c>
      <c r="V155" s="25"/>
      <c r="W155" s="90" t="str">
        <f>IF(OR($A155="",$D155="",V155=""),"",SUMIFS(OBJECTIFS!H$9:H$39,OBJECTIFS!$A$9:$A$39,$D155,OBJECTIFS!$C$9:$C$39,$F155))</f>
        <v/>
      </c>
      <c r="X155" s="90" t="str">
        <f>IF(OR(AND($D155=OBJECTIFS!$B$6,OBJECTIFS!H$8="dmt"),AND($D155=OBJECTIFS!$B$13,OBJECTIFS!$H$15="dmt"),AND($D155=OBJECTIFS!$B$20,OBJECTIFS!$H$22="dmt"),AND($D155=OBJECTIFS!$B$27,OBJECTIFS!$H$29="dmt"),AND($D155=OBJECTIFS!$B$34,OBJECTIFS!$H$36="dmt"),AND($D155=OBJECTIFS!$B$6,OBJECTIFS!$H$8="taux de chute"),AND($D155=OBJECTIFS!$B$13,OBJECTIFS!$H$15="taux de chute"),AND($D155=OBJECTIFS!$B$20,OBJECTIFS!$H$22="taux de chute"),AND($D155=OBJECTIFS!$B$27,OBJECTIFS!$H$29="taux de chute"),AND($D155=OBJECTIFS!$B$34,OBJECTIFS!$H$36="taux de chute")),IFERROR(W155/V155,""),IFERROR(V155/W155,""))</f>
        <v/>
      </c>
      <c r="Y155" s="91">
        <f>IFERROR(IF(OR(V155="",W155="",X155=""),0,IF(X155&lt;OBJECTIFS!$E$56,0,IF(X155&lt;OBJECTIFS!$G$56,Y$8*OBJECTIFS!$F$60,IF(X155&lt;OBJECTIFS!$I$56,Y$8*OBJECTIFS!$H$60,Y$8)))),0)</f>
        <v>0</v>
      </c>
      <c r="Z155" s="167"/>
      <c r="AA155" s="90" t="str">
        <f>IF(OR($A155="",$D155="",Z155=""),"",SUMIFS(OBJECTIFS!I$9:I$39,OBJECTIFS!$A$9:$A$39,$D155,OBJECTIFS!$C$9:$C$39,$F155))</f>
        <v/>
      </c>
      <c r="AB155" s="90" t="str">
        <f>IF(OR(AND($D155=OBJECTIFS!$B$6,OBJECTIFS!I$8="dmt"),AND($D155=OBJECTIFS!$B$13,OBJECTIFS!$I$15="dmt"),AND($D155=OBJECTIFS!$B$20,OBJECTIFS!$I$22="dmt"),AND($D155=OBJECTIFS!$B$27,OBJECTIFS!$I$29="dmt"),AND($D155=OBJECTIFS!$B$34,OBJECTIFS!$I$36="dmt"),AND($D155=OBJECTIFS!$B$6,OBJECTIFS!$I$8="taux de chute"),AND($D155=OBJECTIFS!$B$13,OBJECTIFS!$I$15="taux de chute"),AND($D155=OBJECTIFS!$B$20,OBJECTIFS!$I$22="taux de chute"),AND($D155=OBJECTIFS!$B$27,OBJECTIFS!$I$29="taux de chute"),AND($D155=OBJECTIFS!$B$34,OBJECTIFS!$I$36="taux de chute")),IFERROR(AA155/Z155,""),IFERROR(Z155/AA155,""))</f>
        <v/>
      </c>
      <c r="AC155" s="95">
        <f>IFERROR(IF(OR(Z155="",AA155="",AB155=""),0,IF(AB155&lt;OBJECTIFS!$E$56,0,IF(AB155&lt;OBJECTIFS!$G$56,AC$8*OBJECTIFS!$F$60,IF(AB155&lt;OBJECTIFS!$I$56,AC$8*OBJECTIFS!$H$60,AC$8)))),0)</f>
        <v>0</v>
      </c>
      <c r="AD155" s="281"/>
      <c r="AE155" s="282"/>
      <c r="AF155" s="96">
        <f t="shared" ca="1" si="29"/>
        <v>0</v>
      </c>
      <c r="AG155" s="63"/>
      <c r="AH155" s="169"/>
      <c r="AI155" s="24"/>
      <c r="AJ155" s="24"/>
      <c r="AK155" s="24"/>
      <c r="AL155" s="24"/>
      <c r="AM155" s="79">
        <f t="shared" si="30"/>
        <v>0</v>
      </c>
      <c r="AN155" s="79">
        <v>22</v>
      </c>
      <c r="AO155" s="80">
        <f t="shared" si="31"/>
        <v>0</v>
      </c>
      <c r="AP155" s="81" t="str">
        <f t="shared" ca="1" si="32"/>
        <v/>
      </c>
      <c r="AQ155" s="82"/>
      <c r="AR155" s="97">
        <f>IFERROR(VLOOKUP(B155,OBJECTIFS!$C$76:$E$137,2,FALSE),0)</f>
        <v>0</v>
      </c>
      <c r="AS155" s="98">
        <f>IFERROR(VLOOKUP(B155,OBJECTIFS!$H$76:$J$137,2,FALSE),0)</f>
        <v>0</v>
      </c>
      <c r="AT155" s="98">
        <f>IFERROR(VLOOKUP(B155,OBJECTIFS!$C$142:$E$203,2,FALSE),0)</f>
        <v>0</v>
      </c>
      <c r="AU155" s="98">
        <f>IFERROR(VLOOKUP(B155,OBJECTIFS!$H$142:$J$203,2,FALSE),0)</f>
        <v>0</v>
      </c>
      <c r="AV155" s="98">
        <f>IFERROR(VLOOKUP(B155,OBJECTIFS!$F$208:$H$269,3,FALSE),0)</f>
        <v>0</v>
      </c>
      <c r="AW155" s="81">
        <f t="shared" si="33"/>
        <v>0</v>
      </c>
      <c r="AX155" s="82"/>
      <c r="AY155" s="99" t="str">
        <f t="shared" ca="1" si="34"/>
        <v/>
      </c>
      <c r="AZ155" s="63"/>
      <c r="BA155" s="100">
        <f t="shared" ca="1" si="35"/>
        <v>0</v>
      </c>
      <c r="BB155" s="64" t="str">
        <f t="shared" ca="1" si="36"/>
        <v/>
      </c>
      <c r="BC155" s="101" t="str">
        <f t="shared" ca="1" si="37"/>
        <v/>
      </c>
    </row>
    <row r="156" spans="1:55" x14ac:dyDescent="0.2">
      <c r="A156" s="21"/>
      <c r="B156" s="22"/>
      <c r="C156" s="22"/>
      <c r="D156" s="23"/>
      <c r="E156" s="24"/>
      <c r="F156" s="34"/>
      <c r="H156" s="89" t="str">
        <f>IF(OR(D156="",F156="",A156=""),"",IF(E156="oui",0,IF(D156=OBJECTIFS!$C$45,VLOOKUP(F156,OBJECTIFS!$C$9:$D$11,2,FALSE),IF(D156=OBJECTIFS!$C$46,VLOOKUP(F156,OBJECTIFS!$C$16:$D$18,2,FALSE),IF(D156=OBJECTIFS!$C$47,VLOOKUP(F156,OBJECTIFS!$C$23:$D$25,2,FALSE),IF(D156=OBJECTIFS!$C$48,VLOOKUP(F156,OBJECTIFS!$C$30:$D$32,2,FALSE),IF(D156=OBJECTIFS!$C$49,VLOOKUP(F156,OBJECTIFS!$C$37:$D$39,2,FALSE))))))))</f>
        <v/>
      </c>
      <c r="J156" s="25"/>
      <c r="K156" s="90" t="str">
        <f>IF(OR($A156="",$D156="",J156=""),"",SUMIFS(OBJECTIFS!E$9:E$39,OBJECTIFS!$A$9:$A$39,$D156,OBJECTIFS!$C$9:$C$39,$F156))</f>
        <v/>
      </c>
      <c r="L156" s="90" t="str">
        <f>IF(OR(AND($D156=OBJECTIFS!$B$6,OBJECTIFS!E$8="dmt"),AND($D156=OBJECTIFS!$B$13,OBJECTIFS!$E$15="dmt"),AND($D156=OBJECTIFS!$B$20,OBJECTIFS!$E$22="dmt"),AND($D156=OBJECTIFS!$B$27,OBJECTIFS!$E$29="dmt"),AND($D156=OBJECTIFS!$B$34,OBJECTIFS!$E$36="dmt"),AND($D156=OBJECTIFS!$B$6,OBJECTIFS!$E$8="taux de chute"),AND($D156=OBJECTIFS!$B$13,OBJECTIFS!$E$15="taux de chute"),AND($D156=OBJECTIFS!$B$20,OBJECTIFS!$E$22="taux de chute"),AND($D156=OBJECTIFS!$B$27,OBJECTIFS!$E$29="taux de chute"),AND($D156=OBJECTIFS!$B$34,OBJECTIFS!$E$36="taux de chute")),IFERROR(K156/J156,""),IFERROR(J156/K156,""))</f>
        <v/>
      </c>
      <c r="M156" s="91">
        <f>IFERROR(IF(OR(J156="",K156="",L156=""),0,IF(L156&lt;OBJECTIFS!$E$56,0,IF(L156&lt;OBJECTIFS!$G$56,M$8*OBJECTIFS!$F$60,IF(L156&lt;OBJECTIFS!$I$56,M$8*OBJECTIFS!$H$60,M$8)))),0)</f>
        <v>0</v>
      </c>
      <c r="N156" s="161"/>
      <c r="O156" s="92" t="str">
        <f>IF(OR($A156="",$D156="",N156=""),"",SUMIFS(OBJECTIFS!F$9:F$39,OBJECTIFS!$A$9:$A$39,$D156,OBJECTIFS!$C$9:$C$39,$F156))</f>
        <v/>
      </c>
      <c r="P156" s="90" t="str">
        <f>IF(OR(AND($D156=OBJECTIFS!$B$6,OBJECTIFS!$F$8="dmt"),AND($D156=OBJECTIFS!$B$13,OBJECTIFS!$F$15="dmt"),AND($D156=OBJECTIFS!$B$20,OBJECTIFS!$F$22="dmt"),AND($D156=OBJECTIFS!$B$27,OBJECTIFS!$F$29="dmt"),AND($D156=OBJECTIFS!$B$34,OBJECTIFS!$F$36="dmt"),AND($D156=OBJECTIFS!$B$6,OBJECTIFS!$F$8="taux de chute"),AND($D156=OBJECTIFS!$B$13,OBJECTIFS!$F$15="taux de chute"),AND($D156=OBJECTIFS!$B$20,OBJECTIFS!$F$22="taux de chute"),AND($D156=OBJECTIFS!$B$27,OBJECTIFS!$F$29="taux de chute"),AND($D156=OBJECTIFS!$B$34,OBJECTIFS!$F$36="taux de chute")),IFERROR(O156/N156,""),IFERROR(N156/O156,""))</f>
        <v/>
      </c>
      <c r="Q156" s="91">
        <f>IFERROR(IF(OR(N156="",O156="",P156=""),0,IF(P156&lt;OBJECTIFS!$E$56,0,IF(P156&lt;OBJECTIFS!$G$56,Q$8*OBJECTIFS!$F$60,IF(P156&lt;OBJECTIFS!$I$56,Q$8*OBJECTIFS!$H$60,Q$8)))),0)</f>
        <v>0</v>
      </c>
      <c r="R156" s="164"/>
      <c r="S156" s="93" t="str">
        <f>IF(OR($A156="",$D156="",R156=""),"",SUMIFS(OBJECTIFS!G$9:G$39,OBJECTIFS!$A$9:$A$39,$D156,OBJECTIFS!$C$9:$C$39,$F156))</f>
        <v/>
      </c>
      <c r="T156" s="90" t="str">
        <f>IF(OR(AND($D156=OBJECTIFS!$B$6,OBJECTIFS!G$8="dmt"),AND($D156=OBJECTIFS!$B$13,OBJECTIFS!$G$15="dmt"),AND($D156=OBJECTIFS!$B$20,OBJECTIFS!$G$22="dmt"),AND($D156=OBJECTIFS!$B$27,OBJECTIFS!$G$29="dmt"),AND($D156=OBJECTIFS!$B$34,OBJECTIFS!$G$36="dmt"),AND($D156=OBJECTIFS!$B$6,OBJECTIFS!$G$8="taux de chute"),AND($D156=OBJECTIFS!$B$13,OBJECTIFS!$G$15="taux de chute"),AND($D156=OBJECTIFS!$B$20,OBJECTIFS!$G$22="taux de chute"),AND($D156=OBJECTIFS!$B$27,OBJECTIFS!$G$29="taux de chute"),AND($D156=OBJECTIFS!$B$34,OBJECTIFS!$G$36="taux de chute")),IFERROR(S156/R156,""),IFERROR(R156/S156,""))</f>
        <v/>
      </c>
      <c r="U156" s="94">
        <f>IFERROR(IF(OR(R156="",S156="",T156=""),0,IF(T156&lt;OBJECTIFS!$E$56,0,IF(T156&lt;OBJECTIFS!$G$56,U$8*OBJECTIFS!$F$60,IF(T156&lt;OBJECTIFS!$I$56,U$8*OBJECTIFS!$H$60,U$8)))),0)</f>
        <v>0</v>
      </c>
      <c r="V156" s="25"/>
      <c r="W156" s="90" t="str">
        <f>IF(OR($A156="",$D156="",V156=""),"",SUMIFS(OBJECTIFS!H$9:H$39,OBJECTIFS!$A$9:$A$39,$D156,OBJECTIFS!$C$9:$C$39,$F156))</f>
        <v/>
      </c>
      <c r="X156" s="90" t="str">
        <f>IF(OR(AND($D156=OBJECTIFS!$B$6,OBJECTIFS!H$8="dmt"),AND($D156=OBJECTIFS!$B$13,OBJECTIFS!$H$15="dmt"),AND($D156=OBJECTIFS!$B$20,OBJECTIFS!$H$22="dmt"),AND($D156=OBJECTIFS!$B$27,OBJECTIFS!$H$29="dmt"),AND($D156=OBJECTIFS!$B$34,OBJECTIFS!$H$36="dmt"),AND($D156=OBJECTIFS!$B$6,OBJECTIFS!$H$8="taux de chute"),AND($D156=OBJECTIFS!$B$13,OBJECTIFS!$H$15="taux de chute"),AND($D156=OBJECTIFS!$B$20,OBJECTIFS!$H$22="taux de chute"),AND($D156=OBJECTIFS!$B$27,OBJECTIFS!$H$29="taux de chute"),AND($D156=OBJECTIFS!$B$34,OBJECTIFS!$H$36="taux de chute")),IFERROR(W156/V156,""),IFERROR(V156/W156,""))</f>
        <v/>
      </c>
      <c r="Y156" s="91">
        <f>IFERROR(IF(OR(V156="",W156="",X156=""),0,IF(X156&lt;OBJECTIFS!$E$56,0,IF(X156&lt;OBJECTIFS!$G$56,Y$8*OBJECTIFS!$F$60,IF(X156&lt;OBJECTIFS!$I$56,Y$8*OBJECTIFS!$H$60,Y$8)))),0)</f>
        <v>0</v>
      </c>
      <c r="Z156" s="167"/>
      <c r="AA156" s="90" t="str">
        <f>IF(OR($A156="",$D156="",Z156=""),"",SUMIFS(OBJECTIFS!I$9:I$39,OBJECTIFS!$A$9:$A$39,$D156,OBJECTIFS!$C$9:$C$39,$F156))</f>
        <v/>
      </c>
      <c r="AB156" s="90" t="str">
        <f>IF(OR(AND($D156=OBJECTIFS!$B$6,OBJECTIFS!I$8="dmt"),AND($D156=OBJECTIFS!$B$13,OBJECTIFS!$I$15="dmt"),AND($D156=OBJECTIFS!$B$20,OBJECTIFS!$I$22="dmt"),AND($D156=OBJECTIFS!$B$27,OBJECTIFS!$I$29="dmt"),AND($D156=OBJECTIFS!$B$34,OBJECTIFS!$I$36="dmt"),AND($D156=OBJECTIFS!$B$6,OBJECTIFS!$I$8="taux de chute"),AND($D156=OBJECTIFS!$B$13,OBJECTIFS!$I$15="taux de chute"),AND($D156=OBJECTIFS!$B$20,OBJECTIFS!$I$22="taux de chute"),AND($D156=OBJECTIFS!$B$27,OBJECTIFS!$I$29="taux de chute"),AND($D156=OBJECTIFS!$B$34,OBJECTIFS!$I$36="taux de chute")),IFERROR(AA156/Z156,""),IFERROR(Z156/AA156,""))</f>
        <v/>
      </c>
      <c r="AC156" s="95">
        <f>IFERROR(IF(OR(Z156="",AA156="",AB156=""),0,IF(AB156&lt;OBJECTIFS!$E$56,0,IF(AB156&lt;OBJECTIFS!$G$56,AC$8*OBJECTIFS!$F$60,IF(AB156&lt;OBJECTIFS!$I$56,AC$8*OBJECTIFS!$H$60,AC$8)))),0)</f>
        <v>0</v>
      </c>
      <c r="AD156" s="281"/>
      <c r="AE156" s="282"/>
      <c r="AF156" s="96">
        <f t="shared" ca="1" si="29"/>
        <v>0</v>
      </c>
      <c r="AG156" s="63"/>
      <c r="AH156" s="169"/>
      <c r="AI156" s="24"/>
      <c r="AJ156" s="24"/>
      <c r="AK156" s="24"/>
      <c r="AL156" s="24"/>
      <c r="AM156" s="79">
        <f t="shared" si="30"/>
        <v>0</v>
      </c>
      <c r="AN156" s="79">
        <v>22</v>
      </c>
      <c r="AO156" s="80">
        <f t="shared" si="31"/>
        <v>0</v>
      </c>
      <c r="AP156" s="81" t="str">
        <f t="shared" ca="1" si="32"/>
        <v/>
      </c>
      <c r="AQ156" s="82"/>
      <c r="AR156" s="97">
        <f>IFERROR(VLOOKUP(B156,OBJECTIFS!$C$76:$E$137,2,FALSE),0)</f>
        <v>0</v>
      </c>
      <c r="AS156" s="98">
        <f>IFERROR(VLOOKUP(B156,OBJECTIFS!$H$76:$J$137,2,FALSE),0)</f>
        <v>0</v>
      </c>
      <c r="AT156" s="98">
        <f>IFERROR(VLOOKUP(B156,OBJECTIFS!$C$142:$E$203,2,FALSE),0)</f>
        <v>0</v>
      </c>
      <c r="AU156" s="98">
        <f>IFERROR(VLOOKUP(B156,OBJECTIFS!$H$142:$J$203,2,FALSE),0)</f>
        <v>0</v>
      </c>
      <c r="AV156" s="98">
        <f>IFERROR(VLOOKUP(B156,OBJECTIFS!$F$208:$H$269,3,FALSE),0)</f>
        <v>0</v>
      </c>
      <c r="AW156" s="81">
        <f t="shared" si="33"/>
        <v>0</v>
      </c>
      <c r="AX156" s="82"/>
      <c r="AY156" s="99" t="str">
        <f t="shared" ca="1" si="34"/>
        <v/>
      </c>
      <c r="AZ156" s="63"/>
      <c r="BA156" s="100">
        <f t="shared" ca="1" si="35"/>
        <v>0</v>
      </c>
      <c r="BB156" s="64" t="str">
        <f t="shared" ca="1" si="36"/>
        <v/>
      </c>
      <c r="BC156" s="101" t="str">
        <f t="shared" ca="1" si="37"/>
        <v/>
      </c>
    </row>
    <row r="157" spans="1:55" x14ac:dyDescent="0.2">
      <c r="A157" s="21"/>
      <c r="B157" s="22"/>
      <c r="C157" s="22"/>
      <c r="D157" s="23"/>
      <c r="E157" s="24"/>
      <c r="F157" s="34"/>
      <c r="H157" s="89" t="str">
        <f>IF(OR(D157="",F157="",A157=""),"",IF(E157="oui",0,IF(D157=OBJECTIFS!$C$45,VLOOKUP(F157,OBJECTIFS!$C$9:$D$11,2,FALSE),IF(D157=OBJECTIFS!$C$46,VLOOKUP(F157,OBJECTIFS!$C$16:$D$18,2,FALSE),IF(D157=OBJECTIFS!$C$47,VLOOKUP(F157,OBJECTIFS!$C$23:$D$25,2,FALSE),IF(D157=OBJECTIFS!$C$48,VLOOKUP(F157,OBJECTIFS!$C$30:$D$32,2,FALSE),IF(D157=OBJECTIFS!$C$49,VLOOKUP(F157,OBJECTIFS!$C$37:$D$39,2,FALSE))))))))</f>
        <v/>
      </c>
      <c r="J157" s="25"/>
      <c r="K157" s="90" t="str">
        <f>IF(OR($A157="",$D157="",J157=""),"",SUMIFS(OBJECTIFS!E$9:E$39,OBJECTIFS!$A$9:$A$39,$D157,OBJECTIFS!$C$9:$C$39,$F157))</f>
        <v/>
      </c>
      <c r="L157" s="90" t="str">
        <f>IF(OR(AND($D157=OBJECTIFS!$B$6,OBJECTIFS!E$8="dmt"),AND($D157=OBJECTIFS!$B$13,OBJECTIFS!$E$15="dmt"),AND($D157=OBJECTIFS!$B$20,OBJECTIFS!$E$22="dmt"),AND($D157=OBJECTIFS!$B$27,OBJECTIFS!$E$29="dmt"),AND($D157=OBJECTIFS!$B$34,OBJECTIFS!$E$36="dmt"),AND($D157=OBJECTIFS!$B$6,OBJECTIFS!$E$8="taux de chute"),AND($D157=OBJECTIFS!$B$13,OBJECTIFS!$E$15="taux de chute"),AND($D157=OBJECTIFS!$B$20,OBJECTIFS!$E$22="taux de chute"),AND($D157=OBJECTIFS!$B$27,OBJECTIFS!$E$29="taux de chute"),AND($D157=OBJECTIFS!$B$34,OBJECTIFS!$E$36="taux de chute")),IFERROR(K157/J157,""),IFERROR(J157/K157,""))</f>
        <v/>
      </c>
      <c r="M157" s="91">
        <f>IFERROR(IF(OR(J157="",K157="",L157=""),0,IF(L157&lt;OBJECTIFS!$E$56,0,IF(L157&lt;OBJECTIFS!$G$56,M$8*OBJECTIFS!$F$60,IF(L157&lt;OBJECTIFS!$I$56,M$8*OBJECTIFS!$H$60,M$8)))),0)</f>
        <v>0</v>
      </c>
      <c r="N157" s="161"/>
      <c r="O157" s="92" t="str">
        <f>IF(OR($A157="",$D157="",N157=""),"",SUMIFS(OBJECTIFS!F$9:F$39,OBJECTIFS!$A$9:$A$39,$D157,OBJECTIFS!$C$9:$C$39,$F157))</f>
        <v/>
      </c>
      <c r="P157" s="90" t="str">
        <f>IF(OR(AND($D157=OBJECTIFS!$B$6,OBJECTIFS!$F$8="dmt"),AND($D157=OBJECTIFS!$B$13,OBJECTIFS!$F$15="dmt"),AND($D157=OBJECTIFS!$B$20,OBJECTIFS!$F$22="dmt"),AND($D157=OBJECTIFS!$B$27,OBJECTIFS!$F$29="dmt"),AND($D157=OBJECTIFS!$B$34,OBJECTIFS!$F$36="dmt"),AND($D157=OBJECTIFS!$B$6,OBJECTIFS!$F$8="taux de chute"),AND($D157=OBJECTIFS!$B$13,OBJECTIFS!$F$15="taux de chute"),AND($D157=OBJECTIFS!$B$20,OBJECTIFS!$F$22="taux de chute"),AND($D157=OBJECTIFS!$B$27,OBJECTIFS!$F$29="taux de chute"),AND($D157=OBJECTIFS!$B$34,OBJECTIFS!$F$36="taux de chute")),IFERROR(O157/N157,""),IFERROR(N157/O157,""))</f>
        <v/>
      </c>
      <c r="Q157" s="91">
        <f>IFERROR(IF(OR(N157="",O157="",P157=""),0,IF(P157&lt;OBJECTIFS!$E$56,0,IF(P157&lt;OBJECTIFS!$G$56,Q$8*OBJECTIFS!$F$60,IF(P157&lt;OBJECTIFS!$I$56,Q$8*OBJECTIFS!$H$60,Q$8)))),0)</f>
        <v>0</v>
      </c>
      <c r="R157" s="164"/>
      <c r="S157" s="93" t="str">
        <f>IF(OR($A157="",$D157="",R157=""),"",SUMIFS(OBJECTIFS!G$9:G$39,OBJECTIFS!$A$9:$A$39,$D157,OBJECTIFS!$C$9:$C$39,$F157))</f>
        <v/>
      </c>
      <c r="T157" s="90" t="str">
        <f>IF(OR(AND($D157=OBJECTIFS!$B$6,OBJECTIFS!G$8="dmt"),AND($D157=OBJECTIFS!$B$13,OBJECTIFS!$G$15="dmt"),AND($D157=OBJECTIFS!$B$20,OBJECTIFS!$G$22="dmt"),AND($D157=OBJECTIFS!$B$27,OBJECTIFS!$G$29="dmt"),AND($D157=OBJECTIFS!$B$34,OBJECTIFS!$G$36="dmt"),AND($D157=OBJECTIFS!$B$6,OBJECTIFS!$G$8="taux de chute"),AND($D157=OBJECTIFS!$B$13,OBJECTIFS!$G$15="taux de chute"),AND($D157=OBJECTIFS!$B$20,OBJECTIFS!$G$22="taux de chute"),AND($D157=OBJECTIFS!$B$27,OBJECTIFS!$G$29="taux de chute"),AND($D157=OBJECTIFS!$B$34,OBJECTIFS!$G$36="taux de chute")),IFERROR(S157/R157,""),IFERROR(R157/S157,""))</f>
        <v/>
      </c>
      <c r="U157" s="94">
        <f>IFERROR(IF(OR(R157="",S157="",T157=""),0,IF(T157&lt;OBJECTIFS!$E$56,0,IF(T157&lt;OBJECTIFS!$G$56,U$8*OBJECTIFS!$F$60,IF(T157&lt;OBJECTIFS!$I$56,U$8*OBJECTIFS!$H$60,U$8)))),0)</f>
        <v>0</v>
      </c>
      <c r="V157" s="25"/>
      <c r="W157" s="90" t="str">
        <f>IF(OR($A157="",$D157="",V157=""),"",SUMIFS(OBJECTIFS!H$9:H$39,OBJECTIFS!$A$9:$A$39,$D157,OBJECTIFS!$C$9:$C$39,$F157))</f>
        <v/>
      </c>
      <c r="X157" s="90" t="str">
        <f>IF(OR(AND($D157=OBJECTIFS!$B$6,OBJECTIFS!H$8="dmt"),AND($D157=OBJECTIFS!$B$13,OBJECTIFS!$H$15="dmt"),AND($D157=OBJECTIFS!$B$20,OBJECTIFS!$H$22="dmt"),AND($D157=OBJECTIFS!$B$27,OBJECTIFS!$H$29="dmt"),AND($D157=OBJECTIFS!$B$34,OBJECTIFS!$H$36="dmt"),AND($D157=OBJECTIFS!$B$6,OBJECTIFS!$H$8="taux de chute"),AND($D157=OBJECTIFS!$B$13,OBJECTIFS!$H$15="taux de chute"),AND($D157=OBJECTIFS!$B$20,OBJECTIFS!$H$22="taux de chute"),AND($D157=OBJECTIFS!$B$27,OBJECTIFS!$H$29="taux de chute"),AND($D157=OBJECTIFS!$B$34,OBJECTIFS!$H$36="taux de chute")),IFERROR(W157/V157,""),IFERROR(V157/W157,""))</f>
        <v/>
      </c>
      <c r="Y157" s="91">
        <f>IFERROR(IF(OR(V157="",W157="",X157=""),0,IF(X157&lt;OBJECTIFS!$E$56,0,IF(X157&lt;OBJECTIFS!$G$56,Y$8*OBJECTIFS!$F$60,IF(X157&lt;OBJECTIFS!$I$56,Y$8*OBJECTIFS!$H$60,Y$8)))),0)</f>
        <v>0</v>
      </c>
      <c r="Z157" s="167"/>
      <c r="AA157" s="90" t="str">
        <f>IF(OR($A157="",$D157="",Z157=""),"",SUMIFS(OBJECTIFS!I$9:I$39,OBJECTIFS!$A$9:$A$39,$D157,OBJECTIFS!$C$9:$C$39,$F157))</f>
        <v/>
      </c>
      <c r="AB157" s="90" t="str">
        <f>IF(OR(AND($D157=OBJECTIFS!$B$6,OBJECTIFS!I$8="dmt"),AND($D157=OBJECTIFS!$B$13,OBJECTIFS!$I$15="dmt"),AND($D157=OBJECTIFS!$B$20,OBJECTIFS!$I$22="dmt"),AND($D157=OBJECTIFS!$B$27,OBJECTIFS!$I$29="dmt"),AND($D157=OBJECTIFS!$B$34,OBJECTIFS!$I$36="dmt"),AND($D157=OBJECTIFS!$B$6,OBJECTIFS!$I$8="taux de chute"),AND($D157=OBJECTIFS!$B$13,OBJECTIFS!$I$15="taux de chute"),AND($D157=OBJECTIFS!$B$20,OBJECTIFS!$I$22="taux de chute"),AND($D157=OBJECTIFS!$B$27,OBJECTIFS!$I$29="taux de chute"),AND($D157=OBJECTIFS!$B$34,OBJECTIFS!$I$36="taux de chute")),IFERROR(AA157/Z157,""),IFERROR(Z157/AA157,""))</f>
        <v/>
      </c>
      <c r="AC157" s="95">
        <f>IFERROR(IF(OR(Z157="",AA157="",AB157=""),0,IF(AB157&lt;OBJECTIFS!$E$56,0,IF(AB157&lt;OBJECTIFS!$G$56,AC$8*OBJECTIFS!$F$60,IF(AB157&lt;OBJECTIFS!$I$56,AC$8*OBJECTIFS!$H$60,AC$8)))),0)</f>
        <v>0</v>
      </c>
      <c r="AD157" s="281"/>
      <c r="AE157" s="282"/>
      <c r="AF157" s="96">
        <f t="shared" ca="1" si="29"/>
        <v>0</v>
      </c>
      <c r="AG157" s="63"/>
      <c r="AH157" s="169"/>
      <c r="AI157" s="24"/>
      <c r="AJ157" s="24"/>
      <c r="AK157" s="24"/>
      <c r="AL157" s="24"/>
      <c r="AM157" s="79">
        <f t="shared" si="30"/>
        <v>0</v>
      </c>
      <c r="AN157" s="79">
        <v>22</v>
      </c>
      <c r="AO157" s="80">
        <f t="shared" si="31"/>
        <v>0</v>
      </c>
      <c r="AP157" s="81" t="str">
        <f t="shared" ca="1" si="32"/>
        <v/>
      </c>
      <c r="AQ157" s="82"/>
      <c r="AR157" s="97">
        <f>IFERROR(VLOOKUP(B157,OBJECTIFS!$C$76:$E$137,2,FALSE),0)</f>
        <v>0</v>
      </c>
      <c r="AS157" s="98">
        <f>IFERROR(VLOOKUP(B157,OBJECTIFS!$H$76:$J$137,2,FALSE),0)</f>
        <v>0</v>
      </c>
      <c r="AT157" s="98">
        <f>IFERROR(VLOOKUP(B157,OBJECTIFS!$C$142:$E$203,2,FALSE),0)</f>
        <v>0</v>
      </c>
      <c r="AU157" s="98">
        <f>IFERROR(VLOOKUP(B157,OBJECTIFS!$H$142:$J$203,2,FALSE),0)</f>
        <v>0</v>
      </c>
      <c r="AV157" s="98">
        <f>IFERROR(VLOOKUP(B157,OBJECTIFS!$F$208:$H$269,3,FALSE),0)</f>
        <v>0</v>
      </c>
      <c r="AW157" s="81">
        <f t="shared" si="33"/>
        <v>0</v>
      </c>
      <c r="AX157" s="82"/>
      <c r="AY157" s="99" t="str">
        <f t="shared" ca="1" si="34"/>
        <v/>
      </c>
      <c r="AZ157" s="63"/>
      <c r="BA157" s="100">
        <f t="shared" ca="1" si="35"/>
        <v>0</v>
      </c>
      <c r="BB157" s="64" t="str">
        <f t="shared" ca="1" si="36"/>
        <v/>
      </c>
      <c r="BC157" s="101" t="str">
        <f t="shared" ca="1" si="37"/>
        <v/>
      </c>
    </row>
    <row r="158" spans="1:55" x14ac:dyDescent="0.2">
      <c r="A158" s="21"/>
      <c r="B158" s="22"/>
      <c r="C158" s="22"/>
      <c r="D158" s="23"/>
      <c r="E158" s="24"/>
      <c r="F158" s="34"/>
      <c r="H158" s="89" t="str">
        <f>IF(OR(D158="",F158="",A158=""),"",IF(E158="oui",0,IF(D158=OBJECTIFS!$C$45,VLOOKUP(F158,OBJECTIFS!$C$9:$D$11,2,FALSE),IF(D158=OBJECTIFS!$C$46,VLOOKUP(F158,OBJECTIFS!$C$16:$D$18,2,FALSE),IF(D158=OBJECTIFS!$C$47,VLOOKUP(F158,OBJECTIFS!$C$23:$D$25,2,FALSE),IF(D158=OBJECTIFS!$C$48,VLOOKUP(F158,OBJECTIFS!$C$30:$D$32,2,FALSE),IF(D158=OBJECTIFS!$C$49,VLOOKUP(F158,OBJECTIFS!$C$37:$D$39,2,FALSE))))))))</f>
        <v/>
      </c>
      <c r="J158" s="25"/>
      <c r="K158" s="90" t="str">
        <f>IF(OR($A158="",$D158="",J158=""),"",SUMIFS(OBJECTIFS!E$9:E$39,OBJECTIFS!$A$9:$A$39,$D158,OBJECTIFS!$C$9:$C$39,$F158))</f>
        <v/>
      </c>
      <c r="L158" s="90" t="str">
        <f>IF(OR(AND($D158=OBJECTIFS!$B$6,OBJECTIFS!E$8="dmt"),AND($D158=OBJECTIFS!$B$13,OBJECTIFS!$E$15="dmt"),AND($D158=OBJECTIFS!$B$20,OBJECTIFS!$E$22="dmt"),AND($D158=OBJECTIFS!$B$27,OBJECTIFS!$E$29="dmt"),AND($D158=OBJECTIFS!$B$34,OBJECTIFS!$E$36="dmt"),AND($D158=OBJECTIFS!$B$6,OBJECTIFS!$E$8="taux de chute"),AND($D158=OBJECTIFS!$B$13,OBJECTIFS!$E$15="taux de chute"),AND($D158=OBJECTIFS!$B$20,OBJECTIFS!$E$22="taux de chute"),AND($D158=OBJECTIFS!$B$27,OBJECTIFS!$E$29="taux de chute"),AND($D158=OBJECTIFS!$B$34,OBJECTIFS!$E$36="taux de chute")),IFERROR(K158/J158,""),IFERROR(J158/K158,""))</f>
        <v/>
      </c>
      <c r="M158" s="91">
        <f>IFERROR(IF(OR(J158="",K158="",L158=""),0,IF(L158&lt;OBJECTIFS!$E$56,0,IF(L158&lt;OBJECTIFS!$G$56,M$8*OBJECTIFS!$F$60,IF(L158&lt;OBJECTIFS!$I$56,M$8*OBJECTIFS!$H$60,M$8)))),0)</f>
        <v>0</v>
      </c>
      <c r="N158" s="161"/>
      <c r="O158" s="92" t="str">
        <f>IF(OR($A158="",$D158="",N158=""),"",SUMIFS(OBJECTIFS!F$9:F$39,OBJECTIFS!$A$9:$A$39,$D158,OBJECTIFS!$C$9:$C$39,$F158))</f>
        <v/>
      </c>
      <c r="P158" s="90" t="str">
        <f>IF(OR(AND($D158=OBJECTIFS!$B$6,OBJECTIFS!$F$8="dmt"),AND($D158=OBJECTIFS!$B$13,OBJECTIFS!$F$15="dmt"),AND($D158=OBJECTIFS!$B$20,OBJECTIFS!$F$22="dmt"),AND($D158=OBJECTIFS!$B$27,OBJECTIFS!$F$29="dmt"),AND($D158=OBJECTIFS!$B$34,OBJECTIFS!$F$36="dmt"),AND($D158=OBJECTIFS!$B$6,OBJECTIFS!$F$8="taux de chute"),AND($D158=OBJECTIFS!$B$13,OBJECTIFS!$F$15="taux de chute"),AND($D158=OBJECTIFS!$B$20,OBJECTIFS!$F$22="taux de chute"),AND($D158=OBJECTIFS!$B$27,OBJECTIFS!$F$29="taux de chute"),AND($D158=OBJECTIFS!$B$34,OBJECTIFS!$F$36="taux de chute")),IFERROR(O158/N158,""),IFERROR(N158/O158,""))</f>
        <v/>
      </c>
      <c r="Q158" s="91">
        <f>IFERROR(IF(OR(N158="",O158="",P158=""),0,IF(P158&lt;OBJECTIFS!$E$56,0,IF(P158&lt;OBJECTIFS!$G$56,Q$8*OBJECTIFS!$F$60,IF(P158&lt;OBJECTIFS!$I$56,Q$8*OBJECTIFS!$H$60,Q$8)))),0)</f>
        <v>0</v>
      </c>
      <c r="R158" s="164"/>
      <c r="S158" s="93" t="str">
        <f>IF(OR($A158="",$D158="",R158=""),"",SUMIFS(OBJECTIFS!G$9:G$39,OBJECTIFS!$A$9:$A$39,$D158,OBJECTIFS!$C$9:$C$39,$F158))</f>
        <v/>
      </c>
      <c r="T158" s="90" t="str">
        <f>IF(OR(AND($D158=OBJECTIFS!$B$6,OBJECTIFS!G$8="dmt"),AND($D158=OBJECTIFS!$B$13,OBJECTIFS!$G$15="dmt"),AND($D158=OBJECTIFS!$B$20,OBJECTIFS!$G$22="dmt"),AND($D158=OBJECTIFS!$B$27,OBJECTIFS!$G$29="dmt"),AND($D158=OBJECTIFS!$B$34,OBJECTIFS!$G$36="dmt"),AND($D158=OBJECTIFS!$B$6,OBJECTIFS!$G$8="taux de chute"),AND($D158=OBJECTIFS!$B$13,OBJECTIFS!$G$15="taux de chute"),AND($D158=OBJECTIFS!$B$20,OBJECTIFS!$G$22="taux de chute"),AND($D158=OBJECTIFS!$B$27,OBJECTIFS!$G$29="taux de chute"),AND($D158=OBJECTIFS!$B$34,OBJECTIFS!$G$36="taux de chute")),IFERROR(S158/R158,""),IFERROR(R158/S158,""))</f>
        <v/>
      </c>
      <c r="U158" s="94">
        <f>IFERROR(IF(OR(R158="",S158="",T158=""),0,IF(T158&lt;OBJECTIFS!$E$56,0,IF(T158&lt;OBJECTIFS!$G$56,U$8*OBJECTIFS!$F$60,IF(T158&lt;OBJECTIFS!$I$56,U$8*OBJECTIFS!$H$60,U$8)))),0)</f>
        <v>0</v>
      </c>
      <c r="V158" s="25"/>
      <c r="W158" s="90" t="str">
        <f>IF(OR($A158="",$D158="",V158=""),"",SUMIFS(OBJECTIFS!H$9:H$39,OBJECTIFS!$A$9:$A$39,$D158,OBJECTIFS!$C$9:$C$39,$F158))</f>
        <v/>
      </c>
      <c r="X158" s="90" t="str">
        <f>IF(OR(AND($D158=OBJECTIFS!$B$6,OBJECTIFS!H$8="dmt"),AND($D158=OBJECTIFS!$B$13,OBJECTIFS!$H$15="dmt"),AND($D158=OBJECTIFS!$B$20,OBJECTIFS!$H$22="dmt"),AND($D158=OBJECTIFS!$B$27,OBJECTIFS!$H$29="dmt"),AND($D158=OBJECTIFS!$B$34,OBJECTIFS!$H$36="dmt"),AND($D158=OBJECTIFS!$B$6,OBJECTIFS!$H$8="taux de chute"),AND($D158=OBJECTIFS!$B$13,OBJECTIFS!$H$15="taux de chute"),AND($D158=OBJECTIFS!$B$20,OBJECTIFS!$H$22="taux de chute"),AND($D158=OBJECTIFS!$B$27,OBJECTIFS!$H$29="taux de chute"),AND($D158=OBJECTIFS!$B$34,OBJECTIFS!$H$36="taux de chute")),IFERROR(W158/V158,""),IFERROR(V158/W158,""))</f>
        <v/>
      </c>
      <c r="Y158" s="91">
        <f>IFERROR(IF(OR(V158="",W158="",X158=""),0,IF(X158&lt;OBJECTIFS!$E$56,0,IF(X158&lt;OBJECTIFS!$G$56,Y$8*OBJECTIFS!$F$60,IF(X158&lt;OBJECTIFS!$I$56,Y$8*OBJECTIFS!$H$60,Y$8)))),0)</f>
        <v>0</v>
      </c>
      <c r="Z158" s="167"/>
      <c r="AA158" s="90" t="str">
        <f>IF(OR($A158="",$D158="",Z158=""),"",SUMIFS(OBJECTIFS!I$9:I$39,OBJECTIFS!$A$9:$A$39,$D158,OBJECTIFS!$C$9:$C$39,$F158))</f>
        <v/>
      </c>
      <c r="AB158" s="90" t="str">
        <f>IF(OR(AND($D158=OBJECTIFS!$B$6,OBJECTIFS!I$8="dmt"),AND($D158=OBJECTIFS!$B$13,OBJECTIFS!$I$15="dmt"),AND($D158=OBJECTIFS!$B$20,OBJECTIFS!$I$22="dmt"),AND($D158=OBJECTIFS!$B$27,OBJECTIFS!$I$29="dmt"),AND($D158=OBJECTIFS!$B$34,OBJECTIFS!$I$36="dmt"),AND($D158=OBJECTIFS!$B$6,OBJECTIFS!$I$8="taux de chute"),AND($D158=OBJECTIFS!$B$13,OBJECTIFS!$I$15="taux de chute"),AND($D158=OBJECTIFS!$B$20,OBJECTIFS!$I$22="taux de chute"),AND($D158=OBJECTIFS!$B$27,OBJECTIFS!$I$29="taux de chute"),AND($D158=OBJECTIFS!$B$34,OBJECTIFS!$I$36="taux de chute")),IFERROR(AA158/Z158,""),IFERROR(Z158/AA158,""))</f>
        <v/>
      </c>
      <c r="AC158" s="95">
        <f>IFERROR(IF(OR(Z158="",AA158="",AB158=""),0,IF(AB158&lt;OBJECTIFS!$E$56,0,IF(AB158&lt;OBJECTIFS!$G$56,AC$8*OBJECTIFS!$F$60,IF(AB158&lt;OBJECTIFS!$I$56,AC$8*OBJECTIFS!$H$60,AC$8)))),0)</f>
        <v>0</v>
      </c>
      <c r="AD158" s="281"/>
      <c r="AE158" s="282"/>
      <c r="AF158" s="96">
        <f t="shared" ca="1" si="29"/>
        <v>0</v>
      </c>
      <c r="AG158" s="63"/>
      <c r="AH158" s="169"/>
      <c r="AI158" s="24"/>
      <c r="AJ158" s="24"/>
      <c r="AK158" s="24"/>
      <c r="AL158" s="24"/>
      <c r="AM158" s="79">
        <f t="shared" si="30"/>
        <v>0</v>
      </c>
      <c r="AN158" s="79">
        <v>22</v>
      </c>
      <c r="AO158" s="80">
        <f t="shared" si="31"/>
        <v>0</v>
      </c>
      <c r="AP158" s="81" t="str">
        <f t="shared" ca="1" si="32"/>
        <v/>
      </c>
      <c r="AQ158" s="82"/>
      <c r="AR158" s="97">
        <f>IFERROR(VLOOKUP(B158,OBJECTIFS!$C$76:$E$137,2,FALSE),0)</f>
        <v>0</v>
      </c>
      <c r="AS158" s="98">
        <f>IFERROR(VLOOKUP(B158,OBJECTIFS!$H$76:$J$137,2,FALSE),0)</f>
        <v>0</v>
      </c>
      <c r="AT158" s="98">
        <f>IFERROR(VLOOKUP(B158,OBJECTIFS!$C$142:$E$203,2,FALSE),0)</f>
        <v>0</v>
      </c>
      <c r="AU158" s="98">
        <f>IFERROR(VLOOKUP(B158,OBJECTIFS!$H$142:$J$203,2,FALSE),0)</f>
        <v>0</v>
      </c>
      <c r="AV158" s="98">
        <f>IFERROR(VLOOKUP(B158,OBJECTIFS!$F$208:$H$269,3,FALSE),0)</f>
        <v>0</v>
      </c>
      <c r="AW158" s="81">
        <f t="shared" si="33"/>
        <v>0</v>
      </c>
      <c r="AX158" s="82"/>
      <c r="AY158" s="99" t="str">
        <f t="shared" ca="1" si="34"/>
        <v/>
      </c>
      <c r="AZ158" s="63"/>
      <c r="BA158" s="100">
        <f t="shared" ca="1" si="35"/>
        <v>0</v>
      </c>
      <c r="BB158" s="64" t="str">
        <f t="shared" ca="1" si="36"/>
        <v/>
      </c>
      <c r="BC158" s="101" t="str">
        <f t="shared" ca="1" si="37"/>
        <v/>
      </c>
    </row>
    <row r="159" spans="1:55" x14ac:dyDescent="0.2">
      <c r="A159" s="21"/>
      <c r="B159" s="22"/>
      <c r="C159" s="22"/>
      <c r="D159" s="23"/>
      <c r="E159" s="24"/>
      <c r="F159" s="34"/>
      <c r="H159" s="89" t="str">
        <f>IF(OR(D159="",F159="",A159=""),"",IF(E159="oui",0,IF(D159=OBJECTIFS!$C$45,VLOOKUP(F159,OBJECTIFS!$C$9:$D$11,2,FALSE),IF(D159=OBJECTIFS!$C$46,VLOOKUP(F159,OBJECTIFS!$C$16:$D$18,2,FALSE),IF(D159=OBJECTIFS!$C$47,VLOOKUP(F159,OBJECTIFS!$C$23:$D$25,2,FALSE),IF(D159=OBJECTIFS!$C$48,VLOOKUP(F159,OBJECTIFS!$C$30:$D$32,2,FALSE),IF(D159=OBJECTIFS!$C$49,VLOOKUP(F159,OBJECTIFS!$C$37:$D$39,2,FALSE))))))))</f>
        <v/>
      </c>
      <c r="J159" s="25"/>
      <c r="K159" s="90" t="str">
        <f>IF(OR($A159="",$D159="",J159=""),"",SUMIFS(OBJECTIFS!E$9:E$39,OBJECTIFS!$A$9:$A$39,$D159,OBJECTIFS!$C$9:$C$39,$F159))</f>
        <v/>
      </c>
      <c r="L159" s="90" t="str">
        <f>IF(OR(AND($D159=OBJECTIFS!$B$6,OBJECTIFS!E$8="dmt"),AND($D159=OBJECTIFS!$B$13,OBJECTIFS!$E$15="dmt"),AND($D159=OBJECTIFS!$B$20,OBJECTIFS!$E$22="dmt"),AND($D159=OBJECTIFS!$B$27,OBJECTIFS!$E$29="dmt"),AND($D159=OBJECTIFS!$B$34,OBJECTIFS!$E$36="dmt"),AND($D159=OBJECTIFS!$B$6,OBJECTIFS!$E$8="taux de chute"),AND($D159=OBJECTIFS!$B$13,OBJECTIFS!$E$15="taux de chute"),AND($D159=OBJECTIFS!$B$20,OBJECTIFS!$E$22="taux de chute"),AND($D159=OBJECTIFS!$B$27,OBJECTIFS!$E$29="taux de chute"),AND($D159=OBJECTIFS!$B$34,OBJECTIFS!$E$36="taux de chute")),IFERROR(K159/J159,""),IFERROR(J159/K159,""))</f>
        <v/>
      </c>
      <c r="M159" s="91">
        <f>IFERROR(IF(OR(J159="",K159="",L159=""),0,IF(L159&lt;OBJECTIFS!$E$56,0,IF(L159&lt;OBJECTIFS!$G$56,M$8*OBJECTIFS!$F$60,IF(L159&lt;OBJECTIFS!$I$56,M$8*OBJECTIFS!$H$60,M$8)))),0)</f>
        <v>0</v>
      </c>
      <c r="N159" s="161"/>
      <c r="O159" s="92" t="str">
        <f>IF(OR($A159="",$D159="",N159=""),"",SUMIFS(OBJECTIFS!F$9:F$39,OBJECTIFS!$A$9:$A$39,$D159,OBJECTIFS!$C$9:$C$39,$F159))</f>
        <v/>
      </c>
      <c r="P159" s="90" t="str">
        <f>IF(OR(AND($D159=OBJECTIFS!$B$6,OBJECTIFS!$F$8="dmt"),AND($D159=OBJECTIFS!$B$13,OBJECTIFS!$F$15="dmt"),AND($D159=OBJECTIFS!$B$20,OBJECTIFS!$F$22="dmt"),AND($D159=OBJECTIFS!$B$27,OBJECTIFS!$F$29="dmt"),AND($D159=OBJECTIFS!$B$34,OBJECTIFS!$F$36="dmt"),AND($D159=OBJECTIFS!$B$6,OBJECTIFS!$F$8="taux de chute"),AND($D159=OBJECTIFS!$B$13,OBJECTIFS!$F$15="taux de chute"),AND($D159=OBJECTIFS!$B$20,OBJECTIFS!$F$22="taux de chute"),AND($D159=OBJECTIFS!$B$27,OBJECTIFS!$F$29="taux de chute"),AND($D159=OBJECTIFS!$B$34,OBJECTIFS!$F$36="taux de chute")),IFERROR(O159/N159,""),IFERROR(N159/O159,""))</f>
        <v/>
      </c>
      <c r="Q159" s="91">
        <f>IFERROR(IF(OR(N159="",O159="",P159=""),0,IF(P159&lt;OBJECTIFS!$E$56,0,IF(P159&lt;OBJECTIFS!$G$56,Q$8*OBJECTIFS!$F$60,IF(P159&lt;OBJECTIFS!$I$56,Q$8*OBJECTIFS!$H$60,Q$8)))),0)</f>
        <v>0</v>
      </c>
      <c r="R159" s="164"/>
      <c r="S159" s="93" t="str">
        <f>IF(OR($A159="",$D159="",R159=""),"",SUMIFS(OBJECTIFS!G$9:G$39,OBJECTIFS!$A$9:$A$39,$D159,OBJECTIFS!$C$9:$C$39,$F159))</f>
        <v/>
      </c>
      <c r="T159" s="90" t="str">
        <f>IF(OR(AND($D159=OBJECTIFS!$B$6,OBJECTIFS!G$8="dmt"),AND($D159=OBJECTIFS!$B$13,OBJECTIFS!$G$15="dmt"),AND($D159=OBJECTIFS!$B$20,OBJECTIFS!$G$22="dmt"),AND($D159=OBJECTIFS!$B$27,OBJECTIFS!$G$29="dmt"),AND($D159=OBJECTIFS!$B$34,OBJECTIFS!$G$36="dmt"),AND($D159=OBJECTIFS!$B$6,OBJECTIFS!$G$8="taux de chute"),AND($D159=OBJECTIFS!$B$13,OBJECTIFS!$G$15="taux de chute"),AND($D159=OBJECTIFS!$B$20,OBJECTIFS!$G$22="taux de chute"),AND($D159=OBJECTIFS!$B$27,OBJECTIFS!$G$29="taux de chute"),AND($D159=OBJECTIFS!$B$34,OBJECTIFS!$G$36="taux de chute")),IFERROR(S159/R159,""),IFERROR(R159/S159,""))</f>
        <v/>
      </c>
      <c r="U159" s="94">
        <f>IFERROR(IF(OR(R159="",S159="",T159=""),0,IF(T159&lt;OBJECTIFS!$E$56,0,IF(T159&lt;OBJECTIFS!$G$56,U$8*OBJECTIFS!$F$60,IF(T159&lt;OBJECTIFS!$I$56,U$8*OBJECTIFS!$H$60,U$8)))),0)</f>
        <v>0</v>
      </c>
      <c r="V159" s="25"/>
      <c r="W159" s="90" t="str">
        <f>IF(OR($A159="",$D159="",V159=""),"",SUMIFS(OBJECTIFS!H$9:H$39,OBJECTIFS!$A$9:$A$39,$D159,OBJECTIFS!$C$9:$C$39,$F159))</f>
        <v/>
      </c>
      <c r="X159" s="90" t="str">
        <f>IF(OR(AND($D159=OBJECTIFS!$B$6,OBJECTIFS!H$8="dmt"),AND($D159=OBJECTIFS!$B$13,OBJECTIFS!$H$15="dmt"),AND($D159=OBJECTIFS!$B$20,OBJECTIFS!$H$22="dmt"),AND($D159=OBJECTIFS!$B$27,OBJECTIFS!$H$29="dmt"),AND($D159=OBJECTIFS!$B$34,OBJECTIFS!$H$36="dmt"),AND($D159=OBJECTIFS!$B$6,OBJECTIFS!$H$8="taux de chute"),AND($D159=OBJECTIFS!$B$13,OBJECTIFS!$H$15="taux de chute"),AND($D159=OBJECTIFS!$B$20,OBJECTIFS!$H$22="taux de chute"),AND($D159=OBJECTIFS!$B$27,OBJECTIFS!$H$29="taux de chute"),AND($D159=OBJECTIFS!$B$34,OBJECTIFS!$H$36="taux de chute")),IFERROR(W159/V159,""),IFERROR(V159/W159,""))</f>
        <v/>
      </c>
      <c r="Y159" s="91">
        <f>IFERROR(IF(OR(V159="",W159="",X159=""),0,IF(X159&lt;OBJECTIFS!$E$56,0,IF(X159&lt;OBJECTIFS!$G$56,Y$8*OBJECTIFS!$F$60,IF(X159&lt;OBJECTIFS!$I$56,Y$8*OBJECTIFS!$H$60,Y$8)))),0)</f>
        <v>0</v>
      </c>
      <c r="Z159" s="167"/>
      <c r="AA159" s="90" t="str">
        <f>IF(OR($A159="",$D159="",Z159=""),"",SUMIFS(OBJECTIFS!I$9:I$39,OBJECTIFS!$A$9:$A$39,$D159,OBJECTIFS!$C$9:$C$39,$F159))</f>
        <v/>
      </c>
      <c r="AB159" s="90" t="str">
        <f>IF(OR(AND($D159=OBJECTIFS!$B$6,OBJECTIFS!I$8="dmt"),AND($D159=OBJECTIFS!$B$13,OBJECTIFS!$I$15="dmt"),AND($D159=OBJECTIFS!$B$20,OBJECTIFS!$I$22="dmt"),AND($D159=OBJECTIFS!$B$27,OBJECTIFS!$I$29="dmt"),AND($D159=OBJECTIFS!$B$34,OBJECTIFS!$I$36="dmt"),AND($D159=OBJECTIFS!$B$6,OBJECTIFS!$I$8="taux de chute"),AND($D159=OBJECTIFS!$B$13,OBJECTIFS!$I$15="taux de chute"),AND($D159=OBJECTIFS!$B$20,OBJECTIFS!$I$22="taux de chute"),AND($D159=OBJECTIFS!$B$27,OBJECTIFS!$I$29="taux de chute"),AND($D159=OBJECTIFS!$B$34,OBJECTIFS!$I$36="taux de chute")),IFERROR(AA159/Z159,""),IFERROR(Z159/AA159,""))</f>
        <v/>
      </c>
      <c r="AC159" s="95">
        <f>IFERROR(IF(OR(Z159="",AA159="",AB159=""),0,IF(AB159&lt;OBJECTIFS!$E$56,0,IF(AB159&lt;OBJECTIFS!$G$56,AC$8*OBJECTIFS!$F$60,IF(AB159&lt;OBJECTIFS!$I$56,AC$8*OBJECTIFS!$H$60,AC$8)))),0)</f>
        <v>0</v>
      </c>
      <c r="AD159" s="281"/>
      <c r="AE159" s="282"/>
      <c r="AF159" s="96">
        <f t="shared" ca="1" si="29"/>
        <v>0</v>
      </c>
      <c r="AG159" s="63"/>
      <c r="AH159" s="169"/>
      <c r="AI159" s="24"/>
      <c r="AJ159" s="24"/>
      <c r="AK159" s="24"/>
      <c r="AL159" s="24"/>
      <c r="AM159" s="79">
        <f t="shared" si="30"/>
        <v>0</v>
      </c>
      <c r="AN159" s="79">
        <v>22</v>
      </c>
      <c r="AO159" s="80">
        <f t="shared" si="31"/>
        <v>0</v>
      </c>
      <c r="AP159" s="81" t="str">
        <f t="shared" ca="1" si="32"/>
        <v/>
      </c>
      <c r="AQ159" s="82"/>
      <c r="AR159" s="97">
        <f>IFERROR(VLOOKUP(B159,OBJECTIFS!$C$76:$E$137,2,FALSE),0)</f>
        <v>0</v>
      </c>
      <c r="AS159" s="98">
        <f>IFERROR(VLOOKUP(B159,OBJECTIFS!$H$76:$J$137,2,FALSE),0)</f>
        <v>0</v>
      </c>
      <c r="AT159" s="98">
        <f>IFERROR(VLOOKUP(B159,OBJECTIFS!$C$142:$E$203,2,FALSE),0)</f>
        <v>0</v>
      </c>
      <c r="AU159" s="98">
        <f>IFERROR(VLOOKUP(B159,OBJECTIFS!$H$142:$J$203,2,FALSE),0)</f>
        <v>0</v>
      </c>
      <c r="AV159" s="98">
        <f>IFERROR(VLOOKUP(B159,OBJECTIFS!$F$208:$H$269,3,FALSE),0)</f>
        <v>0</v>
      </c>
      <c r="AW159" s="81">
        <f t="shared" si="33"/>
        <v>0</v>
      </c>
      <c r="AX159" s="82"/>
      <c r="AY159" s="99" t="str">
        <f t="shared" ca="1" si="34"/>
        <v/>
      </c>
      <c r="AZ159" s="63"/>
      <c r="BA159" s="100">
        <f t="shared" ca="1" si="35"/>
        <v>0</v>
      </c>
      <c r="BB159" s="64" t="str">
        <f t="shared" ca="1" si="36"/>
        <v/>
      </c>
      <c r="BC159" s="101" t="str">
        <f t="shared" ca="1" si="37"/>
        <v/>
      </c>
    </row>
    <row r="160" spans="1:55" x14ac:dyDescent="0.2">
      <c r="A160" s="21"/>
      <c r="B160" s="22"/>
      <c r="C160" s="22"/>
      <c r="D160" s="23"/>
      <c r="E160" s="24"/>
      <c r="F160" s="34"/>
      <c r="H160" s="89" t="str">
        <f>IF(OR(D160="",F160="",A160=""),"",IF(E160="oui",0,IF(D160=OBJECTIFS!$C$45,VLOOKUP(F160,OBJECTIFS!$C$9:$D$11,2,FALSE),IF(D160=OBJECTIFS!$C$46,VLOOKUP(F160,OBJECTIFS!$C$16:$D$18,2,FALSE),IF(D160=OBJECTIFS!$C$47,VLOOKUP(F160,OBJECTIFS!$C$23:$D$25,2,FALSE),IF(D160=OBJECTIFS!$C$48,VLOOKUP(F160,OBJECTIFS!$C$30:$D$32,2,FALSE),IF(D160=OBJECTIFS!$C$49,VLOOKUP(F160,OBJECTIFS!$C$37:$D$39,2,FALSE))))))))</f>
        <v/>
      </c>
      <c r="J160" s="25"/>
      <c r="K160" s="90" t="str">
        <f>IF(OR($A160="",$D160="",J160=""),"",SUMIFS(OBJECTIFS!E$9:E$39,OBJECTIFS!$A$9:$A$39,$D160,OBJECTIFS!$C$9:$C$39,$F160))</f>
        <v/>
      </c>
      <c r="L160" s="90" t="str">
        <f>IF(OR(AND($D160=OBJECTIFS!$B$6,OBJECTIFS!E$8="dmt"),AND($D160=OBJECTIFS!$B$13,OBJECTIFS!$E$15="dmt"),AND($D160=OBJECTIFS!$B$20,OBJECTIFS!$E$22="dmt"),AND($D160=OBJECTIFS!$B$27,OBJECTIFS!$E$29="dmt"),AND($D160=OBJECTIFS!$B$34,OBJECTIFS!$E$36="dmt"),AND($D160=OBJECTIFS!$B$6,OBJECTIFS!$E$8="taux de chute"),AND($D160=OBJECTIFS!$B$13,OBJECTIFS!$E$15="taux de chute"),AND($D160=OBJECTIFS!$B$20,OBJECTIFS!$E$22="taux de chute"),AND($D160=OBJECTIFS!$B$27,OBJECTIFS!$E$29="taux de chute"),AND($D160=OBJECTIFS!$B$34,OBJECTIFS!$E$36="taux de chute")),IFERROR(K160/J160,""),IFERROR(J160/K160,""))</f>
        <v/>
      </c>
      <c r="M160" s="91">
        <f>IFERROR(IF(OR(J160="",K160="",L160=""),0,IF(L160&lt;OBJECTIFS!$E$56,0,IF(L160&lt;OBJECTIFS!$G$56,M$8*OBJECTIFS!$F$60,IF(L160&lt;OBJECTIFS!$I$56,M$8*OBJECTIFS!$H$60,M$8)))),0)</f>
        <v>0</v>
      </c>
      <c r="N160" s="161"/>
      <c r="O160" s="92" t="str">
        <f>IF(OR($A160="",$D160="",N160=""),"",SUMIFS(OBJECTIFS!F$9:F$39,OBJECTIFS!$A$9:$A$39,$D160,OBJECTIFS!$C$9:$C$39,$F160))</f>
        <v/>
      </c>
      <c r="P160" s="90" t="str">
        <f>IF(OR(AND($D160=OBJECTIFS!$B$6,OBJECTIFS!$F$8="dmt"),AND($D160=OBJECTIFS!$B$13,OBJECTIFS!$F$15="dmt"),AND($D160=OBJECTIFS!$B$20,OBJECTIFS!$F$22="dmt"),AND($D160=OBJECTIFS!$B$27,OBJECTIFS!$F$29="dmt"),AND($D160=OBJECTIFS!$B$34,OBJECTIFS!$F$36="dmt"),AND($D160=OBJECTIFS!$B$6,OBJECTIFS!$F$8="taux de chute"),AND($D160=OBJECTIFS!$B$13,OBJECTIFS!$F$15="taux de chute"),AND($D160=OBJECTIFS!$B$20,OBJECTIFS!$F$22="taux de chute"),AND($D160=OBJECTIFS!$B$27,OBJECTIFS!$F$29="taux de chute"),AND($D160=OBJECTIFS!$B$34,OBJECTIFS!$F$36="taux de chute")),IFERROR(O160/N160,""),IFERROR(N160/O160,""))</f>
        <v/>
      </c>
      <c r="Q160" s="91">
        <f>IFERROR(IF(OR(N160="",O160="",P160=""),0,IF(P160&lt;OBJECTIFS!$E$56,0,IF(P160&lt;OBJECTIFS!$G$56,Q$8*OBJECTIFS!$F$60,IF(P160&lt;OBJECTIFS!$I$56,Q$8*OBJECTIFS!$H$60,Q$8)))),0)</f>
        <v>0</v>
      </c>
      <c r="R160" s="164"/>
      <c r="S160" s="93" t="str">
        <f>IF(OR($A160="",$D160="",R160=""),"",SUMIFS(OBJECTIFS!G$9:G$39,OBJECTIFS!$A$9:$A$39,$D160,OBJECTIFS!$C$9:$C$39,$F160))</f>
        <v/>
      </c>
      <c r="T160" s="90" t="str">
        <f>IF(OR(AND($D160=OBJECTIFS!$B$6,OBJECTIFS!G$8="dmt"),AND($D160=OBJECTIFS!$B$13,OBJECTIFS!$G$15="dmt"),AND($D160=OBJECTIFS!$B$20,OBJECTIFS!$G$22="dmt"),AND($D160=OBJECTIFS!$B$27,OBJECTIFS!$G$29="dmt"),AND($D160=OBJECTIFS!$B$34,OBJECTIFS!$G$36="dmt"),AND($D160=OBJECTIFS!$B$6,OBJECTIFS!$G$8="taux de chute"),AND($D160=OBJECTIFS!$B$13,OBJECTIFS!$G$15="taux de chute"),AND($D160=OBJECTIFS!$B$20,OBJECTIFS!$G$22="taux de chute"),AND($D160=OBJECTIFS!$B$27,OBJECTIFS!$G$29="taux de chute"),AND($D160=OBJECTIFS!$B$34,OBJECTIFS!$G$36="taux de chute")),IFERROR(S160/R160,""),IFERROR(R160/S160,""))</f>
        <v/>
      </c>
      <c r="U160" s="94">
        <f>IFERROR(IF(OR(R160="",S160="",T160=""),0,IF(T160&lt;OBJECTIFS!$E$56,0,IF(T160&lt;OBJECTIFS!$G$56,U$8*OBJECTIFS!$F$60,IF(T160&lt;OBJECTIFS!$I$56,U$8*OBJECTIFS!$H$60,U$8)))),0)</f>
        <v>0</v>
      </c>
      <c r="V160" s="25"/>
      <c r="W160" s="90" t="str">
        <f>IF(OR($A160="",$D160="",V160=""),"",SUMIFS(OBJECTIFS!H$9:H$39,OBJECTIFS!$A$9:$A$39,$D160,OBJECTIFS!$C$9:$C$39,$F160))</f>
        <v/>
      </c>
      <c r="X160" s="90" t="str">
        <f>IF(OR(AND($D160=OBJECTIFS!$B$6,OBJECTIFS!H$8="dmt"),AND($D160=OBJECTIFS!$B$13,OBJECTIFS!$H$15="dmt"),AND($D160=OBJECTIFS!$B$20,OBJECTIFS!$H$22="dmt"),AND($D160=OBJECTIFS!$B$27,OBJECTIFS!$H$29="dmt"),AND($D160=OBJECTIFS!$B$34,OBJECTIFS!$H$36="dmt"),AND($D160=OBJECTIFS!$B$6,OBJECTIFS!$H$8="taux de chute"),AND($D160=OBJECTIFS!$B$13,OBJECTIFS!$H$15="taux de chute"),AND($D160=OBJECTIFS!$B$20,OBJECTIFS!$H$22="taux de chute"),AND($D160=OBJECTIFS!$B$27,OBJECTIFS!$H$29="taux de chute"),AND($D160=OBJECTIFS!$B$34,OBJECTIFS!$H$36="taux de chute")),IFERROR(W160/V160,""),IFERROR(V160/W160,""))</f>
        <v/>
      </c>
      <c r="Y160" s="91">
        <f>IFERROR(IF(OR(V160="",W160="",X160=""),0,IF(X160&lt;OBJECTIFS!$E$56,0,IF(X160&lt;OBJECTIFS!$G$56,Y$8*OBJECTIFS!$F$60,IF(X160&lt;OBJECTIFS!$I$56,Y$8*OBJECTIFS!$H$60,Y$8)))),0)</f>
        <v>0</v>
      </c>
      <c r="Z160" s="167"/>
      <c r="AA160" s="90" t="str">
        <f>IF(OR($A160="",$D160="",Z160=""),"",SUMIFS(OBJECTIFS!I$9:I$39,OBJECTIFS!$A$9:$A$39,$D160,OBJECTIFS!$C$9:$C$39,$F160))</f>
        <v/>
      </c>
      <c r="AB160" s="90" t="str">
        <f>IF(OR(AND($D160=OBJECTIFS!$B$6,OBJECTIFS!I$8="dmt"),AND($D160=OBJECTIFS!$B$13,OBJECTIFS!$I$15="dmt"),AND($D160=OBJECTIFS!$B$20,OBJECTIFS!$I$22="dmt"),AND($D160=OBJECTIFS!$B$27,OBJECTIFS!$I$29="dmt"),AND($D160=OBJECTIFS!$B$34,OBJECTIFS!$I$36="dmt"),AND($D160=OBJECTIFS!$B$6,OBJECTIFS!$I$8="taux de chute"),AND($D160=OBJECTIFS!$B$13,OBJECTIFS!$I$15="taux de chute"),AND($D160=OBJECTIFS!$B$20,OBJECTIFS!$I$22="taux de chute"),AND($D160=OBJECTIFS!$B$27,OBJECTIFS!$I$29="taux de chute"),AND($D160=OBJECTIFS!$B$34,OBJECTIFS!$I$36="taux de chute")),IFERROR(AA160/Z160,""),IFERROR(Z160/AA160,""))</f>
        <v/>
      </c>
      <c r="AC160" s="95">
        <f>IFERROR(IF(OR(Z160="",AA160="",AB160=""),0,IF(AB160&lt;OBJECTIFS!$E$56,0,IF(AB160&lt;OBJECTIFS!$G$56,AC$8*OBJECTIFS!$F$60,IF(AB160&lt;OBJECTIFS!$I$56,AC$8*OBJECTIFS!$H$60,AC$8)))),0)</f>
        <v>0</v>
      </c>
      <c r="AD160" s="281"/>
      <c r="AE160" s="282"/>
      <c r="AF160" s="96">
        <f t="shared" ca="1" si="29"/>
        <v>0</v>
      </c>
      <c r="AG160" s="63"/>
      <c r="AH160" s="172"/>
      <c r="AI160" s="24"/>
      <c r="AJ160" s="24"/>
      <c r="AK160" s="24"/>
      <c r="AL160" s="24"/>
      <c r="AM160" s="79">
        <f t="shared" si="30"/>
        <v>0</v>
      </c>
      <c r="AN160" s="79">
        <v>22</v>
      </c>
      <c r="AO160" s="80">
        <f t="shared" si="31"/>
        <v>0</v>
      </c>
      <c r="AP160" s="81" t="str">
        <f t="shared" ca="1" si="32"/>
        <v/>
      </c>
      <c r="AQ160" s="82"/>
      <c r="AR160" s="97">
        <f>IFERROR(VLOOKUP(B160,OBJECTIFS!$C$76:$E$137,2,FALSE),0)</f>
        <v>0</v>
      </c>
      <c r="AS160" s="98">
        <f>IFERROR(VLOOKUP(B160,OBJECTIFS!$H$76:$J$137,2,FALSE),0)</f>
        <v>0</v>
      </c>
      <c r="AT160" s="98">
        <f>IFERROR(VLOOKUP(B160,OBJECTIFS!$C$142:$E$203,2,FALSE),0)</f>
        <v>0</v>
      </c>
      <c r="AU160" s="98">
        <f>IFERROR(VLOOKUP(B160,OBJECTIFS!$H$142:$J$203,2,FALSE),0)</f>
        <v>0</v>
      </c>
      <c r="AV160" s="98">
        <f>IFERROR(VLOOKUP(B160,OBJECTIFS!$F$208:$H$269,3,FALSE),0)</f>
        <v>0</v>
      </c>
      <c r="AW160" s="81">
        <f t="shared" si="33"/>
        <v>0</v>
      </c>
      <c r="AX160" s="82"/>
      <c r="AY160" s="99" t="str">
        <f t="shared" ca="1" si="34"/>
        <v/>
      </c>
      <c r="AZ160" s="63"/>
      <c r="BA160" s="100">
        <f t="shared" ca="1" si="35"/>
        <v>0</v>
      </c>
      <c r="BB160" s="64" t="str">
        <f t="shared" ca="1" si="36"/>
        <v/>
      </c>
      <c r="BC160" s="101" t="str">
        <f t="shared" ca="1" si="37"/>
        <v/>
      </c>
    </row>
    <row r="161" spans="1:55" x14ac:dyDescent="0.2">
      <c r="A161" s="21"/>
      <c r="B161" s="22"/>
      <c r="C161" s="22"/>
      <c r="D161" s="23"/>
      <c r="E161" s="24"/>
      <c r="F161" s="34"/>
      <c r="H161" s="89" t="str">
        <f>IF(OR(D161="",F161="",A161=""),"",IF(E161="oui",0,IF(D161=OBJECTIFS!$C$45,VLOOKUP(F161,OBJECTIFS!$C$9:$D$11,2,FALSE),IF(D161=OBJECTIFS!$C$46,VLOOKUP(F161,OBJECTIFS!$C$16:$D$18,2,FALSE),IF(D161=OBJECTIFS!$C$47,VLOOKUP(F161,OBJECTIFS!$C$23:$D$25,2,FALSE),IF(D161=OBJECTIFS!$C$48,VLOOKUP(F161,OBJECTIFS!$C$30:$D$32,2,FALSE),IF(D161=OBJECTIFS!$C$49,VLOOKUP(F161,OBJECTIFS!$C$37:$D$39,2,FALSE))))))))</f>
        <v/>
      </c>
      <c r="J161" s="25"/>
      <c r="K161" s="90" t="str">
        <f>IF(OR($A161="",$D161="",J161=""),"",SUMIFS(OBJECTIFS!E$9:E$39,OBJECTIFS!$A$9:$A$39,$D161,OBJECTIFS!$C$9:$C$39,$F161))</f>
        <v/>
      </c>
      <c r="L161" s="90" t="str">
        <f>IF(OR(AND($D161=OBJECTIFS!$B$6,OBJECTIFS!E$8="dmt"),AND($D161=OBJECTIFS!$B$13,OBJECTIFS!$E$15="dmt"),AND($D161=OBJECTIFS!$B$20,OBJECTIFS!$E$22="dmt"),AND($D161=OBJECTIFS!$B$27,OBJECTIFS!$E$29="dmt"),AND($D161=OBJECTIFS!$B$34,OBJECTIFS!$E$36="dmt"),AND($D161=OBJECTIFS!$B$6,OBJECTIFS!$E$8="taux de chute"),AND($D161=OBJECTIFS!$B$13,OBJECTIFS!$E$15="taux de chute"),AND($D161=OBJECTIFS!$B$20,OBJECTIFS!$E$22="taux de chute"),AND($D161=OBJECTIFS!$B$27,OBJECTIFS!$E$29="taux de chute"),AND($D161=OBJECTIFS!$B$34,OBJECTIFS!$E$36="taux de chute")),IFERROR(K161/J161,""),IFERROR(J161/K161,""))</f>
        <v/>
      </c>
      <c r="M161" s="91">
        <f>IFERROR(IF(OR(J161="",K161="",L161=""),0,IF(L161&lt;OBJECTIFS!$E$56,0,IF(L161&lt;OBJECTIFS!$G$56,M$8*OBJECTIFS!$F$60,IF(L161&lt;OBJECTIFS!$I$56,M$8*OBJECTIFS!$H$60,M$8)))),0)</f>
        <v>0</v>
      </c>
      <c r="N161" s="161"/>
      <c r="O161" s="92" t="str">
        <f>IF(OR($A161="",$D161="",N161=""),"",SUMIFS(OBJECTIFS!F$9:F$39,OBJECTIFS!$A$9:$A$39,$D161,OBJECTIFS!$C$9:$C$39,$F161))</f>
        <v/>
      </c>
      <c r="P161" s="90" t="str">
        <f>IF(OR(AND($D161=OBJECTIFS!$B$6,OBJECTIFS!$F$8="dmt"),AND($D161=OBJECTIFS!$B$13,OBJECTIFS!$F$15="dmt"),AND($D161=OBJECTIFS!$B$20,OBJECTIFS!$F$22="dmt"),AND($D161=OBJECTIFS!$B$27,OBJECTIFS!$F$29="dmt"),AND($D161=OBJECTIFS!$B$34,OBJECTIFS!$F$36="dmt"),AND($D161=OBJECTIFS!$B$6,OBJECTIFS!$F$8="taux de chute"),AND($D161=OBJECTIFS!$B$13,OBJECTIFS!$F$15="taux de chute"),AND($D161=OBJECTIFS!$B$20,OBJECTIFS!$F$22="taux de chute"),AND($D161=OBJECTIFS!$B$27,OBJECTIFS!$F$29="taux de chute"),AND($D161=OBJECTIFS!$B$34,OBJECTIFS!$F$36="taux de chute")),IFERROR(O161/N161,""),IFERROR(N161/O161,""))</f>
        <v/>
      </c>
      <c r="Q161" s="91">
        <f>IFERROR(IF(OR(N161="",O161="",P161=""),0,IF(P161&lt;OBJECTIFS!$E$56,0,IF(P161&lt;OBJECTIFS!$G$56,Q$8*OBJECTIFS!$F$60,IF(P161&lt;OBJECTIFS!$I$56,Q$8*OBJECTIFS!$H$60,Q$8)))),0)</f>
        <v>0</v>
      </c>
      <c r="R161" s="164"/>
      <c r="S161" s="93" t="str">
        <f>IF(OR($A161="",$D161="",R161=""),"",SUMIFS(OBJECTIFS!G$9:G$39,OBJECTIFS!$A$9:$A$39,$D161,OBJECTIFS!$C$9:$C$39,$F161))</f>
        <v/>
      </c>
      <c r="T161" s="90" t="str">
        <f>IF(OR(AND($D161=OBJECTIFS!$B$6,OBJECTIFS!G$8="dmt"),AND($D161=OBJECTIFS!$B$13,OBJECTIFS!$G$15="dmt"),AND($D161=OBJECTIFS!$B$20,OBJECTIFS!$G$22="dmt"),AND($D161=OBJECTIFS!$B$27,OBJECTIFS!$G$29="dmt"),AND($D161=OBJECTIFS!$B$34,OBJECTIFS!$G$36="dmt"),AND($D161=OBJECTIFS!$B$6,OBJECTIFS!$G$8="taux de chute"),AND($D161=OBJECTIFS!$B$13,OBJECTIFS!$G$15="taux de chute"),AND($D161=OBJECTIFS!$B$20,OBJECTIFS!$G$22="taux de chute"),AND($D161=OBJECTIFS!$B$27,OBJECTIFS!$G$29="taux de chute"),AND($D161=OBJECTIFS!$B$34,OBJECTIFS!$G$36="taux de chute")),IFERROR(S161/R161,""),IFERROR(R161/S161,""))</f>
        <v/>
      </c>
      <c r="U161" s="94">
        <f>IFERROR(IF(OR(R161="",S161="",T161=""),0,IF(T161&lt;OBJECTIFS!$E$56,0,IF(T161&lt;OBJECTIFS!$G$56,U$8*OBJECTIFS!$F$60,IF(T161&lt;OBJECTIFS!$I$56,U$8*OBJECTIFS!$H$60,U$8)))),0)</f>
        <v>0</v>
      </c>
      <c r="V161" s="25"/>
      <c r="W161" s="90" t="str">
        <f>IF(OR($A161="",$D161="",V161=""),"",SUMIFS(OBJECTIFS!H$9:H$39,OBJECTIFS!$A$9:$A$39,$D161,OBJECTIFS!$C$9:$C$39,$F161))</f>
        <v/>
      </c>
      <c r="X161" s="90" t="str">
        <f>IF(OR(AND($D161=OBJECTIFS!$B$6,OBJECTIFS!H$8="dmt"),AND($D161=OBJECTIFS!$B$13,OBJECTIFS!$H$15="dmt"),AND($D161=OBJECTIFS!$B$20,OBJECTIFS!$H$22="dmt"),AND($D161=OBJECTIFS!$B$27,OBJECTIFS!$H$29="dmt"),AND($D161=OBJECTIFS!$B$34,OBJECTIFS!$H$36="dmt"),AND($D161=OBJECTIFS!$B$6,OBJECTIFS!$H$8="taux de chute"),AND($D161=OBJECTIFS!$B$13,OBJECTIFS!$H$15="taux de chute"),AND($D161=OBJECTIFS!$B$20,OBJECTIFS!$H$22="taux de chute"),AND($D161=OBJECTIFS!$B$27,OBJECTIFS!$H$29="taux de chute"),AND($D161=OBJECTIFS!$B$34,OBJECTIFS!$H$36="taux de chute")),IFERROR(W161/V161,""),IFERROR(V161/W161,""))</f>
        <v/>
      </c>
      <c r="Y161" s="91">
        <f>IFERROR(IF(OR(V161="",W161="",X161=""),0,IF(X161&lt;OBJECTIFS!$E$56,0,IF(X161&lt;OBJECTIFS!$G$56,Y$8*OBJECTIFS!$F$60,IF(X161&lt;OBJECTIFS!$I$56,Y$8*OBJECTIFS!$H$60,Y$8)))),0)</f>
        <v>0</v>
      </c>
      <c r="Z161" s="167"/>
      <c r="AA161" s="90" t="str">
        <f>IF(OR($A161="",$D161="",Z161=""),"",SUMIFS(OBJECTIFS!I$9:I$39,OBJECTIFS!$A$9:$A$39,$D161,OBJECTIFS!$C$9:$C$39,$F161))</f>
        <v/>
      </c>
      <c r="AB161" s="90" t="str">
        <f>IF(OR(AND($D161=OBJECTIFS!$B$6,OBJECTIFS!I$8="dmt"),AND($D161=OBJECTIFS!$B$13,OBJECTIFS!$I$15="dmt"),AND($D161=OBJECTIFS!$B$20,OBJECTIFS!$I$22="dmt"),AND($D161=OBJECTIFS!$B$27,OBJECTIFS!$I$29="dmt"),AND($D161=OBJECTIFS!$B$34,OBJECTIFS!$I$36="dmt"),AND($D161=OBJECTIFS!$B$6,OBJECTIFS!$I$8="taux de chute"),AND($D161=OBJECTIFS!$B$13,OBJECTIFS!$I$15="taux de chute"),AND($D161=OBJECTIFS!$B$20,OBJECTIFS!$I$22="taux de chute"),AND($D161=OBJECTIFS!$B$27,OBJECTIFS!$I$29="taux de chute"),AND($D161=OBJECTIFS!$B$34,OBJECTIFS!$I$36="taux de chute")),IFERROR(AA161/Z161,""),IFERROR(Z161/AA161,""))</f>
        <v/>
      </c>
      <c r="AC161" s="95">
        <f>IFERROR(IF(OR(Z161="",AA161="",AB161=""),0,IF(AB161&lt;OBJECTIFS!$E$56,0,IF(AB161&lt;OBJECTIFS!$G$56,AC$8*OBJECTIFS!$F$60,IF(AB161&lt;OBJECTIFS!$I$56,AC$8*OBJECTIFS!$H$60,AC$8)))),0)</f>
        <v>0</v>
      </c>
      <c r="AD161" s="281"/>
      <c r="AE161" s="282"/>
      <c r="AF161" s="96">
        <f t="shared" ca="1" si="29"/>
        <v>0</v>
      </c>
      <c r="AG161" s="63"/>
      <c r="AH161" s="172"/>
      <c r="AI161" s="24"/>
      <c r="AJ161" s="24"/>
      <c r="AK161" s="24"/>
      <c r="AL161" s="24"/>
      <c r="AM161" s="79">
        <f t="shared" si="30"/>
        <v>0</v>
      </c>
      <c r="AN161" s="79">
        <v>22</v>
      </c>
      <c r="AO161" s="80">
        <f t="shared" si="31"/>
        <v>0</v>
      </c>
      <c r="AP161" s="81" t="str">
        <f t="shared" ca="1" si="32"/>
        <v/>
      </c>
      <c r="AQ161" s="82"/>
      <c r="AR161" s="97">
        <f>IFERROR(VLOOKUP(B161,OBJECTIFS!$C$76:$E$137,2,FALSE),0)</f>
        <v>0</v>
      </c>
      <c r="AS161" s="98">
        <f>IFERROR(VLOOKUP(B161,OBJECTIFS!$H$76:$J$137,2,FALSE),0)</f>
        <v>0</v>
      </c>
      <c r="AT161" s="98">
        <f>IFERROR(VLOOKUP(B161,OBJECTIFS!$C$142:$E$203,2,FALSE),0)</f>
        <v>0</v>
      </c>
      <c r="AU161" s="98">
        <f>IFERROR(VLOOKUP(B161,OBJECTIFS!$H$142:$J$203,2,FALSE),0)</f>
        <v>0</v>
      </c>
      <c r="AV161" s="98">
        <f>IFERROR(VLOOKUP(B161,OBJECTIFS!$F$208:$H$269,3,FALSE),0)</f>
        <v>0</v>
      </c>
      <c r="AW161" s="81">
        <f t="shared" si="33"/>
        <v>0</v>
      </c>
      <c r="AX161" s="82"/>
      <c r="AY161" s="99" t="str">
        <f t="shared" ca="1" si="34"/>
        <v/>
      </c>
      <c r="AZ161" s="63"/>
      <c r="BA161" s="100">
        <f t="shared" ca="1" si="35"/>
        <v>0</v>
      </c>
      <c r="BB161" s="64" t="str">
        <f t="shared" ca="1" si="36"/>
        <v/>
      </c>
      <c r="BC161" s="101" t="str">
        <f t="shared" ca="1" si="37"/>
        <v/>
      </c>
    </row>
    <row r="162" spans="1:55" x14ac:dyDescent="0.2">
      <c r="A162" s="21"/>
      <c r="B162" s="22"/>
      <c r="C162" s="22"/>
      <c r="D162" s="23"/>
      <c r="E162" s="24"/>
      <c r="F162" s="34"/>
      <c r="H162" s="89" t="str">
        <f>IF(OR(D162="",F162="",A162=""),"",IF(E162="oui",0,IF(D162=OBJECTIFS!$C$45,VLOOKUP(F162,OBJECTIFS!$C$9:$D$11,2,FALSE),IF(D162=OBJECTIFS!$C$46,VLOOKUP(F162,OBJECTIFS!$C$16:$D$18,2,FALSE),IF(D162=OBJECTIFS!$C$47,VLOOKUP(F162,OBJECTIFS!$C$23:$D$25,2,FALSE),IF(D162=OBJECTIFS!$C$48,VLOOKUP(F162,OBJECTIFS!$C$30:$D$32,2,FALSE),IF(D162=OBJECTIFS!$C$49,VLOOKUP(F162,OBJECTIFS!$C$37:$D$39,2,FALSE))))))))</f>
        <v/>
      </c>
      <c r="J162" s="25"/>
      <c r="K162" s="90" t="str">
        <f>IF(OR($A162="",$D162="",J162=""),"",SUMIFS(OBJECTIFS!E$9:E$39,OBJECTIFS!$A$9:$A$39,$D162,OBJECTIFS!$C$9:$C$39,$F162))</f>
        <v/>
      </c>
      <c r="L162" s="90" t="str">
        <f>IF(OR(AND($D162=OBJECTIFS!$B$6,OBJECTIFS!E$8="dmt"),AND($D162=OBJECTIFS!$B$13,OBJECTIFS!$E$15="dmt"),AND($D162=OBJECTIFS!$B$20,OBJECTIFS!$E$22="dmt"),AND($D162=OBJECTIFS!$B$27,OBJECTIFS!$E$29="dmt"),AND($D162=OBJECTIFS!$B$34,OBJECTIFS!$E$36="dmt"),AND($D162=OBJECTIFS!$B$6,OBJECTIFS!$E$8="taux de chute"),AND($D162=OBJECTIFS!$B$13,OBJECTIFS!$E$15="taux de chute"),AND($D162=OBJECTIFS!$B$20,OBJECTIFS!$E$22="taux de chute"),AND($D162=OBJECTIFS!$B$27,OBJECTIFS!$E$29="taux de chute"),AND($D162=OBJECTIFS!$B$34,OBJECTIFS!$E$36="taux de chute")),IFERROR(K162/J162,""),IFERROR(J162/K162,""))</f>
        <v/>
      </c>
      <c r="M162" s="91">
        <f>IFERROR(IF(OR(J162="",K162="",L162=""),0,IF(L162&lt;OBJECTIFS!$E$56,0,IF(L162&lt;OBJECTIFS!$G$56,M$8*OBJECTIFS!$F$60,IF(L162&lt;OBJECTIFS!$I$56,M$8*OBJECTIFS!$H$60,M$8)))),0)</f>
        <v>0</v>
      </c>
      <c r="N162" s="161"/>
      <c r="O162" s="92" t="str">
        <f>IF(OR($A162="",$D162="",N162=""),"",SUMIFS(OBJECTIFS!F$9:F$39,OBJECTIFS!$A$9:$A$39,$D162,OBJECTIFS!$C$9:$C$39,$F162))</f>
        <v/>
      </c>
      <c r="P162" s="90" t="str">
        <f>IF(OR(AND($D162=OBJECTIFS!$B$6,OBJECTIFS!$F$8="dmt"),AND($D162=OBJECTIFS!$B$13,OBJECTIFS!$F$15="dmt"),AND($D162=OBJECTIFS!$B$20,OBJECTIFS!$F$22="dmt"),AND($D162=OBJECTIFS!$B$27,OBJECTIFS!$F$29="dmt"),AND($D162=OBJECTIFS!$B$34,OBJECTIFS!$F$36="dmt"),AND($D162=OBJECTIFS!$B$6,OBJECTIFS!$F$8="taux de chute"),AND($D162=OBJECTIFS!$B$13,OBJECTIFS!$F$15="taux de chute"),AND($D162=OBJECTIFS!$B$20,OBJECTIFS!$F$22="taux de chute"),AND($D162=OBJECTIFS!$B$27,OBJECTIFS!$F$29="taux de chute"),AND($D162=OBJECTIFS!$B$34,OBJECTIFS!$F$36="taux de chute")),IFERROR(O162/N162,""),IFERROR(N162/O162,""))</f>
        <v/>
      </c>
      <c r="Q162" s="91">
        <f>IFERROR(IF(OR(N162="",O162="",P162=""),0,IF(P162&lt;OBJECTIFS!$E$56,0,IF(P162&lt;OBJECTIFS!$G$56,Q$8*OBJECTIFS!$F$60,IF(P162&lt;OBJECTIFS!$I$56,Q$8*OBJECTIFS!$H$60,Q$8)))),0)</f>
        <v>0</v>
      </c>
      <c r="R162" s="164"/>
      <c r="S162" s="93" t="str">
        <f>IF(OR($A162="",$D162="",R162=""),"",SUMIFS(OBJECTIFS!G$9:G$39,OBJECTIFS!$A$9:$A$39,$D162,OBJECTIFS!$C$9:$C$39,$F162))</f>
        <v/>
      </c>
      <c r="T162" s="90" t="str">
        <f>IF(OR(AND($D162=OBJECTIFS!$B$6,OBJECTIFS!G$8="dmt"),AND($D162=OBJECTIFS!$B$13,OBJECTIFS!$G$15="dmt"),AND($D162=OBJECTIFS!$B$20,OBJECTIFS!$G$22="dmt"),AND($D162=OBJECTIFS!$B$27,OBJECTIFS!$G$29="dmt"),AND($D162=OBJECTIFS!$B$34,OBJECTIFS!$G$36="dmt"),AND($D162=OBJECTIFS!$B$6,OBJECTIFS!$G$8="taux de chute"),AND($D162=OBJECTIFS!$B$13,OBJECTIFS!$G$15="taux de chute"),AND($D162=OBJECTIFS!$B$20,OBJECTIFS!$G$22="taux de chute"),AND($D162=OBJECTIFS!$B$27,OBJECTIFS!$G$29="taux de chute"),AND($D162=OBJECTIFS!$B$34,OBJECTIFS!$G$36="taux de chute")),IFERROR(S162/R162,""),IFERROR(R162/S162,""))</f>
        <v/>
      </c>
      <c r="U162" s="94">
        <f>IFERROR(IF(OR(R162="",S162="",T162=""),0,IF(T162&lt;OBJECTIFS!$E$56,0,IF(T162&lt;OBJECTIFS!$G$56,U$8*OBJECTIFS!$F$60,IF(T162&lt;OBJECTIFS!$I$56,U$8*OBJECTIFS!$H$60,U$8)))),0)</f>
        <v>0</v>
      </c>
      <c r="V162" s="25"/>
      <c r="W162" s="90" t="str">
        <f>IF(OR($A162="",$D162="",V162=""),"",SUMIFS(OBJECTIFS!H$9:H$39,OBJECTIFS!$A$9:$A$39,$D162,OBJECTIFS!$C$9:$C$39,$F162))</f>
        <v/>
      </c>
      <c r="X162" s="90" t="str">
        <f>IF(OR(AND($D162=OBJECTIFS!$B$6,OBJECTIFS!H$8="dmt"),AND($D162=OBJECTIFS!$B$13,OBJECTIFS!$H$15="dmt"),AND($D162=OBJECTIFS!$B$20,OBJECTIFS!$H$22="dmt"),AND($D162=OBJECTIFS!$B$27,OBJECTIFS!$H$29="dmt"),AND($D162=OBJECTIFS!$B$34,OBJECTIFS!$H$36="dmt"),AND($D162=OBJECTIFS!$B$6,OBJECTIFS!$H$8="taux de chute"),AND($D162=OBJECTIFS!$B$13,OBJECTIFS!$H$15="taux de chute"),AND($D162=OBJECTIFS!$B$20,OBJECTIFS!$H$22="taux de chute"),AND($D162=OBJECTIFS!$B$27,OBJECTIFS!$H$29="taux de chute"),AND($D162=OBJECTIFS!$B$34,OBJECTIFS!$H$36="taux de chute")),IFERROR(W162/V162,""),IFERROR(V162/W162,""))</f>
        <v/>
      </c>
      <c r="Y162" s="91">
        <f>IFERROR(IF(OR(V162="",W162="",X162=""),0,IF(X162&lt;OBJECTIFS!$E$56,0,IF(X162&lt;OBJECTIFS!$G$56,Y$8*OBJECTIFS!$F$60,IF(X162&lt;OBJECTIFS!$I$56,Y$8*OBJECTIFS!$H$60,Y$8)))),0)</f>
        <v>0</v>
      </c>
      <c r="Z162" s="167"/>
      <c r="AA162" s="90" t="str">
        <f>IF(OR($A162="",$D162="",Z162=""),"",SUMIFS(OBJECTIFS!I$9:I$39,OBJECTIFS!$A$9:$A$39,$D162,OBJECTIFS!$C$9:$C$39,$F162))</f>
        <v/>
      </c>
      <c r="AB162" s="90" t="str">
        <f>IF(OR(AND($D162=OBJECTIFS!$B$6,OBJECTIFS!I$8="dmt"),AND($D162=OBJECTIFS!$B$13,OBJECTIFS!$I$15="dmt"),AND($D162=OBJECTIFS!$B$20,OBJECTIFS!$I$22="dmt"),AND($D162=OBJECTIFS!$B$27,OBJECTIFS!$I$29="dmt"),AND($D162=OBJECTIFS!$B$34,OBJECTIFS!$I$36="dmt"),AND($D162=OBJECTIFS!$B$6,OBJECTIFS!$I$8="taux de chute"),AND($D162=OBJECTIFS!$B$13,OBJECTIFS!$I$15="taux de chute"),AND($D162=OBJECTIFS!$B$20,OBJECTIFS!$I$22="taux de chute"),AND($D162=OBJECTIFS!$B$27,OBJECTIFS!$I$29="taux de chute"),AND($D162=OBJECTIFS!$B$34,OBJECTIFS!$I$36="taux de chute")),IFERROR(AA162/Z162,""),IFERROR(Z162/AA162,""))</f>
        <v/>
      </c>
      <c r="AC162" s="95">
        <f>IFERROR(IF(OR(Z162="",AA162="",AB162=""),0,IF(AB162&lt;OBJECTIFS!$E$56,0,IF(AB162&lt;OBJECTIFS!$G$56,AC$8*OBJECTIFS!$F$60,IF(AB162&lt;OBJECTIFS!$I$56,AC$8*OBJECTIFS!$H$60,AC$8)))),0)</f>
        <v>0</v>
      </c>
      <c r="AD162" s="281"/>
      <c r="AE162" s="282"/>
      <c r="AF162" s="96">
        <f t="shared" ca="1" si="29"/>
        <v>0</v>
      </c>
      <c r="AG162" s="63"/>
      <c r="AH162" s="172"/>
      <c r="AI162" s="24"/>
      <c r="AJ162" s="24"/>
      <c r="AK162" s="24"/>
      <c r="AL162" s="24"/>
      <c r="AM162" s="79">
        <f t="shared" si="30"/>
        <v>0</v>
      </c>
      <c r="AN162" s="79">
        <v>22</v>
      </c>
      <c r="AO162" s="80">
        <f t="shared" si="31"/>
        <v>0</v>
      </c>
      <c r="AP162" s="81" t="str">
        <f t="shared" ca="1" si="32"/>
        <v/>
      </c>
      <c r="AQ162" s="82"/>
      <c r="AR162" s="97">
        <f>IFERROR(VLOOKUP(B162,OBJECTIFS!$C$76:$E$137,2,FALSE),0)</f>
        <v>0</v>
      </c>
      <c r="AS162" s="98">
        <f>IFERROR(VLOOKUP(B162,OBJECTIFS!$H$76:$J$137,2,FALSE),0)</f>
        <v>0</v>
      </c>
      <c r="AT162" s="98">
        <f>IFERROR(VLOOKUP(B162,OBJECTIFS!$C$142:$E$203,2,FALSE),0)</f>
        <v>0</v>
      </c>
      <c r="AU162" s="98">
        <f>IFERROR(VLOOKUP(B162,OBJECTIFS!$H$142:$J$203,2,FALSE),0)</f>
        <v>0</v>
      </c>
      <c r="AV162" s="98">
        <f>IFERROR(VLOOKUP(B162,OBJECTIFS!$F$208:$H$269,3,FALSE),0)</f>
        <v>0</v>
      </c>
      <c r="AW162" s="81">
        <f t="shared" si="33"/>
        <v>0</v>
      </c>
      <c r="AX162" s="82"/>
      <c r="AY162" s="99" t="str">
        <f t="shared" ca="1" si="34"/>
        <v/>
      </c>
      <c r="AZ162" s="63"/>
      <c r="BA162" s="100">
        <f t="shared" ca="1" si="35"/>
        <v>0</v>
      </c>
      <c r="BB162" s="64" t="str">
        <f t="shared" ca="1" si="36"/>
        <v/>
      </c>
      <c r="BC162" s="101" t="str">
        <f t="shared" ca="1" si="37"/>
        <v/>
      </c>
    </row>
    <row r="163" spans="1:55" x14ac:dyDescent="0.2">
      <c r="A163" s="21"/>
      <c r="B163" s="22"/>
      <c r="C163" s="22"/>
      <c r="D163" s="23"/>
      <c r="E163" s="24"/>
      <c r="F163" s="34"/>
      <c r="H163" s="89" t="str">
        <f>IF(OR(D163="",F163="",A163=""),"",IF(E163="oui",0,IF(D163=OBJECTIFS!$C$45,VLOOKUP(F163,OBJECTIFS!$C$9:$D$11,2,FALSE),IF(D163=OBJECTIFS!$C$46,VLOOKUP(F163,OBJECTIFS!$C$16:$D$18,2,FALSE),IF(D163=OBJECTIFS!$C$47,VLOOKUP(F163,OBJECTIFS!$C$23:$D$25,2,FALSE),IF(D163=OBJECTIFS!$C$48,VLOOKUP(F163,OBJECTIFS!$C$30:$D$32,2,FALSE),IF(D163=OBJECTIFS!$C$49,VLOOKUP(F163,OBJECTIFS!$C$37:$D$39,2,FALSE))))))))</f>
        <v/>
      </c>
      <c r="J163" s="25"/>
      <c r="K163" s="90" t="str">
        <f>IF(OR($A163="",$D163="",J163=""),"",SUMIFS(OBJECTIFS!E$9:E$39,OBJECTIFS!$A$9:$A$39,$D163,OBJECTIFS!$C$9:$C$39,$F163))</f>
        <v/>
      </c>
      <c r="L163" s="90" t="str">
        <f>IF(OR(AND($D163=OBJECTIFS!$B$6,OBJECTIFS!E$8="dmt"),AND($D163=OBJECTIFS!$B$13,OBJECTIFS!$E$15="dmt"),AND($D163=OBJECTIFS!$B$20,OBJECTIFS!$E$22="dmt"),AND($D163=OBJECTIFS!$B$27,OBJECTIFS!$E$29="dmt"),AND($D163=OBJECTIFS!$B$34,OBJECTIFS!$E$36="dmt"),AND($D163=OBJECTIFS!$B$6,OBJECTIFS!$E$8="taux de chute"),AND($D163=OBJECTIFS!$B$13,OBJECTIFS!$E$15="taux de chute"),AND($D163=OBJECTIFS!$B$20,OBJECTIFS!$E$22="taux de chute"),AND($D163=OBJECTIFS!$B$27,OBJECTIFS!$E$29="taux de chute"),AND($D163=OBJECTIFS!$B$34,OBJECTIFS!$E$36="taux de chute")),IFERROR(K163/J163,""),IFERROR(J163/K163,""))</f>
        <v/>
      </c>
      <c r="M163" s="91">
        <f>IFERROR(IF(OR(J163="",K163="",L163=""),0,IF(L163&lt;OBJECTIFS!$E$56,0,IF(L163&lt;OBJECTIFS!$G$56,M$8*OBJECTIFS!$F$60,IF(L163&lt;OBJECTIFS!$I$56,M$8*OBJECTIFS!$H$60,M$8)))),0)</f>
        <v>0</v>
      </c>
      <c r="N163" s="161"/>
      <c r="O163" s="92" t="str">
        <f>IF(OR($A163="",$D163="",N163=""),"",SUMIFS(OBJECTIFS!F$9:F$39,OBJECTIFS!$A$9:$A$39,$D163,OBJECTIFS!$C$9:$C$39,$F163))</f>
        <v/>
      </c>
      <c r="P163" s="90" t="str">
        <f>IF(OR(AND($D163=OBJECTIFS!$B$6,OBJECTIFS!$F$8="dmt"),AND($D163=OBJECTIFS!$B$13,OBJECTIFS!$F$15="dmt"),AND($D163=OBJECTIFS!$B$20,OBJECTIFS!$F$22="dmt"),AND($D163=OBJECTIFS!$B$27,OBJECTIFS!$F$29="dmt"),AND($D163=OBJECTIFS!$B$34,OBJECTIFS!$F$36="dmt"),AND($D163=OBJECTIFS!$B$6,OBJECTIFS!$F$8="taux de chute"),AND($D163=OBJECTIFS!$B$13,OBJECTIFS!$F$15="taux de chute"),AND($D163=OBJECTIFS!$B$20,OBJECTIFS!$F$22="taux de chute"),AND($D163=OBJECTIFS!$B$27,OBJECTIFS!$F$29="taux de chute"),AND($D163=OBJECTIFS!$B$34,OBJECTIFS!$F$36="taux de chute")),IFERROR(O163/N163,""),IFERROR(N163/O163,""))</f>
        <v/>
      </c>
      <c r="Q163" s="91">
        <f>IFERROR(IF(OR(N163="",O163="",P163=""),0,IF(P163&lt;OBJECTIFS!$E$56,0,IF(P163&lt;OBJECTIFS!$G$56,Q$8*OBJECTIFS!$F$60,IF(P163&lt;OBJECTIFS!$I$56,Q$8*OBJECTIFS!$H$60,Q$8)))),0)</f>
        <v>0</v>
      </c>
      <c r="R163" s="164"/>
      <c r="S163" s="93" t="str">
        <f>IF(OR($A163="",$D163="",R163=""),"",SUMIFS(OBJECTIFS!G$9:G$39,OBJECTIFS!$A$9:$A$39,$D163,OBJECTIFS!$C$9:$C$39,$F163))</f>
        <v/>
      </c>
      <c r="T163" s="90" t="str">
        <f>IF(OR(AND($D163=OBJECTIFS!$B$6,OBJECTIFS!G$8="dmt"),AND($D163=OBJECTIFS!$B$13,OBJECTIFS!$G$15="dmt"),AND($D163=OBJECTIFS!$B$20,OBJECTIFS!$G$22="dmt"),AND($D163=OBJECTIFS!$B$27,OBJECTIFS!$G$29="dmt"),AND($D163=OBJECTIFS!$B$34,OBJECTIFS!$G$36="dmt"),AND($D163=OBJECTIFS!$B$6,OBJECTIFS!$G$8="taux de chute"),AND($D163=OBJECTIFS!$B$13,OBJECTIFS!$G$15="taux de chute"),AND($D163=OBJECTIFS!$B$20,OBJECTIFS!$G$22="taux de chute"),AND($D163=OBJECTIFS!$B$27,OBJECTIFS!$G$29="taux de chute"),AND($D163=OBJECTIFS!$B$34,OBJECTIFS!$G$36="taux de chute")),IFERROR(S163/R163,""),IFERROR(R163/S163,""))</f>
        <v/>
      </c>
      <c r="U163" s="94">
        <f>IFERROR(IF(OR(R163="",S163="",T163=""),0,IF(T163&lt;OBJECTIFS!$E$56,0,IF(T163&lt;OBJECTIFS!$G$56,U$8*OBJECTIFS!$F$60,IF(T163&lt;OBJECTIFS!$I$56,U$8*OBJECTIFS!$H$60,U$8)))),0)</f>
        <v>0</v>
      </c>
      <c r="V163" s="25"/>
      <c r="W163" s="90" t="str">
        <f>IF(OR($A163="",$D163="",V163=""),"",SUMIFS(OBJECTIFS!H$9:H$39,OBJECTIFS!$A$9:$A$39,$D163,OBJECTIFS!$C$9:$C$39,$F163))</f>
        <v/>
      </c>
      <c r="X163" s="90" t="str">
        <f>IF(OR(AND($D163=OBJECTIFS!$B$6,OBJECTIFS!H$8="dmt"),AND($D163=OBJECTIFS!$B$13,OBJECTIFS!$H$15="dmt"),AND($D163=OBJECTIFS!$B$20,OBJECTIFS!$H$22="dmt"),AND($D163=OBJECTIFS!$B$27,OBJECTIFS!$H$29="dmt"),AND($D163=OBJECTIFS!$B$34,OBJECTIFS!$H$36="dmt"),AND($D163=OBJECTIFS!$B$6,OBJECTIFS!$H$8="taux de chute"),AND($D163=OBJECTIFS!$B$13,OBJECTIFS!$H$15="taux de chute"),AND($D163=OBJECTIFS!$B$20,OBJECTIFS!$H$22="taux de chute"),AND($D163=OBJECTIFS!$B$27,OBJECTIFS!$H$29="taux de chute"),AND($D163=OBJECTIFS!$B$34,OBJECTIFS!$H$36="taux de chute")),IFERROR(W163/V163,""),IFERROR(V163/W163,""))</f>
        <v/>
      </c>
      <c r="Y163" s="91">
        <f>IFERROR(IF(OR(V163="",W163="",X163=""),0,IF(X163&lt;OBJECTIFS!$E$56,0,IF(X163&lt;OBJECTIFS!$G$56,Y$8*OBJECTIFS!$F$60,IF(X163&lt;OBJECTIFS!$I$56,Y$8*OBJECTIFS!$H$60,Y$8)))),0)</f>
        <v>0</v>
      </c>
      <c r="Z163" s="167"/>
      <c r="AA163" s="90" t="str">
        <f>IF(OR($A163="",$D163="",Z163=""),"",SUMIFS(OBJECTIFS!I$9:I$39,OBJECTIFS!$A$9:$A$39,$D163,OBJECTIFS!$C$9:$C$39,$F163))</f>
        <v/>
      </c>
      <c r="AB163" s="90" t="str">
        <f>IF(OR(AND($D163=OBJECTIFS!$B$6,OBJECTIFS!I$8="dmt"),AND($D163=OBJECTIFS!$B$13,OBJECTIFS!$I$15="dmt"),AND($D163=OBJECTIFS!$B$20,OBJECTIFS!$I$22="dmt"),AND($D163=OBJECTIFS!$B$27,OBJECTIFS!$I$29="dmt"),AND($D163=OBJECTIFS!$B$34,OBJECTIFS!$I$36="dmt"),AND($D163=OBJECTIFS!$B$6,OBJECTIFS!$I$8="taux de chute"),AND($D163=OBJECTIFS!$B$13,OBJECTIFS!$I$15="taux de chute"),AND($D163=OBJECTIFS!$B$20,OBJECTIFS!$I$22="taux de chute"),AND($D163=OBJECTIFS!$B$27,OBJECTIFS!$I$29="taux de chute"),AND($D163=OBJECTIFS!$B$34,OBJECTIFS!$I$36="taux de chute")),IFERROR(AA163/Z163,""),IFERROR(Z163/AA163,""))</f>
        <v/>
      </c>
      <c r="AC163" s="95">
        <f>IFERROR(IF(OR(Z163="",AA163="",AB163=""),0,IF(AB163&lt;OBJECTIFS!$E$56,0,IF(AB163&lt;OBJECTIFS!$G$56,AC$8*OBJECTIFS!$F$60,IF(AB163&lt;OBJECTIFS!$I$56,AC$8*OBJECTIFS!$H$60,AC$8)))),0)</f>
        <v>0</v>
      </c>
      <c r="AD163" s="281"/>
      <c r="AE163" s="282"/>
      <c r="AF163" s="96">
        <f t="shared" ca="1" si="29"/>
        <v>0</v>
      </c>
      <c r="AG163" s="63"/>
      <c r="AH163" s="172"/>
      <c r="AI163" s="24"/>
      <c r="AJ163" s="24"/>
      <c r="AK163" s="24"/>
      <c r="AL163" s="24"/>
      <c r="AM163" s="79">
        <f t="shared" si="30"/>
        <v>0</v>
      </c>
      <c r="AN163" s="79">
        <v>22</v>
      </c>
      <c r="AO163" s="80">
        <f t="shared" si="31"/>
        <v>0</v>
      </c>
      <c r="AP163" s="81" t="str">
        <f t="shared" ca="1" si="32"/>
        <v/>
      </c>
      <c r="AQ163" s="82"/>
      <c r="AR163" s="97">
        <f>IFERROR(VLOOKUP(B163,OBJECTIFS!$C$76:$E$137,2,FALSE),0)</f>
        <v>0</v>
      </c>
      <c r="AS163" s="98">
        <f>IFERROR(VLOOKUP(B163,OBJECTIFS!$H$76:$J$137,2,FALSE),0)</f>
        <v>0</v>
      </c>
      <c r="AT163" s="98">
        <f>IFERROR(VLOOKUP(B163,OBJECTIFS!$C$142:$E$203,2,FALSE),0)</f>
        <v>0</v>
      </c>
      <c r="AU163" s="98">
        <f>IFERROR(VLOOKUP(B163,OBJECTIFS!$H$142:$J$203,2,FALSE),0)</f>
        <v>0</v>
      </c>
      <c r="AV163" s="98">
        <f>IFERROR(VLOOKUP(B163,OBJECTIFS!$F$208:$H$269,3,FALSE),0)</f>
        <v>0</v>
      </c>
      <c r="AW163" s="81">
        <f t="shared" si="33"/>
        <v>0</v>
      </c>
      <c r="AX163" s="82"/>
      <c r="AY163" s="99" t="str">
        <f t="shared" ca="1" si="34"/>
        <v/>
      </c>
      <c r="AZ163" s="63"/>
      <c r="BA163" s="100">
        <f t="shared" ca="1" si="35"/>
        <v>0</v>
      </c>
      <c r="BB163" s="64" t="str">
        <f t="shared" ca="1" si="36"/>
        <v/>
      </c>
      <c r="BC163" s="101" t="str">
        <f t="shared" ca="1" si="37"/>
        <v/>
      </c>
    </row>
    <row r="164" spans="1:55" x14ac:dyDescent="0.2">
      <c r="A164" s="21"/>
      <c r="B164" s="22"/>
      <c r="C164" s="22"/>
      <c r="D164" s="23"/>
      <c r="E164" s="24"/>
      <c r="F164" s="34"/>
      <c r="H164" s="89" t="str">
        <f>IF(OR(D164="",F164="",A164=""),"",IF(E164="oui",0,IF(D164=OBJECTIFS!$C$45,VLOOKUP(F164,OBJECTIFS!$C$9:$D$11,2,FALSE),IF(D164=OBJECTIFS!$C$46,VLOOKUP(F164,OBJECTIFS!$C$16:$D$18,2,FALSE),IF(D164=OBJECTIFS!$C$47,VLOOKUP(F164,OBJECTIFS!$C$23:$D$25,2,FALSE),IF(D164=OBJECTIFS!$C$48,VLOOKUP(F164,OBJECTIFS!$C$30:$D$32,2,FALSE),IF(D164=OBJECTIFS!$C$49,VLOOKUP(F164,OBJECTIFS!$C$37:$D$39,2,FALSE))))))))</f>
        <v/>
      </c>
      <c r="J164" s="25"/>
      <c r="K164" s="90" t="str">
        <f>IF(OR($A164="",$D164="",J164=""),"",SUMIFS(OBJECTIFS!E$9:E$39,OBJECTIFS!$A$9:$A$39,$D164,OBJECTIFS!$C$9:$C$39,$F164))</f>
        <v/>
      </c>
      <c r="L164" s="90" t="str">
        <f>IF(OR(AND($D164=OBJECTIFS!$B$6,OBJECTIFS!E$8="dmt"),AND($D164=OBJECTIFS!$B$13,OBJECTIFS!$E$15="dmt"),AND($D164=OBJECTIFS!$B$20,OBJECTIFS!$E$22="dmt"),AND($D164=OBJECTIFS!$B$27,OBJECTIFS!$E$29="dmt"),AND($D164=OBJECTIFS!$B$34,OBJECTIFS!$E$36="dmt"),AND($D164=OBJECTIFS!$B$6,OBJECTIFS!$E$8="taux de chute"),AND($D164=OBJECTIFS!$B$13,OBJECTIFS!$E$15="taux de chute"),AND($D164=OBJECTIFS!$B$20,OBJECTIFS!$E$22="taux de chute"),AND($D164=OBJECTIFS!$B$27,OBJECTIFS!$E$29="taux de chute"),AND($D164=OBJECTIFS!$B$34,OBJECTIFS!$E$36="taux de chute")),IFERROR(K164/J164,""),IFERROR(J164/K164,""))</f>
        <v/>
      </c>
      <c r="M164" s="91">
        <f>IFERROR(IF(OR(J164="",K164="",L164=""),0,IF(L164&lt;OBJECTIFS!$E$56,0,IF(L164&lt;OBJECTIFS!$G$56,M$8*OBJECTIFS!$F$60,IF(L164&lt;OBJECTIFS!$I$56,M$8*OBJECTIFS!$H$60,M$8)))),0)</f>
        <v>0</v>
      </c>
      <c r="N164" s="161"/>
      <c r="O164" s="92" t="str">
        <f>IF(OR($A164="",$D164="",N164=""),"",SUMIFS(OBJECTIFS!F$9:F$39,OBJECTIFS!$A$9:$A$39,$D164,OBJECTIFS!$C$9:$C$39,$F164))</f>
        <v/>
      </c>
      <c r="P164" s="90" t="str">
        <f>IF(OR(AND($D164=OBJECTIFS!$B$6,OBJECTIFS!$F$8="dmt"),AND($D164=OBJECTIFS!$B$13,OBJECTIFS!$F$15="dmt"),AND($D164=OBJECTIFS!$B$20,OBJECTIFS!$F$22="dmt"),AND($D164=OBJECTIFS!$B$27,OBJECTIFS!$F$29="dmt"),AND($D164=OBJECTIFS!$B$34,OBJECTIFS!$F$36="dmt"),AND($D164=OBJECTIFS!$B$6,OBJECTIFS!$F$8="taux de chute"),AND($D164=OBJECTIFS!$B$13,OBJECTIFS!$F$15="taux de chute"),AND($D164=OBJECTIFS!$B$20,OBJECTIFS!$F$22="taux de chute"),AND($D164=OBJECTIFS!$B$27,OBJECTIFS!$F$29="taux de chute"),AND($D164=OBJECTIFS!$B$34,OBJECTIFS!$F$36="taux de chute")),IFERROR(O164/N164,""),IFERROR(N164/O164,""))</f>
        <v/>
      </c>
      <c r="Q164" s="91">
        <f>IFERROR(IF(OR(N164="",O164="",P164=""),0,IF(P164&lt;OBJECTIFS!$E$56,0,IF(P164&lt;OBJECTIFS!$G$56,Q$8*OBJECTIFS!$F$60,IF(P164&lt;OBJECTIFS!$I$56,Q$8*OBJECTIFS!$H$60,Q$8)))),0)</f>
        <v>0</v>
      </c>
      <c r="R164" s="164"/>
      <c r="S164" s="93" t="str">
        <f>IF(OR($A164="",$D164="",R164=""),"",SUMIFS(OBJECTIFS!G$9:G$39,OBJECTIFS!$A$9:$A$39,$D164,OBJECTIFS!$C$9:$C$39,$F164))</f>
        <v/>
      </c>
      <c r="T164" s="90" t="str">
        <f>IF(OR(AND($D164=OBJECTIFS!$B$6,OBJECTIFS!G$8="dmt"),AND($D164=OBJECTIFS!$B$13,OBJECTIFS!$G$15="dmt"),AND($D164=OBJECTIFS!$B$20,OBJECTIFS!$G$22="dmt"),AND($D164=OBJECTIFS!$B$27,OBJECTIFS!$G$29="dmt"),AND($D164=OBJECTIFS!$B$34,OBJECTIFS!$G$36="dmt"),AND($D164=OBJECTIFS!$B$6,OBJECTIFS!$G$8="taux de chute"),AND($D164=OBJECTIFS!$B$13,OBJECTIFS!$G$15="taux de chute"),AND($D164=OBJECTIFS!$B$20,OBJECTIFS!$G$22="taux de chute"),AND($D164=OBJECTIFS!$B$27,OBJECTIFS!$G$29="taux de chute"),AND($D164=OBJECTIFS!$B$34,OBJECTIFS!$G$36="taux de chute")),IFERROR(S164/R164,""),IFERROR(R164/S164,""))</f>
        <v/>
      </c>
      <c r="U164" s="94">
        <f>IFERROR(IF(OR(R164="",S164="",T164=""),0,IF(T164&lt;OBJECTIFS!$E$56,0,IF(T164&lt;OBJECTIFS!$G$56,U$8*OBJECTIFS!$F$60,IF(T164&lt;OBJECTIFS!$I$56,U$8*OBJECTIFS!$H$60,U$8)))),0)</f>
        <v>0</v>
      </c>
      <c r="V164" s="25"/>
      <c r="W164" s="90" t="str">
        <f>IF(OR($A164="",$D164="",V164=""),"",SUMIFS(OBJECTIFS!H$9:H$39,OBJECTIFS!$A$9:$A$39,$D164,OBJECTIFS!$C$9:$C$39,$F164))</f>
        <v/>
      </c>
      <c r="X164" s="90" t="str">
        <f>IF(OR(AND($D164=OBJECTIFS!$B$6,OBJECTIFS!H$8="dmt"),AND($D164=OBJECTIFS!$B$13,OBJECTIFS!$H$15="dmt"),AND($D164=OBJECTIFS!$B$20,OBJECTIFS!$H$22="dmt"),AND($D164=OBJECTIFS!$B$27,OBJECTIFS!$H$29="dmt"),AND($D164=OBJECTIFS!$B$34,OBJECTIFS!$H$36="dmt"),AND($D164=OBJECTIFS!$B$6,OBJECTIFS!$H$8="taux de chute"),AND($D164=OBJECTIFS!$B$13,OBJECTIFS!$H$15="taux de chute"),AND($D164=OBJECTIFS!$B$20,OBJECTIFS!$H$22="taux de chute"),AND($D164=OBJECTIFS!$B$27,OBJECTIFS!$H$29="taux de chute"),AND($D164=OBJECTIFS!$B$34,OBJECTIFS!$H$36="taux de chute")),IFERROR(W164/V164,""),IFERROR(V164/W164,""))</f>
        <v/>
      </c>
      <c r="Y164" s="91">
        <f>IFERROR(IF(OR(V164="",W164="",X164=""),0,IF(X164&lt;OBJECTIFS!$E$56,0,IF(X164&lt;OBJECTIFS!$G$56,Y$8*OBJECTIFS!$F$60,IF(X164&lt;OBJECTIFS!$I$56,Y$8*OBJECTIFS!$H$60,Y$8)))),0)</f>
        <v>0</v>
      </c>
      <c r="Z164" s="167"/>
      <c r="AA164" s="90" t="str">
        <f>IF(OR($A164="",$D164="",Z164=""),"",SUMIFS(OBJECTIFS!I$9:I$39,OBJECTIFS!$A$9:$A$39,$D164,OBJECTIFS!$C$9:$C$39,$F164))</f>
        <v/>
      </c>
      <c r="AB164" s="90" t="str">
        <f>IF(OR(AND($D164=OBJECTIFS!$B$6,OBJECTIFS!I$8="dmt"),AND($D164=OBJECTIFS!$B$13,OBJECTIFS!$I$15="dmt"),AND($D164=OBJECTIFS!$B$20,OBJECTIFS!$I$22="dmt"),AND($D164=OBJECTIFS!$B$27,OBJECTIFS!$I$29="dmt"),AND($D164=OBJECTIFS!$B$34,OBJECTIFS!$I$36="dmt"),AND($D164=OBJECTIFS!$B$6,OBJECTIFS!$I$8="taux de chute"),AND($D164=OBJECTIFS!$B$13,OBJECTIFS!$I$15="taux de chute"),AND($D164=OBJECTIFS!$B$20,OBJECTIFS!$I$22="taux de chute"),AND($D164=OBJECTIFS!$B$27,OBJECTIFS!$I$29="taux de chute"),AND($D164=OBJECTIFS!$B$34,OBJECTIFS!$I$36="taux de chute")),IFERROR(AA164/Z164,""),IFERROR(Z164/AA164,""))</f>
        <v/>
      </c>
      <c r="AC164" s="95">
        <f>IFERROR(IF(OR(Z164="",AA164="",AB164=""),0,IF(AB164&lt;OBJECTIFS!$E$56,0,IF(AB164&lt;OBJECTIFS!$G$56,AC$8*OBJECTIFS!$F$60,IF(AB164&lt;OBJECTIFS!$I$56,AC$8*OBJECTIFS!$H$60,AC$8)))),0)</f>
        <v>0</v>
      </c>
      <c r="AD164" s="281"/>
      <c r="AE164" s="282"/>
      <c r="AF164" s="96">
        <f t="shared" ca="1" si="29"/>
        <v>0</v>
      </c>
      <c r="AG164" s="63"/>
      <c r="AH164" s="172"/>
      <c r="AI164" s="24"/>
      <c r="AJ164" s="24"/>
      <c r="AK164" s="24"/>
      <c r="AL164" s="24"/>
      <c r="AM164" s="79">
        <f t="shared" si="30"/>
        <v>0</v>
      </c>
      <c r="AN164" s="79">
        <v>22</v>
      </c>
      <c r="AO164" s="80">
        <f t="shared" si="31"/>
        <v>0</v>
      </c>
      <c r="AP164" s="81" t="str">
        <f t="shared" ca="1" si="32"/>
        <v/>
      </c>
      <c r="AQ164" s="82"/>
      <c r="AR164" s="97">
        <f>IFERROR(VLOOKUP(B164,OBJECTIFS!$C$76:$E$137,2,FALSE),0)</f>
        <v>0</v>
      </c>
      <c r="AS164" s="98">
        <f>IFERROR(VLOOKUP(B164,OBJECTIFS!$H$76:$J$137,2,FALSE),0)</f>
        <v>0</v>
      </c>
      <c r="AT164" s="98">
        <f>IFERROR(VLOOKUP(B164,OBJECTIFS!$C$142:$E$203,2,FALSE),0)</f>
        <v>0</v>
      </c>
      <c r="AU164" s="98">
        <f>IFERROR(VLOOKUP(B164,OBJECTIFS!$H$142:$J$203,2,FALSE),0)</f>
        <v>0</v>
      </c>
      <c r="AV164" s="98">
        <f>IFERROR(VLOOKUP(B164,OBJECTIFS!$F$208:$H$269,3,FALSE),0)</f>
        <v>0</v>
      </c>
      <c r="AW164" s="81">
        <f t="shared" si="33"/>
        <v>0</v>
      </c>
      <c r="AX164" s="82"/>
      <c r="AY164" s="99" t="str">
        <f t="shared" ca="1" si="34"/>
        <v/>
      </c>
      <c r="AZ164" s="63"/>
      <c r="BA164" s="100">
        <f t="shared" ca="1" si="35"/>
        <v>0</v>
      </c>
      <c r="BB164" s="64" t="str">
        <f t="shared" ca="1" si="36"/>
        <v/>
      </c>
      <c r="BC164" s="101" t="str">
        <f t="shared" ca="1" si="37"/>
        <v/>
      </c>
    </row>
    <row r="165" spans="1:55" x14ac:dyDescent="0.2">
      <c r="A165" s="21"/>
      <c r="B165" s="22"/>
      <c r="C165" s="22"/>
      <c r="D165" s="23"/>
      <c r="E165" s="24"/>
      <c r="F165" s="34"/>
      <c r="H165" s="89" t="str">
        <f>IF(OR(D165="",F165="",A165=""),"",IF(E165="oui",0,IF(D165=OBJECTIFS!$C$45,VLOOKUP(F165,OBJECTIFS!$C$9:$D$11,2,FALSE),IF(D165=OBJECTIFS!$C$46,VLOOKUP(F165,OBJECTIFS!$C$16:$D$18,2,FALSE),IF(D165=OBJECTIFS!$C$47,VLOOKUP(F165,OBJECTIFS!$C$23:$D$25,2,FALSE),IF(D165=OBJECTIFS!$C$48,VLOOKUP(F165,OBJECTIFS!$C$30:$D$32,2,FALSE),IF(D165=OBJECTIFS!$C$49,VLOOKUP(F165,OBJECTIFS!$C$37:$D$39,2,FALSE))))))))</f>
        <v/>
      </c>
      <c r="J165" s="25"/>
      <c r="K165" s="90" t="str">
        <f>IF(OR($A165="",$D165="",J165=""),"",SUMIFS(OBJECTIFS!E$9:E$39,OBJECTIFS!$A$9:$A$39,$D165,OBJECTIFS!$C$9:$C$39,$F165))</f>
        <v/>
      </c>
      <c r="L165" s="90" t="str">
        <f>IF(OR(AND($D165=OBJECTIFS!$B$6,OBJECTIFS!E$8="dmt"),AND($D165=OBJECTIFS!$B$13,OBJECTIFS!$E$15="dmt"),AND($D165=OBJECTIFS!$B$20,OBJECTIFS!$E$22="dmt"),AND($D165=OBJECTIFS!$B$27,OBJECTIFS!$E$29="dmt"),AND($D165=OBJECTIFS!$B$34,OBJECTIFS!$E$36="dmt"),AND($D165=OBJECTIFS!$B$6,OBJECTIFS!$E$8="taux de chute"),AND($D165=OBJECTIFS!$B$13,OBJECTIFS!$E$15="taux de chute"),AND($D165=OBJECTIFS!$B$20,OBJECTIFS!$E$22="taux de chute"),AND($D165=OBJECTIFS!$B$27,OBJECTIFS!$E$29="taux de chute"),AND($D165=OBJECTIFS!$B$34,OBJECTIFS!$E$36="taux de chute")),IFERROR(K165/J165,""),IFERROR(J165/K165,""))</f>
        <v/>
      </c>
      <c r="M165" s="91">
        <f>IFERROR(IF(OR(J165="",K165="",L165=""),0,IF(L165&lt;OBJECTIFS!$E$56,0,IF(L165&lt;OBJECTIFS!$G$56,M$8*OBJECTIFS!$F$60,IF(L165&lt;OBJECTIFS!$I$56,M$8*OBJECTIFS!$H$60,M$8)))),0)</f>
        <v>0</v>
      </c>
      <c r="N165" s="161"/>
      <c r="O165" s="92" t="str">
        <f>IF(OR($A165="",$D165="",N165=""),"",SUMIFS(OBJECTIFS!F$9:F$39,OBJECTIFS!$A$9:$A$39,$D165,OBJECTIFS!$C$9:$C$39,$F165))</f>
        <v/>
      </c>
      <c r="P165" s="90" t="str">
        <f>IF(OR(AND($D165=OBJECTIFS!$B$6,OBJECTIFS!$F$8="dmt"),AND($D165=OBJECTIFS!$B$13,OBJECTIFS!$F$15="dmt"),AND($D165=OBJECTIFS!$B$20,OBJECTIFS!$F$22="dmt"),AND($D165=OBJECTIFS!$B$27,OBJECTIFS!$F$29="dmt"),AND($D165=OBJECTIFS!$B$34,OBJECTIFS!$F$36="dmt"),AND($D165=OBJECTIFS!$B$6,OBJECTIFS!$F$8="taux de chute"),AND($D165=OBJECTIFS!$B$13,OBJECTIFS!$F$15="taux de chute"),AND($D165=OBJECTIFS!$B$20,OBJECTIFS!$F$22="taux de chute"),AND($D165=OBJECTIFS!$B$27,OBJECTIFS!$F$29="taux de chute"),AND($D165=OBJECTIFS!$B$34,OBJECTIFS!$F$36="taux de chute")),IFERROR(O165/N165,""),IFERROR(N165/O165,""))</f>
        <v/>
      </c>
      <c r="Q165" s="91">
        <f>IFERROR(IF(OR(N165="",O165="",P165=""),0,IF(P165&lt;OBJECTIFS!$E$56,0,IF(P165&lt;OBJECTIFS!$G$56,Q$8*OBJECTIFS!$F$60,IF(P165&lt;OBJECTIFS!$I$56,Q$8*OBJECTIFS!$H$60,Q$8)))),0)</f>
        <v>0</v>
      </c>
      <c r="R165" s="164"/>
      <c r="S165" s="93" t="str">
        <f>IF(OR($A165="",$D165="",R165=""),"",SUMIFS(OBJECTIFS!G$9:G$39,OBJECTIFS!$A$9:$A$39,$D165,OBJECTIFS!$C$9:$C$39,$F165))</f>
        <v/>
      </c>
      <c r="T165" s="90" t="str">
        <f>IF(OR(AND($D165=OBJECTIFS!$B$6,OBJECTIFS!G$8="dmt"),AND($D165=OBJECTIFS!$B$13,OBJECTIFS!$G$15="dmt"),AND($D165=OBJECTIFS!$B$20,OBJECTIFS!$G$22="dmt"),AND($D165=OBJECTIFS!$B$27,OBJECTIFS!$G$29="dmt"),AND($D165=OBJECTIFS!$B$34,OBJECTIFS!$G$36="dmt"),AND($D165=OBJECTIFS!$B$6,OBJECTIFS!$G$8="taux de chute"),AND($D165=OBJECTIFS!$B$13,OBJECTIFS!$G$15="taux de chute"),AND($D165=OBJECTIFS!$B$20,OBJECTIFS!$G$22="taux de chute"),AND($D165=OBJECTIFS!$B$27,OBJECTIFS!$G$29="taux de chute"),AND($D165=OBJECTIFS!$B$34,OBJECTIFS!$G$36="taux de chute")),IFERROR(S165/R165,""),IFERROR(R165/S165,""))</f>
        <v/>
      </c>
      <c r="U165" s="94">
        <f>IFERROR(IF(OR(R165="",S165="",T165=""),0,IF(T165&lt;OBJECTIFS!$E$56,0,IF(T165&lt;OBJECTIFS!$G$56,U$8*OBJECTIFS!$F$60,IF(T165&lt;OBJECTIFS!$I$56,U$8*OBJECTIFS!$H$60,U$8)))),0)</f>
        <v>0</v>
      </c>
      <c r="V165" s="25"/>
      <c r="W165" s="90" t="str">
        <f>IF(OR($A165="",$D165="",V165=""),"",SUMIFS(OBJECTIFS!H$9:H$39,OBJECTIFS!$A$9:$A$39,$D165,OBJECTIFS!$C$9:$C$39,$F165))</f>
        <v/>
      </c>
      <c r="X165" s="90" t="str">
        <f>IF(OR(AND($D165=OBJECTIFS!$B$6,OBJECTIFS!H$8="dmt"),AND($D165=OBJECTIFS!$B$13,OBJECTIFS!$H$15="dmt"),AND($D165=OBJECTIFS!$B$20,OBJECTIFS!$H$22="dmt"),AND($D165=OBJECTIFS!$B$27,OBJECTIFS!$H$29="dmt"),AND($D165=OBJECTIFS!$B$34,OBJECTIFS!$H$36="dmt"),AND($D165=OBJECTIFS!$B$6,OBJECTIFS!$H$8="taux de chute"),AND($D165=OBJECTIFS!$B$13,OBJECTIFS!$H$15="taux de chute"),AND($D165=OBJECTIFS!$B$20,OBJECTIFS!$H$22="taux de chute"),AND($D165=OBJECTIFS!$B$27,OBJECTIFS!$H$29="taux de chute"),AND($D165=OBJECTIFS!$B$34,OBJECTIFS!$H$36="taux de chute")),IFERROR(W165/V165,""),IFERROR(V165/W165,""))</f>
        <v/>
      </c>
      <c r="Y165" s="91">
        <f>IFERROR(IF(OR(V165="",W165="",X165=""),0,IF(X165&lt;OBJECTIFS!$E$56,0,IF(X165&lt;OBJECTIFS!$G$56,Y$8*OBJECTIFS!$F$60,IF(X165&lt;OBJECTIFS!$I$56,Y$8*OBJECTIFS!$H$60,Y$8)))),0)</f>
        <v>0</v>
      </c>
      <c r="Z165" s="167"/>
      <c r="AA165" s="90" t="str">
        <f>IF(OR($A165="",$D165="",Z165=""),"",SUMIFS(OBJECTIFS!I$9:I$39,OBJECTIFS!$A$9:$A$39,$D165,OBJECTIFS!$C$9:$C$39,$F165))</f>
        <v/>
      </c>
      <c r="AB165" s="90" t="str">
        <f>IF(OR(AND($D165=OBJECTIFS!$B$6,OBJECTIFS!I$8="dmt"),AND($D165=OBJECTIFS!$B$13,OBJECTIFS!$I$15="dmt"),AND($D165=OBJECTIFS!$B$20,OBJECTIFS!$I$22="dmt"),AND($D165=OBJECTIFS!$B$27,OBJECTIFS!$I$29="dmt"),AND($D165=OBJECTIFS!$B$34,OBJECTIFS!$I$36="dmt"),AND($D165=OBJECTIFS!$B$6,OBJECTIFS!$I$8="taux de chute"),AND($D165=OBJECTIFS!$B$13,OBJECTIFS!$I$15="taux de chute"),AND($D165=OBJECTIFS!$B$20,OBJECTIFS!$I$22="taux de chute"),AND($D165=OBJECTIFS!$B$27,OBJECTIFS!$I$29="taux de chute"),AND($D165=OBJECTIFS!$B$34,OBJECTIFS!$I$36="taux de chute")),IFERROR(AA165/Z165,""),IFERROR(Z165/AA165,""))</f>
        <v/>
      </c>
      <c r="AC165" s="95">
        <f>IFERROR(IF(OR(Z165="",AA165="",AB165=""),0,IF(AB165&lt;OBJECTIFS!$E$56,0,IF(AB165&lt;OBJECTIFS!$G$56,AC$8*OBJECTIFS!$F$60,IF(AB165&lt;OBJECTIFS!$I$56,AC$8*OBJECTIFS!$H$60,AC$8)))),0)</f>
        <v>0</v>
      </c>
      <c r="AD165" s="281"/>
      <c r="AE165" s="282"/>
      <c r="AF165" s="96">
        <f t="shared" ca="1" si="29"/>
        <v>0</v>
      </c>
      <c r="AG165" s="63"/>
      <c r="AH165" s="172"/>
      <c r="AI165" s="24"/>
      <c r="AJ165" s="24"/>
      <c r="AK165" s="24"/>
      <c r="AL165" s="24"/>
      <c r="AM165" s="79">
        <f t="shared" si="30"/>
        <v>0</v>
      </c>
      <c r="AN165" s="79">
        <v>22</v>
      </c>
      <c r="AO165" s="80">
        <f t="shared" si="31"/>
        <v>0</v>
      </c>
      <c r="AP165" s="81" t="str">
        <f t="shared" ca="1" si="32"/>
        <v/>
      </c>
      <c r="AQ165" s="82"/>
      <c r="AR165" s="97">
        <f>IFERROR(VLOOKUP(B165,OBJECTIFS!$C$76:$E$137,2,FALSE),0)</f>
        <v>0</v>
      </c>
      <c r="AS165" s="98">
        <f>IFERROR(VLOOKUP(B165,OBJECTIFS!$H$76:$J$137,2,FALSE),0)</f>
        <v>0</v>
      </c>
      <c r="AT165" s="98">
        <f>IFERROR(VLOOKUP(B165,OBJECTIFS!$C$142:$E$203,2,FALSE),0)</f>
        <v>0</v>
      </c>
      <c r="AU165" s="98">
        <f>IFERROR(VLOOKUP(B165,OBJECTIFS!$H$142:$J$203,2,FALSE),0)</f>
        <v>0</v>
      </c>
      <c r="AV165" s="98">
        <f>IFERROR(VLOOKUP(B165,OBJECTIFS!$F$208:$H$269,3,FALSE),0)</f>
        <v>0</v>
      </c>
      <c r="AW165" s="81">
        <f t="shared" si="33"/>
        <v>0</v>
      </c>
      <c r="AX165" s="82"/>
      <c r="AY165" s="99" t="str">
        <f t="shared" ca="1" si="34"/>
        <v/>
      </c>
      <c r="AZ165" s="63"/>
      <c r="BA165" s="100">
        <f t="shared" ca="1" si="35"/>
        <v>0</v>
      </c>
      <c r="BB165" s="64" t="str">
        <f t="shared" ca="1" si="36"/>
        <v/>
      </c>
      <c r="BC165" s="101" t="str">
        <f t="shared" ca="1" si="37"/>
        <v/>
      </c>
    </row>
    <row r="166" spans="1:55" x14ac:dyDescent="0.2">
      <c r="A166" s="21"/>
      <c r="B166" s="22"/>
      <c r="C166" s="22"/>
      <c r="D166" s="23"/>
      <c r="E166" s="24"/>
      <c r="F166" s="34"/>
      <c r="H166" s="89" t="str">
        <f>IF(OR(D166="",F166="",A166=""),"",IF(E166="oui",0,IF(D166=OBJECTIFS!$C$45,VLOOKUP(F166,OBJECTIFS!$C$9:$D$11,2,FALSE),IF(D166=OBJECTIFS!$C$46,VLOOKUP(F166,OBJECTIFS!$C$16:$D$18,2,FALSE),IF(D166=OBJECTIFS!$C$47,VLOOKUP(F166,OBJECTIFS!$C$23:$D$25,2,FALSE),IF(D166=OBJECTIFS!$C$48,VLOOKUP(F166,OBJECTIFS!$C$30:$D$32,2,FALSE),IF(D166=OBJECTIFS!$C$49,VLOOKUP(F166,OBJECTIFS!$C$37:$D$39,2,FALSE))))))))</f>
        <v/>
      </c>
      <c r="J166" s="25"/>
      <c r="K166" s="90" t="str">
        <f>IF(OR($A166="",$D166="",J166=""),"",SUMIFS(OBJECTIFS!E$9:E$39,OBJECTIFS!$A$9:$A$39,$D166,OBJECTIFS!$C$9:$C$39,$F166))</f>
        <v/>
      </c>
      <c r="L166" s="90" t="str">
        <f>IF(OR(AND($D166=OBJECTIFS!$B$6,OBJECTIFS!E$8="dmt"),AND($D166=OBJECTIFS!$B$13,OBJECTIFS!$E$15="dmt"),AND($D166=OBJECTIFS!$B$20,OBJECTIFS!$E$22="dmt"),AND($D166=OBJECTIFS!$B$27,OBJECTIFS!$E$29="dmt"),AND($D166=OBJECTIFS!$B$34,OBJECTIFS!$E$36="dmt"),AND($D166=OBJECTIFS!$B$6,OBJECTIFS!$E$8="taux de chute"),AND($D166=OBJECTIFS!$B$13,OBJECTIFS!$E$15="taux de chute"),AND($D166=OBJECTIFS!$B$20,OBJECTIFS!$E$22="taux de chute"),AND($D166=OBJECTIFS!$B$27,OBJECTIFS!$E$29="taux de chute"),AND($D166=OBJECTIFS!$B$34,OBJECTIFS!$E$36="taux de chute")),IFERROR(K166/J166,""),IFERROR(J166/K166,""))</f>
        <v/>
      </c>
      <c r="M166" s="91">
        <f>IFERROR(IF(OR(J166="",K166="",L166=""),0,IF(L166&lt;OBJECTIFS!$E$56,0,IF(L166&lt;OBJECTIFS!$G$56,M$8*OBJECTIFS!$F$60,IF(L166&lt;OBJECTIFS!$I$56,M$8*OBJECTIFS!$H$60,M$8)))),0)</f>
        <v>0</v>
      </c>
      <c r="N166" s="161"/>
      <c r="O166" s="92" t="str">
        <f>IF(OR($A166="",$D166="",N166=""),"",SUMIFS(OBJECTIFS!F$9:F$39,OBJECTIFS!$A$9:$A$39,$D166,OBJECTIFS!$C$9:$C$39,$F166))</f>
        <v/>
      </c>
      <c r="P166" s="90" t="str">
        <f>IF(OR(AND($D166=OBJECTIFS!$B$6,OBJECTIFS!$F$8="dmt"),AND($D166=OBJECTIFS!$B$13,OBJECTIFS!$F$15="dmt"),AND($D166=OBJECTIFS!$B$20,OBJECTIFS!$F$22="dmt"),AND($D166=OBJECTIFS!$B$27,OBJECTIFS!$F$29="dmt"),AND($D166=OBJECTIFS!$B$34,OBJECTIFS!$F$36="dmt"),AND($D166=OBJECTIFS!$B$6,OBJECTIFS!$F$8="taux de chute"),AND($D166=OBJECTIFS!$B$13,OBJECTIFS!$F$15="taux de chute"),AND($D166=OBJECTIFS!$B$20,OBJECTIFS!$F$22="taux de chute"),AND($D166=OBJECTIFS!$B$27,OBJECTIFS!$F$29="taux de chute"),AND($D166=OBJECTIFS!$B$34,OBJECTIFS!$F$36="taux de chute")),IFERROR(O166/N166,""),IFERROR(N166/O166,""))</f>
        <v/>
      </c>
      <c r="Q166" s="91">
        <f>IFERROR(IF(OR(N166="",O166="",P166=""),0,IF(P166&lt;OBJECTIFS!$E$56,0,IF(P166&lt;OBJECTIFS!$G$56,Q$8*OBJECTIFS!$F$60,IF(P166&lt;OBJECTIFS!$I$56,Q$8*OBJECTIFS!$H$60,Q$8)))),0)</f>
        <v>0</v>
      </c>
      <c r="R166" s="164"/>
      <c r="S166" s="93" t="str">
        <f>IF(OR($A166="",$D166="",R166=""),"",SUMIFS(OBJECTIFS!G$9:G$39,OBJECTIFS!$A$9:$A$39,$D166,OBJECTIFS!$C$9:$C$39,$F166))</f>
        <v/>
      </c>
      <c r="T166" s="90" t="str">
        <f>IF(OR(AND($D166=OBJECTIFS!$B$6,OBJECTIFS!G$8="dmt"),AND($D166=OBJECTIFS!$B$13,OBJECTIFS!$G$15="dmt"),AND($D166=OBJECTIFS!$B$20,OBJECTIFS!$G$22="dmt"),AND($D166=OBJECTIFS!$B$27,OBJECTIFS!$G$29="dmt"),AND($D166=OBJECTIFS!$B$34,OBJECTIFS!$G$36="dmt"),AND($D166=OBJECTIFS!$B$6,OBJECTIFS!$G$8="taux de chute"),AND($D166=OBJECTIFS!$B$13,OBJECTIFS!$G$15="taux de chute"),AND($D166=OBJECTIFS!$B$20,OBJECTIFS!$G$22="taux de chute"),AND($D166=OBJECTIFS!$B$27,OBJECTIFS!$G$29="taux de chute"),AND($D166=OBJECTIFS!$B$34,OBJECTIFS!$G$36="taux de chute")),IFERROR(S166/R166,""),IFERROR(R166/S166,""))</f>
        <v/>
      </c>
      <c r="U166" s="94">
        <f>IFERROR(IF(OR(R166="",S166="",T166=""),0,IF(T166&lt;OBJECTIFS!$E$56,0,IF(T166&lt;OBJECTIFS!$G$56,U$8*OBJECTIFS!$F$60,IF(T166&lt;OBJECTIFS!$I$56,U$8*OBJECTIFS!$H$60,U$8)))),0)</f>
        <v>0</v>
      </c>
      <c r="V166" s="25"/>
      <c r="W166" s="90" t="str">
        <f>IF(OR($A166="",$D166="",V166=""),"",SUMIFS(OBJECTIFS!H$9:H$39,OBJECTIFS!$A$9:$A$39,$D166,OBJECTIFS!$C$9:$C$39,$F166))</f>
        <v/>
      </c>
      <c r="X166" s="90" t="str">
        <f>IF(OR(AND($D166=OBJECTIFS!$B$6,OBJECTIFS!H$8="dmt"),AND($D166=OBJECTIFS!$B$13,OBJECTIFS!$H$15="dmt"),AND($D166=OBJECTIFS!$B$20,OBJECTIFS!$H$22="dmt"),AND($D166=OBJECTIFS!$B$27,OBJECTIFS!$H$29="dmt"),AND($D166=OBJECTIFS!$B$34,OBJECTIFS!$H$36="dmt"),AND($D166=OBJECTIFS!$B$6,OBJECTIFS!$H$8="taux de chute"),AND($D166=OBJECTIFS!$B$13,OBJECTIFS!$H$15="taux de chute"),AND($D166=OBJECTIFS!$B$20,OBJECTIFS!$H$22="taux de chute"),AND($D166=OBJECTIFS!$B$27,OBJECTIFS!$H$29="taux de chute"),AND($D166=OBJECTIFS!$B$34,OBJECTIFS!$H$36="taux de chute")),IFERROR(W166/V166,""),IFERROR(V166/W166,""))</f>
        <v/>
      </c>
      <c r="Y166" s="91">
        <f>IFERROR(IF(OR(V166="",W166="",X166=""),0,IF(X166&lt;OBJECTIFS!$E$56,0,IF(X166&lt;OBJECTIFS!$G$56,Y$8*OBJECTIFS!$F$60,IF(X166&lt;OBJECTIFS!$I$56,Y$8*OBJECTIFS!$H$60,Y$8)))),0)</f>
        <v>0</v>
      </c>
      <c r="Z166" s="167"/>
      <c r="AA166" s="90" t="str">
        <f>IF(OR($A166="",$D166="",Z166=""),"",SUMIFS(OBJECTIFS!I$9:I$39,OBJECTIFS!$A$9:$A$39,$D166,OBJECTIFS!$C$9:$C$39,$F166))</f>
        <v/>
      </c>
      <c r="AB166" s="90" t="str">
        <f>IF(OR(AND($D166=OBJECTIFS!$B$6,OBJECTIFS!I$8="dmt"),AND($D166=OBJECTIFS!$B$13,OBJECTIFS!$I$15="dmt"),AND($D166=OBJECTIFS!$B$20,OBJECTIFS!$I$22="dmt"),AND($D166=OBJECTIFS!$B$27,OBJECTIFS!$I$29="dmt"),AND($D166=OBJECTIFS!$B$34,OBJECTIFS!$I$36="dmt"),AND($D166=OBJECTIFS!$B$6,OBJECTIFS!$I$8="taux de chute"),AND($D166=OBJECTIFS!$B$13,OBJECTIFS!$I$15="taux de chute"),AND($D166=OBJECTIFS!$B$20,OBJECTIFS!$I$22="taux de chute"),AND($D166=OBJECTIFS!$B$27,OBJECTIFS!$I$29="taux de chute"),AND($D166=OBJECTIFS!$B$34,OBJECTIFS!$I$36="taux de chute")),IFERROR(AA166/Z166,""),IFERROR(Z166/AA166,""))</f>
        <v/>
      </c>
      <c r="AC166" s="95">
        <f>IFERROR(IF(OR(Z166="",AA166="",AB166=""),0,IF(AB166&lt;OBJECTIFS!$E$56,0,IF(AB166&lt;OBJECTIFS!$G$56,AC$8*OBJECTIFS!$F$60,IF(AB166&lt;OBJECTIFS!$I$56,AC$8*OBJECTIFS!$H$60,AC$8)))),0)</f>
        <v>0</v>
      </c>
      <c r="AD166" s="281"/>
      <c r="AE166" s="282"/>
      <c r="AF166" s="96">
        <f t="shared" ca="1" si="29"/>
        <v>0</v>
      </c>
      <c r="AG166" s="63"/>
      <c r="AH166" s="172"/>
      <c r="AI166" s="24"/>
      <c r="AJ166" s="24"/>
      <c r="AK166" s="24"/>
      <c r="AL166" s="24"/>
      <c r="AM166" s="79">
        <f t="shared" si="30"/>
        <v>0</v>
      </c>
      <c r="AN166" s="79">
        <v>22</v>
      </c>
      <c r="AO166" s="80">
        <f t="shared" si="31"/>
        <v>0</v>
      </c>
      <c r="AP166" s="81" t="str">
        <f t="shared" ca="1" si="32"/>
        <v/>
      </c>
      <c r="AQ166" s="82"/>
      <c r="AR166" s="97">
        <f>IFERROR(VLOOKUP(B166,OBJECTIFS!$C$76:$E$137,2,FALSE),0)</f>
        <v>0</v>
      </c>
      <c r="AS166" s="98">
        <f>IFERROR(VLOOKUP(B166,OBJECTIFS!$H$76:$J$137,2,FALSE),0)</f>
        <v>0</v>
      </c>
      <c r="AT166" s="98">
        <f>IFERROR(VLOOKUP(B166,OBJECTIFS!$C$142:$E$203,2,FALSE),0)</f>
        <v>0</v>
      </c>
      <c r="AU166" s="98">
        <f>IFERROR(VLOOKUP(B166,OBJECTIFS!$H$142:$J$203,2,FALSE),0)</f>
        <v>0</v>
      </c>
      <c r="AV166" s="98">
        <f>IFERROR(VLOOKUP(B166,OBJECTIFS!$F$208:$H$269,3,FALSE),0)</f>
        <v>0</v>
      </c>
      <c r="AW166" s="81">
        <f t="shared" si="33"/>
        <v>0</v>
      </c>
      <c r="AX166" s="82"/>
      <c r="AY166" s="99" t="str">
        <f t="shared" ca="1" si="34"/>
        <v/>
      </c>
      <c r="AZ166" s="63"/>
      <c r="BA166" s="100">
        <f t="shared" ca="1" si="35"/>
        <v>0</v>
      </c>
      <c r="BB166" s="64" t="str">
        <f t="shared" ca="1" si="36"/>
        <v/>
      </c>
      <c r="BC166" s="101" t="str">
        <f t="shared" ca="1" si="37"/>
        <v/>
      </c>
    </row>
    <row r="167" spans="1:55" x14ac:dyDescent="0.2">
      <c r="A167" s="21"/>
      <c r="B167" s="22"/>
      <c r="C167" s="22"/>
      <c r="D167" s="23"/>
      <c r="E167" s="24"/>
      <c r="F167" s="34"/>
      <c r="H167" s="89" t="str">
        <f>IF(OR(D167="",F167="",A167=""),"",IF(E167="oui",0,IF(D167=OBJECTIFS!$C$45,VLOOKUP(F167,OBJECTIFS!$C$9:$D$11,2,FALSE),IF(D167=OBJECTIFS!$C$46,VLOOKUP(F167,OBJECTIFS!$C$16:$D$18,2,FALSE),IF(D167=OBJECTIFS!$C$47,VLOOKUP(F167,OBJECTIFS!$C$23:$D$25,2,FALSE),IF(D167=OBJECTIFS!$C$48,VLOOKUP(F167,OBJECTIFS!$C$30:$D$32,2,FALSE),IF(D167=OBJECTIFS!$C$49,VLOOKUP(F167,OBJECTIFS!$C$37:$D$39,2,FALSE))))))))</f>
        <v/>
      </c>
      <c r="J167" s="25"/>
      <c r="K167" s="90" t="str">
        <f>IF(OR($A167="",$D167="",J167=""),"",SUMIFS(OBJECTIFS!E$9:E$39,OBJECTIFS!$A$9:$A$39,$D167,OBJECTIFS!$C$9:$C$39,$F167))</f>
        <v/>
      </c>
      <c r="L167" s="90" t="str">
        <f>IF(OR(AND($D167=OBJECTIFS!$B$6,OBJECTIFS!E$8="dmt"),AND($D167=OBJECTIFS!$B$13,OBJECTIFS!$E$15="dmt"),AND($D167=OBJECTIFS!$B$20,OBJECTIFS!$E$22="dmt"),AND($D167=OBJECTIFS!$B$27,OBJECTIFS!$E$29="dmt"),AND($D167=OBJECTIFS!$B$34,OBJECTIFS!$E$36="dmt"),AND($D167=OBJECTIFS!$B$6,OBJECTIFS!$E$8="taux de chute"),AND($D167=OBJECTIFS!$B$13,OBJECTIFS!$E$15="taux de chute"),AND($D167=OBJECTIFS!$B$20,OBJECTIFS!$E$22="taux de chute"),AND($D167=OBJECTIFS!$B$27,OBJECTIFS!$E$29="taux de chute"),AND($D167=OBJECTIFS!$B$34,OBJECTIFS!$E$36="taux de chute")),IFERROR(K167/J167,""),IFERROR(J167/K167,""))</f>
        <v/>
      </c>
      <c r="M167" s="91">
        <f>IFERROR(IF(OR(J167="",K167="",L167=""),0,IF(L167&lt;OBJECTIFS!$E$56,0,IF(L167&lt;OBJECTIFS!$G$56,M$8*OBJECTIFS!$F$60,IF(L167&lt;OBJECTIFS!$I$56,M$8*OBJECTIFS!$H$60,M$8)))),0)</f>
        <v>0</v>
      </c>
      <c r="N167" s="161"/>
      <c r="O167" s="92" t="str">
        <f>IF(OR($A167="",$D167="",N167=""),"",SUMIFS(OBJECTIFS!F$9:F$39,OBJECTIFS!$A$9:$A$39,$D167,OBJECTIFS!$C$9:$C$39,$F167))</f>
        <v/>
      </c>
      <c r="P167" s="90" t="str">
        <f>IF(OR(AND($D167=OBJECTIFS!$B$6,OBJECTIFS!$F$8="dmt"),AND($D167=OBJECTIFS!$B$13,OBJECTIFS!$F$15="dmt"),AND($D167=OBJECTIFS!$B$20,OBJECTIFS!$F$22="dmt"),AND($D167=OBJECTIFS!$B$27,OBJECTIFS!$F$29="dmt"),AND($D167=OBJECTIFS!$B$34,OBJECTIFS!$F$36="dmt"),AND($D167=OBJECTIFS!$B$6,OBJECTIFS!$F$8="taux de chute"),AND($D167=OBJECTIFS!$B$13,OBJECTIFS!$F$15="taux de chute"),AND($D167=OBJECTIFS!$B$20,OBJECTIFS!$F$22="taux de chute"),AND($D167=OBJECTIFS!$B$27,OBJECTIFS!$F$29="taux de chute"),AND($D167=OBJECTIFS!$B$34,OBJECTIFS!$F$36="taux de chute")),IFERROR(O167/N167,""),IFERROR(N167/O167,""))</f>
        <v/>
      </c>
      <c r="Q167" s="91">
        <f>IFERROR(IF(OR(N167="",O167="",P167=""),0,IF(P167&lt;OBJECTIFS!$E$56,0,IF(P167&lt;OBJECTIFS!$G$56,Q$8*OBJECTIFS!$F$60,IF(P167&lt;OBJECTIFS!$I$56,Q$8*OBJECTIFS!$H$60,Q$8)))),0)</f>
        <v>0</v>
      </c>
      <c r="R167" s="164"/>
      <c r="S167" s="93" t="str">
        <f>IF(OR($A167="",$D167="",R167=""),"",SUMIFS(OBJECTIFS!G$9:G$39,OBJECTIFS!$A$9:$A$39,$D167,OBJECTIFS!$C$9:$C$39,$F167))</f>
        <v/>
      </c>
      <c r="T167" s="90" t="str">
        <f>IF(OR(AND($D167=OBJECTIFS!$B$6,OBJECTIFS!G$8="dmt"),AND($D167=OBJECTIFS!$B$13,OBJECTIFS!$G$15="dmt"),AND($D167=OBJECTIFS!$B$20,OBJECTIFS!$G$22="dmt"),AND($D167=OBJECTIFS!$B$27,OBJECTIFS!$G$29="dmt"),AND($D167=OBJECTIFS!$B$34,OBJECTIFS!$G$36="dmt"),AND($D167=OBJECTIFS!$B$6,OBJECTIFS!$G$8="taux de chute"),AND($D167=OBJECTIFS!$B$13,OBJECTIFS!$G$15="taux de chute"),AND($D167=OBJECTIFS!$B$20,OBJECTIFS!$G$22="taux de chute"),AND($D167=OBJECTIFS!$B$27,OBJECTIFS!$G$29="taux de chute"),AND($D167=OBJECTIFS!$B$34,OBJECTIFS!$G$36="taux de chute")),IFERROR(S167/R167,""),IFERROR(R167/S167,""))</f>
        <v/>
      </c>
      <c r="U167" s="94">
        <f>IFERROR(IF(OR(R167="",S167="",T167=""),0,IF(T167&lt;OBJECTIFS!$E$56,0,IF(T167&lt;OBJECTIFS!$G$56,U$8*OBJECTIFS!$F$60,IF(T167&lt;OBJECTIFS!$I$56,U$8*OBJECTIFS!$H$60,U$8)))),0)</f>
        <v>0</v>
      </c>
      <c r="V167" s="25"/>
      <c r="W167" s="90" t="str">
        <f>IF(OR($A167="",$D167="",V167=""),"",SUMIFS(OBJECTIFS!H$9:H$39,OBJECTIFS!$A$9:$A$39,$D167,OBJECTIFS!$C$9:$C$39,$F167))</f>
        <v/>
      </c>
      <c r="X167" s="90" t="str">
        <f>IF(OR(AND($D167=OBJECTIFS!$B$6,OBJECTIFS!H$8="dmt"),AND($D167=OBJECTIFS!$B$13,OBJECTIFS!$H$15="dmt"),AND($D167=OBJECTIFS!$B$20,OBJECTIFS!$H$22="dmt"),AND($D167=OBJECTIFS!$B$27,OBJECTIFS!$H$29="dmt"),AND($D167=OBJECTIFS!$B$34,OBJECTIFS!$H$36="dmt"),AND($D167=OBJECTIFS!$B$6,OBJECTIFS!$H$8="taux de chute"),AND($D167=OBJECTIFS!$B$13,OBJECTIFS!$H$15="taux de chute"),AND($D167=OBJECTIFS!$B$20,OBJECTIFS!$H$22="taux de chute"),AND($D167=OBJECTIFS!$B$27,OBJECTIFS!$H$29="taux de chute"),AND($D167=OBJECTIFS!$B$34,OBJECTIFS!$H$36="taux de chute")),IFERROR(W167/V167,""),IFERROR(V167/W167,""))</f>
        <v/>
      </c>
      <c r="Y167" s="91">
        <f>IFERROR(IF(OR(V167="",W167="",X167=""),0,IF(X167&lt;OBJECTIFS!$E$56,0,IF(X167&lt;OBJECTIFS!$G$56,Y$8*OBJECTIFS!$F$60,IF(X167&lt;OBJECTIFS!$I$56,Y$8*OBJECTIFS!$H$60,Y$8)))),0)</f>
        <v>0</v>
      </c>
      <c r="Z167" s="167"/>
      <c r="AA167" s="90" t="str">
        <f>IF(OR($A167="",$D167="",Z167=""),"",SUMIFS(OBJECTIFS!I$9:I$39,OBJECTIFS!$A$9:$A$39,$D167,OBJECTIFS!$C$9:$C$39,$F167))</f>
        <v/>
      </c>
      <c r="AB167" s="90" t="str">
        <f>IF(OR(AND($D167=OBJECTIFS!$B$6,OBJECTIFS!I$8="dmt"),AND($D167=OBJECTIFS!$B$13,OBJECTIFS!$I$15="dmt"),AND($D167=OBJECTIFS!$B$20,OBJECTIFS!$I$22="dmt"),AND($D167=OBJECTIFS!$B$27,OBJECTIFS!$I$29="dmt"),AND($D167=OBJECTIFS!$B$34,OBJECTIFS!$I$36="dmt"),AND($D167=OBJECTIFS!$B$6,OBJECTIFS!$I$8="taux de chute"),AND($D167=OBJECTIFS!$B$13,OBJECTIFS!$I$15="taux de chute"),AND($D167=OBJECTIFS!$B$20,OBJECTIFS!$I$22="taux de chute"),AND($D167=OBJECTIFS!$B$27,OBJECTIFS!$I$29="taux de chute"),AND($D167=OBJECTIFS!$B$34,OBJECTIFS!$I$36="taux de chute")),IFERROR(AA167/Z167,""),IFERROR(Z167/AA167,""))</f>
        <v/>
      </c>
      <c r="AC167" s="95">
        <f>IFERROR(IF(OR(Z167="",AA167="",AB167=""),0,IF(AB167&lt;OBJECTIFS!$E$56,0,IF(AB167&lt;OBJECTIFS!$G$56,AC$8*OBJECTIFS!$F$60,IF(AB167&lt;OBJECTIFS!$I$56,AC$8*OBJECTIFS!$H$60,AC$8)))),0)</f>
        <v>0</v>
      </c>
      <c r="AD167" s="281"/>
      <c r="AE167" s="282"/>
      <c r="AF167" s="96">
        <f t="shared" ca="1" si="29"/>
        <v>0</v>
      </c>
      <c r="AG167" s="63"/>
      <c r="AH167" s="172"/>
      <c r="AI167" s="24"/>
      <c r="AJ167" s="24"/>
      <c r="AK167" s="24"/>
      <c r="AL167" s="24"/>
      <c r="AM167" s="79">
        <f t="shared" si="30"/>
        <v>0</v>
      </c>
      <c r="AN167" s="79">
        <v>22</v>
      </c>
      <c r="AO167" s="80">
        <f t="shared" si="31"/>
        <v>0</v>
      </c>
      <c r="AP167" s="81" t="str">
        <f t="shared" ca="1" si="32"/>
        <v/>
      </c>
      <c r="AQ167" s="82"/>
      <c r="AR167" s="97">
        <f>IFERROR(VLOOKUP(B167,OBJECTIFS!$C$76:$E$137,2,FALSE),0)</f>
        <v>0</v>
      </c>
      <c r="AS167" s="98">
        <f>IFERROR(VLOOKUP(B167,OBJECTIFS!$H$76:$J$137,2,FALSE),0)</f>
        <v>0</v>
      </c>
      <c r="AT167" s="98">
        <f>IFERROR(VLOOKUP(B167,OBJECTIFS!$C$142:$E$203,2,FALSE),0)</f>
        <v>0</v>
      </c>
      <c r="AU167" s="98">
        <f>IFERROR(VLOOKUP(B167,OBJECTIFS!$H$142:$J$203,2,FALSE),0)</f>
        <v>0</v>
      </c>
      <c r="AV167" s="98">
        <f>IFERROR(VLOOKUP(B167,OBJECTIFS!$F$208:$H$269,3,FALSE),0)</f>
        <v>0</v>
      </c>
      <c r="AW167" s="81">
        <f t="shared" si="33"/>
        <v>0</v>
      </c>
      <c r="AX167" s="82"/>
      <c r="AY167" s="99" t="str">
        <f t="shared" ca="1" si="34"/>
        <v/>
      </c>
      <c r="AZ167" s="63"/>
      <c r="BA167" s="100">
        <f t="shared" ca="1" si="35"/>
        <v>0</v>
      </c>
      <c r="BB167" s="64" t="str">
        <f t="shared" ca="1" si="36"/>
        <v/>
      </c>
      <c r="BC167" s="101" t="str">
        <f t="shared" ca="1" si="37"/>
        <v/>
      </c>
    </row>
    <row r="168" spans="1:55" x14ac:dyDescent="0.2">
      <c r="A168" s="21"/>
      <c r="B168" s="22"/>
      <c r="C168" s="22"/>
      <c r="D168" s="23"/>
      <c r="E168" s="24"/>
      <c r="F168" s="34"/>
      <c r="H168" s="89" t="str">
        <f>IF(OR(D168="",F168="",A168=""),"",IF(E168="oui",0,IF(D168=OBJECTIFS!$C$45,VLOOKUP(F168,OBJECTIFS!$C$9:$D$11,2,FALSE),IF(D168=OBJECTIFS!$C$46,VLOOKUP(F168,OBJECTIFS!$C$16:$D$18,2,FALSE),IF(D168=OBJECTIFS!$C$47,VLOOKUP(F168,OBJECTIFS!$C$23:$D$25,2,FALSE),IF(D168=OBJECTIFS!$C$48,VLOOKUP(F168,OBJECTIFS!$C$30:$D$32,2,FALSE),IF(D168=OBJECTIFS!$C$49,VLOOKUP(F168,OBJECTIFS!$C$37:$D$39,2,FALSE))))))))</f>
        <v/>
      </c>
      <c r="J168" s="25"/>
      <c r="K168" s="90" t="str">
        <f>IF(OR($A168="",$D168="",J168=""),"",SUMIFS(OBJECTIFS!E$9:E$39,OBJECTIFS!$A$9:$A$39,$D168,OBJECTIFS!$C$9:$C$39,$F168))</f>
        <v/>
      </c>
      <c r="L168" s="90" t="str">
        <f>IF(OR(AND($D168=OBJECTIFS!$B$6,OBJECTIFS!E$8="dmt"),AND($D168=OBJECTIFS!$B$13,OBJECTIFS!$E$15="dmt"),AND($D168=OBJECTIFS!$B$20,OBJECTIFS!$E$22="dmt"),AND($D168=OBJECTIFS!$B$27,OBJECTIFS!$E$29="dmt"),AND($D168=OBJECTIFS!$B$34,OBJECTIFS!$E$36="dmt"),AND($D168=OBJECTIFS!$B$6,OBJECTIFS!$E$8="taux de chute"),AND($D168=OBJECTIFS!$B$13,OBJECTIFS!$E$15="taux de chute"),AND($D168=OBJECTIFS!$B$20,OBJECTIFS!$E$22="taux de chute"),AND($D168=OBJECTIFS!$B$27,OBJECTIFS!$E$29="taux de chute"),AND($D168=OBJECTIFS!$B$34,OBJECTIFS!$E$36="taux de chute")),IFERROR(K168/J168,""),IFERROR(J168/K168,""))</f>
        <v/>
      </c>
      <c r="M168" s="91">
        <f>IFERROR(IF(OR(J168="",K168="",L168=""),0,IF(L168&lt;OBJECTIFS!$E$56,0,IF(L168&lt;OBJECTIFS!$G$56,M$8*OBJECTIFS!$F$60,IF(L168&lt;OBJECTIFS!$I$56,M$8*OBJECTIFS!$H$60,M$8)))),0)</f>
        <v>0</v>
      </c>
      <c r="N168" s="161"/>
      <c r="O168" s="92" t="str">
        <f>IF(OR($A168="",$D168="",N168=""),"",SUMIFS(OBJECTIFS!F$9:F$39,OBJECTIFS!$A$9:$A$39,$D168,OBJECTIFS!$C$9:$C$39,$F168))</f>
        <v/>
      </c>
      <c r="P168" s="90" t="str">
        <f>IF(OR(AND($D168=OBJECTIFS!$B$6,OBJECTIFS!$F$8="dmt"),AND($D168=OBJECTIFS!$B$13,OBJECTIFS!$F$15="dmt"),AND($D168=OBJECTIFS!$B$20,OBJECTIFS!$F$22="dmt"),AND($D168=OBJECTIFS!$B$27,OBJECTIFS!$F$29="dmt"),AND($D168=OBJECTIFS!$B$34,OBJECTIFS!$F$36="dmt"),AND($D168=OBJECTIFS!$B$6,OBJECTIFS!$F$8="taux de chute"),AND($D168=OBJECTIFS!$B$13,OBJECTIFS!$F$15="taux de chute"),AND($D168=OBJECTIFS!$B$20,OBJECTIFS!$F$22="taux de chute"),AND($D168=OBJECTIFS!$B$27,OBJECTIFS!$F$29="taux de chute"),AND($D168=OBJECTIFS!$B$34,OBJECTIFS!$F$36="taux de chute")),IFERROR(O168/N168,""),IFERROR(N168/O168,""))</f>
        <v/>
      </c>
      <c r="Q168" s="91">
        <f>IFERROR(IF(OR(N168="",O168="",P168=""),0,IF(P168&lt;OBJECTIFS!$E$56,0,IF(P168&lt;OBJECTIFS!$G$56,Q$8*OBJECTIFS!$F$60,IF(P168&lt;OBJECTIFS!$I$56,Q$8*OBJECTIFS!$H$60,Q$8)))),0)</f>
        <v>0</v>
      </c>
      <c r="R168" s="164"/>
      <c r="S168" s="93" t="str">
        <f>IF(OR($A168="",$D168="",R168=""),"",SUMIFS(OBJECTIFS!G$9:G$39,OBJECTIFS!$A$9:$A$39,$D168,OBJECTIFS!$C$9:$C$39,$F168))</f>
        <v/>
      </c>
      <c r="T168" s="90" t="str">
        <f>IF(OR(AND($D168=OBJECTIFS!$B$6,OBJECTIFS!G$8="dmt"),AND($D168=OBJECTIFS!$B$13,OBJECTIFS!$G$15="dmt"),AND($D168=OBJECTIFS!$B$20,OBJECTIFS!$G$22="dmt"),AND($D168=OBJECTIFS!$B$27,OBJECTIFS!$G$29="dmt"),AND($D168=OBJECTIFS!$B$34,OBJECTIFS!$G$36="dmt"),AND($D168=OBJECTIFS!$B$6,OBJECTIFS!$G$8="taux de chute"),AND($D168=OBJECTIFS!$B$13,OBJECTIFS!$G$15="taux de chute"),AND($D168=OBJECTIFS!$B$20,OBJECTIFS!$G$22="taux de chute"),AND($D168=OBJECTIFS!$B$27,OBJECTIFS!$G$29="taux de chute"),AND($D168=OBJECTIFS!$B$34,OBJECTIFS!$G$36="taux de chute")),IFERROR(S168/R168,""),IFERROR(R168/S168,""))</f>
        <v/>
      </c>
      <c r="U168" s="94">
        <f>IFERROR(IF(OR(R168="",S168="",T168=""),0,IF(T168&lt;OBJECTIFS!$E$56,0,IF(T168&lt;OBJECTIFS!$G$56,U$8*OBJECTIFS!$F$60,IF(T168&lt;OBJECTIFS!$I$56,U$8*OBJECTIFS!$H$60,U$8)))),0)</f>
        <v>0</v>
      </c>
      <c r="V168" s="25"/>
      <c r="W168" s="90" t="str">
        <f>IF(OR($A168="",$D168="",V168=""),"",SUMIFS(OBJECTIFS!H$9:H$39,OBJECTIFS!$A$9:$A$39,$D168,OBJECTIFS!$C$9:$C$39,$F168))</f>
        <v/>
      </c>
      <c r="X168" s="90" t="str">
        <f>IF(OR(AND($D168=OBJECTIFS!$B$6,OBJECTIFS!H$8="dmt"),AND($D168=OBJECTIFS!$B$13,OBJECTIFS!$H$15="dmt"),AND($D168=OBJECTIFS!$B$20,OBJECTIFS!$H$22="dmt"),AND($D168=OBJECTIFS!$B$27,OBJECTIFS!$H$29="dmt"),AND($D168=OBJECTIFS!$B$34,OBJECTIFS!$H$36="dmt"),AND($D168=OBJECTIFS!$B$6,OBJECTIFS!$H$8="taux de chute"),AND($D168=OBJECTIFS!$B$13,OBJECTIFS!$H$15="taux de chute"),AND($D168=OBJECTIFS!$B$20,OBJECTIFS!$H$22="taux de chute"),AND($D168=OBJECTIFS!$B$27,OBJECTIFS!$H$29="taux de chute"),AND($D168=OBJECTIFS!$B$34,OBJECTIFS!$H$36="taux de chute")),IFERROR(W168/V168,""),IFERROR(V168/W168,""))</f>
        <v/>
      </c>
      <c r="Y168" s="91">
        <f>IFERROR(IF(OR(V168="",W168="",X168=""),0,IF(X168&lt;OBJECTIFS!$E$56,0,IF(X168&lt;OBJECTIFS!$G$56,Y$8*OBJECTIFS!$F$60,IF(X168&lt;OBJECTIFS!$I$56,Y$8*OBJECTIFS!$H$60,Y$8)))),0)</f>
        <v>0</v>
      </c>
      <c r="Z168" s="167"/>
      <c r="AA168" s="90" t="str">
        <f>IF(OR($A168="",$D168="",Z168=""),"",SUMIFS(OBJECTIFS!I$9:I$39,OBJECTIFS!$A$9:$A$39,$D168,OBJECTIFS!$C$9:$C$39,$F168))</f>
        <v/>
      </c>
      <c r="AB168" s="90" t="str">
        <f>IF(OR(AND($D168=OBJECTIFS!$B$6,OBJECTIFS!I$8="dmt"),AND($D168=OBJECTIFS!$B$13,OBJECTIFS!$I$15="dmt"),AND($D168=OBJECTIFS!$B$20,OBJECTIFS!$I$22="dmt"),AND($D168=OBJECTIFS!$B$27,OBJECTIFS!$I$29="dmt"),AND($D168=OBJECTIFS!$B$34,OBJECTIFS!$I$36="dmt"),AND($D168=OBJECTIFS!$B$6,OBJECTIFS!$I$8="taux de chute"),AND($D168=OBJECTIFS!$B$13,OBJECTIFS!$I$15="taux de chute"),AND($D168=OBJECTIFS!$B$20,OBJECTIFS!$I$22="taux de chute"),AND($D168=OBJECTIFS!$B$27,OBJECTIFS!$I$29="taux de chute"),AND($D168=OBJECTIFS!$B$34,OBJECTIFS!$I$36="taux de chute")),IFERROR(AA168/Z168,""),IFERROR(Z168/AA168,""))</f>
        <v/>
      </c>
      <c r="AC168" s="95">
        <f>IFERROR(IF(OR(Z168="",AA168="",AB168=""),0,IF(AB168&lt;OBJECTIFS!$E$56,0,IF(AB168&lt;OBJECTIFS!$G$56,AC$8*OBJECTIFS!$F$60,IF(AB168&lt;OBJECTIFS!$I$56,AC$8*OBJECTIFS!$H$60,AC$8)))),0)</f>
        <v>0</v>
      </c>
      <c r="AD168" s="281"/>
      <c r="AE168" s="282"/>
      <c r="AF168" s="96">
        <f t="shared" ca="1" si="29"/>
        <v>0</v>
      </c>
      <c r="AG168" s="63"/>
      <c r="AH168" s="172"/>
      <c r="AI168" s="24"/>
      <c r="AJ168" s="24"/>
      <c r="AK168" s="24"/>
      <c r="AL168" s="24"/>
      <c r="AM168" s="79">
        <f t="shared" si="30"/>
        <v>0</v>
      </c>
      <c r="AN168" s="79">
        <v>22</v>
      </c>
      <c r="AO168" s="80">
        <f t="shared" si="31"/>
        <v>0</v>
      </c>
      <c r="AP168" s="81" t="str">
        <f t="shared" ca="1" si="32"/>
        <v/>
      </c>
      <c r="AQ168" s="82"/>
      <c r="AR168" s="97">
        <f>IFERROR(VLOOKUP(B168,OBJECTIFS!$C$76:$E$137,2,FALSE),0)</f>
        <v>0</v>
      </c>
      <c r="AS168" s="98">
        <f>IFERROR(VLOOKUP(B168,OBJECTIFS!$H$76:$J$137,2,FALSE),0)</f>
        <v>0</v>
      </c>
      <c r="AT168" s="98">
        <f>IFERROR(VLOOKUP(B168,OBJECTIFS!$C$142:$E$203,2,FALSE),0)</f>
        <v>0</v>
      </c>
      <c r="AU168" s="98">
        <f>IFERROR(VLOOKUP(B168,OBJECTIFS!$H$142:$J$203,2,FALSE),0)</f>
        <v>0</v>
      </c>
      <c r="AV168" s="98">
        <f>IFERROR(VLOOKUP(B168,OBJECTIFS!$F$208:$H$269,3,FALSE),0)</f>
        <v>0</v>
      </c>
      <c r="AW168" s="81">
        <f t="shared" si="33"/>
        <v>0</v>
      </c>
      <c r="AX168" s="82"/>
      <c r="AY168" s="99" t="str">
        <f t="shared" ca="1" si="34"/>
        <v/>
      </c>
      <c r="AZ168" s="63"/>
      <c r="BA168" s="100">
        <f t="shared" ca="1" si="35"/>
        <v>0</v>
      </c>
      <c r="BB168" s="64" t="str">
        <f t="shared" ca="1" si="36"/>
        <v/>
      </c>
      <c r="BC168" s="101" t="str">
        <f t="shared" ca="1" si="37"/>
        <v/>
      </c>
    </row>
    <row r="169" spans="1:55" x14ac:dyDescent="0.2">
      <c r="A169" s="21"/>
      <c r="B169" s="22"/>
      <c r="C169" s="22"/>
      <c r="D169" s="23"/>
      <c r="E169" s="24"/>
      <c r="F169" s="34"/>
      <c r="H169" s="89" t="str">
        <f>IF(OR(D169="",F169="",A169=""),"",IF(E169="oui",0,IF(D169=OBJECTIFS!$C$45,VLOOKUP(F169,OBJECTIFS!$C$9:$D$11,2,FALSE),IF(D169=OBJECTIFS!$C$46,VLOOKUP(F169,OBJECTIFS!$C$16:$D$18,2,FALSE),IF(D169=OBJECTIFS!$C$47,VLOOKUP(F169,OBJECTIFS!$C$23:$D$25,2,FALSE),IF(D169=OBJECTIFS!$C$48,VLOOKUP(F169,OBJECTIFS!$C$30:$D$32,2,FALSE),IF(D169=OBJECTIFS!$C$49,VLOOKUP(F169,OBJECTIFS!$C$37:$D$39,2,FALSE))))))))</f>
        <v/>
      </c>
      <c r="J169" s="25"/>
      <c r="K169" s="90" t="str">
        <f>IF(OR($A169="",$D169="",J169=""),"",SUMIFS(OBJECTIFS!E$9:E$39,OBJECTIFS!$A$9:$A$39,$D169,OBJECTIFS!$C$9:$C$39,$F169))</f>
        <v/>
      </c>
      <c r="L169" s="90" t="str">
        <f>IF(OR(AND($D169=OBJECTIFS!$B$6,OBJECTIFS!E$8="dmt"),AND($D169=OBJECTIFS!$B$13,OBJECTIFS!$E$15="dmt"),AND($D169=OBJECTIFS!$B$20,OBJECTIFS!$E$22="dmt"),AND($D169=OBJECTIFS!$B$27,OBJECTIFS!$E$29="dmt"),AND($D169=OBJECTIFS!$B$34,OBJECTIFS!$E$36="dmt"),AND($D169=OBJECTIFS!$B$6,OBJECTIFS!$E$8="taux de chute"),AND($D169=OBJECTIFS!$B$13,OBJECTIFS!$E$15="taux de chute"),AND($D169=OBJECTIFS!$B$20,OBJECTIFS!$E$22="taux de chute"),AND($D169=OBJECTIFS!$B$27,OBJECTIFS!$E$29="taux de chute"),AND($D169=OBJECTIFS!$B$34,OBJECTIFS!$E$36="taux de chute")),IFERROR(K169/J169,""),IFERROR(J169/K169,""))</f>
        <v/>
      </c>
      <c r="M169" s="91">
        <f>IFERROR(IF(OR(J169="",K169="",L169=""),0,IF(L169&lt;OBJECTIFS!$E$56,0,IF(L169&lt;OBJECTIFS!$G$56,M$8*OBJECTIFS!$F$60,IF(L169&lt;OBJECTIFS!$I$56,M$8*OBJECTIFS!$H$60,M$8)))),0)</f>
        <v>0</v>
      </c>
      <c r="N169" s="161"/>
      <c r="O169" s="92" t="str">
        <f>IF(OR($A169="",$D169="",N169=""),"",SUMIFS(OBJECTIFS!F$9:F$39,OBJECTIFS!$A$9:$A$39,$D169,OBJECTIFS!$C$9:$C$39,$F169))</f>
        <v/>
      </c>
      <c r="P169" s="90" t="str">
        <f>IF(OR(AND($D169=OBJECTIFS!$B$6,OBJECTIFS!$F$8="dmt"),AND($D169=OBJECTIFS!$B$13,OBJECTIFS!$F$15="dmt"),AND($D169=OBJECTIFS!$B$20,OBJECTIFS!$F$22="dmt"),AND($D169=OBJECTIFS!$B$27,OBJECTIFS!$F$29="dmt"),AND($D169=OBJECTIFS!$B$34,OBJECTIFS!$F$36="dmt"),AND($D169=OBJECTIFS!$B$6,OBJECTIFS!$F$8="taux de chute"),AND($D169=OBJECTIFS!$B$13,OBJECTIFS!$F$15="taux de chute"),AND($D169=OBJECTIFS!$B$20,OBJECTIFS!$F$22="taux de chute"),AND($D169=OBJECTIFS!$B$27,OBJECTIFS!$F$29="taux de chute"),AND($D169=OBJECTIFS!$B$34,OBJECTIFS!$F$36="taux de chute")),IFERROR(O169/N169,""),IFERROR(N169/O169,""))</f>
        <v/>
      </c>
      <c r="Q169" s="91">
        <f>IFERROR(IF(OR(N169="",O169="",P169=""),0,IF(P169&lt;OBJECTIFS!$E$56,0,IF(P169&lt;OBJECTIFS!$G$56,Q$8*OBJECTIFS!$F$60,IF(P169&lt;OBJECTIFS!$I$56,Q$8*OBJECTIFS!$H$60,Q$8)))),0)</f>
        <v>0</v>
      </c>
      <c r="R169" s="164"/>
      <c r="S169" s="93" t="str">
        <f>IF(OR($A169="",$D169="",R169=""),"",SUMIFS(OBJECTIFS!G$9:G$39,OBJECTIFS!$A$9:$A$39,$D169,OBJECTIFS!$C$9:$C$39,$F169))</f>
        <v/>
      </c>
      <c r="T169" s="90" t="str">
        <f>IF(OR(AND($D169=OBJECTIFS!$B$6,OBJECTIFS!G$8="dmt"),AND($D169=OBJECTIFS!$B$13,OBJECTIFS!$G$15="dmt"),AND($D169=OBJECTIFS!$B$20,OBJECTIFS!$G$22="dmt"),AND($D169=OBJECTIFS!$B$27,OBJECTIFS!$G$29="dmt"),AND($D169=OBJECTIFS!$B$34,OBJECTIFS!$G$36="dmt"),AND($D169=OBJECTIFS!$B$6,OBJECTIFS!$G$8="taux de chute"),AND($D169=OBJECTIFS!$B$13,OBJECTIFS!$G$15="taux de chute"),AND($D169=OBJECTIFS!$B$20,OBJECTIFS!$G$22="taux de chute"),AND($D169=OBJECTIFS!$B$27,OBJECTIFS!$G$29="taux de chute"),AND($D169=OBJECTIFS!$B$34,OBJECTIFS!$G$36="taux de chute")),IFERROR(S169/R169,""),IFERROR(R169/S169,""))</f>
        <v/>
      </c>
      <c r="U169" s="94">
        <f>IFERROR(IF(OR(R169="",S169="",T169=""),0,IF(T169&lt;OBJECTIFS!$E$56,0,IF(T169&lt;OBJECTIFS!$G$56,U$8*OBJECTIFS!$F$60,IF(T169&lt;OBJECTIFS!$I$56,U$8*OBJECTIFS!$H$60,U$8)))),0)</f>
        <v>0</v>
      </c>
      <c r="V169" s="25"/>
      <c r="W169" s="90" t="str">
        <f>IF(OR($A169="",$D169="",V169=""),"",SUMIFS(OBJECTIFS!H$9:H$39,OBJECTIFS!$A$9:$A$39,$D169,OBJECTIFS!$C$9:$C$39,$F169))</f>
        <v/>
      </c>
      <c r="X169" s="90" t="str">
        <f>IF(OR(AND($D169=OBJECTIFS!$B$6,OBJECTIFS!H$8="dmt"),AND($D169=OBJECTIFS!$B$13,OBJECTIFS!$H$15="dmt"),AND($D169=OBJECTIFS!$B$20,OBJECTIFS!$H$22="dmt"),AND($D169=OBJECTIFS!$B$27,OBJECTIFS!$H$29="dmt"),AND($D169=OBJECTIFS!$B$34,OBJECTIFS!$H$36="dmt"),AND($D169=OBJECTIFS!$B$6,OBJECTIFS!$H$8="taux de chute"),AND($D169=OBJECTIFS!$B$13,OBJECTIFS!$H$15="taux de chute"),AND($D169=OBJECTIFS!$B$20,OBJECTIFS!$H$22="taux de chute"),AND($D169=OBJECTIFS!$B$27,OBJECTIFS!$H$29="taux de chute"),AND($D169=OBJECTIFS!$B$34,OBJECTIFS!$H$36="taux de chute")),IFERROR(W169/V169,""),IFERROR(V169/W169,""))</f>
        <v/>
      </c>
      <c r="Y169" s="91">
        <f>IFERROR(IF(OR(V169="",W169="",X169=""),0,IF(X169&lt;OBJECTIFS!$E$56,0,IF(X169&lt;OBJECTIFS!$G$56,Y$8*OBJECTIFS!$F$60,IF(X169&lt;OBJECTIFS!$I$56,Y$8*OBJECTIFS!$H$60,Y$8)))),0)</f>
        <v>0</v>
      </c>
      <c r="Z169" s="167"/>
      <c r="AA169" s="90" t="str">
        <f>IF(OR($A169="",$D169="",Z169=""),"",SUMIFS(OBJECTIFS!I$9:I$39,OBJECTIFS!$A$9:$A$39,$D169,OBJECTIFS!$C$9:$C$39,$F169))</f>
        <v/>
      </c>
      <c r="AB169" s="90" t="str">
        <f>IF(OR(AND($D169=OBJECTIFS!$B$6,OBJECTIFS!I$8="dmt"),AND($D169=OBJECTIFS!$B$13,OBJECTIFS!$I$15="dmt"),AND($D169=OBJECTIFS!$B$20,OBJECTIFS!$I$22="dmt"),AND($D169=OBJECTIFS!$B$27,OBJECTIFS!$I$29="dmt"),AND($D169=OBJECTIFS!$B$34,OBJECTIFS!$I$36="dmt"),AND($D169=OBJECTIFS!$B$6,OBJECTIFS!$I$8="taux de chute"),AND($D169=OBJECTIFS!$B$13,OBJECTIFS!$I$15="taux de chute"),AND($D169=OBJECTIFS!$B$20,OBJECTIFS!$I$22="taux de chute"),AND($D169=OBJECTIFS!$B$27,OBJECTIFS!$I$29="taux de chute"),AND($D169=OBJECTIFS!$B$34,OBJECTIFS!$I$36="taux de chute")),IFERROR(AA169/Z169,""),IFERROR(Z169/AA169,""))</f>
        <v/>
      </c>
      <c r="AC169" s="95">
        <f>IFERROR(IF(OR(Z169="",AA169="",AB169=""),0,IF(AB169&lt;OBJECTIFS!$E$56,0,IF(AB169&lt;OBJECTIFS!$G$56,AC$8*OBJECTIFS!$F$60,IF(AB169&lt;OBJECTIFS!$I$56,AC$8*OBJECTIFS!$H$60,AC$8)))),0)</f>
        <v>0</v>
      </c>
      <c r="AD169" s="281"/>
      <c r="AE169" s="282"/>
      <c r="AF169" s="96">
        <f t="shared" ca="1" si="29"/>
        <v>0</v>
      </c>
      <c r="AG169" s="63"/>
      <c r="AH169" s="172"/>
      <c r="AI169" s="24"/>
      <c r="AJ169" s="24"/>
      <c r="AK169" s="24"/>
      <c r="AL169" s="24"/>
      <c r="AM169" s="79">
        <f t="shared" si="30"/>
        <v>0</v>
      </c>
      <c r="AN169" s="79">
        <v>22</v>
      </c>
      <c r="AO169" s="80">
        <f t="shared" si="31"/>
        <v>0</v>
      </c>
      <c r="AP169" s="81" t="str">
        <f t="shared" ca="1" si="32"/>
        <v/>
      </c>
      <c r="AQ169" s="82"/>
      <c r="AR169" s="97">
        <f>IFERROR(VLOOKUP(B169,OBJECTIFS!$C$76:$E$137,2,FALSE),0)</f>
        <v>0</v>
      </c>
      <c r="AS169" s="98">
        <f>IFERROR(VLOOKUP(B169,OBJECTIFS!$H$76:$J$137,2,FALSE),0)</f>
        <v>0</v>
      </c>
      <c r="AT169" s="98">
        <f>IFERROR(VLOOKUP(B169,OBJECTIFS!$C$142:$E$203,2,FALSE),0)</f>
        <v>0</v>
      </c>
      <c r="AU169" s="98">
        <f>IFERROR(VLOOKUP(B169,OBJECTIFS!$H$142:$J$203,2,FALSE),0)</f>
        <v>0</v>
      </c>
      <c r="AV169" s="98">
        <f>IFERROR(VLOOKUP(B169,OBJECTIFS!$F$208:$H$269,3,FALSE),0)</f>
        <v>0</v>
      </c>
      <c r="AW169" s="81">
        <f t="shared" si="33"/>
        <v>0</v>
      </c>
      <c r="AX169" s="82"/>
      <c r="AY169" s="99" t="str">
        <f t="shared" ca="1" si="34"/>
        <v/>
      </c>
      <c r="AZ169" s="63"/>
      <c r="BA169" s="100">
        <f t="shared" ca="1" si="35"/>
        <v>0</v>
      </c>
      <c r="BB169" s="64" t="str">
        <f t="shared" ca="1" si="36"/>
        <v/>
      </c>
      <c r="BC169" s="101" t="str">
        <f t="shared" ca="1" si="37"/>
        <v/>
      </c>
    </row>
    <row r="170" spans="1:55" x14ac:dyDescent="0.2">
      <c r="A170" s="21"/>
      <c r="B170" s="22"/>
      <c r="C170" s="22"/>
      <c r="D170" s="23"/>
      <c r="E170" s="24"/>
      <c r="F170" s="34"/>
      <c r="H170" s="89" t="str">
        <f>IF(OR(D170="",F170="",A170=""),"",IF(E170="oui",0,IF(D170=OBJECTIFS!$C$45,VLOOKUP(F170,OBJECTIFS!$C$9:$D$11,2,FALSE),IF(D170=OBJECTIFS!$C$46,VLOOKUP(F170,OBJECTIFS!$C$16:$D$18,2,FALSE),IF(D170=OBJECTIFS!$C$47,VLOOKUP(F170,OBJECTIFS!$C$23:$D$25,2,FALSE),IF(D170=OBJECTIFS!$C$48,VLOOKUP(F170,OBJECTIFS!$C$30:$D$32,2,FALSE),IF(D170=OBJECTIFS!$C$49,VLOOKUP(F170,OBJECTIFS!$C$37:$D$39,2,FALSE))))))))</f>
        <v/>
      </c>
      <c r="J170" s="25"/>
      <c r="K170" s="90" t="str">
        <f>IF(OR($A170="",$D170="",J170=""),"",SUMIFS(OBJECTIFS!E$9:E$39,OBJECTIFS!$A$9:$A$39,$D170,OBJECTIFS!$C$9:$C$39,$F170))</f>
        <v/>
      </c>
      <c r="L170" s="90" t="str">
        <f>IF(OR(AND($D170=OBJECTIFS!$B$6,OBJECTIFS!E$8="dmt"),AND($D170=OBJECTIFS!$B$13,OBJECTIFS!$E$15="dmt"),AND($D170=OBJECTIFS!$B$20,OBJECTIFS!$E$22="dmt"),AND($D170=OBJECTIFS!$B$27,OBJECTIFS!$E$29="dmt"),AND($D170=OBJECTIFS!$B$34,OBJECTIFS!$E$36="dmt"),AND($D170=OBJECTIFS!$B$6,OBJECTIFS!$E$8="taux de chute"),AND($D170=OBJECTIFS!$B$13,OBJECTIFS!$E$15="taux de chute"),AND($D170=OBJECTIFS!$B$20,OBJECTIFS!$E$22="taux de chute"),AND($D170=OBJECTIFS!$B$27,OBJECTIFS!$E$29="taux de chute"),AND($D170=OBJECTIFS!$B$34,OBJECTIFS!$E$36="taux de chute")),IFERROR(K170/J170,""),IFERROR(J170/K170,""))</f>
        <v/>
      </c>
      <c r="M170" s="91">
        <f>IFERROR(IF(OR(J170="",K170="",L170=""),0,IF(L170&lt;OBJECTIFS!$E$56,0,IF(L170&lt;OBJECTIFS!$G$56,M$8*OBJECTIFS!$F$60,IF(L170&lt;OBJECTIFS!$I$56,M$8*OBJECTIFS!$H$60,M$8)))),0)</f>
        <v>0</v>
      </c>
      <c r="N170" s="161"/>
      <c r="O170" s="92" t="str">
        <f>IF(OR($A170="",$D170="",N170=""),"",SUMIFS(OBJECTIFS!F$9:F$39,OBJECTIFS!$A$9:$A$39,$D170,OBJECTIFS!$C$9:$C$39,$F170))</f>
        <v/>
      </c>
      <c r="P170" s="90" t="str">
        <f>IF(OR(AND($D170=OBJECTIFS!$B$6,OBJECTIFS!$F$8="dmt"),AND($D170=OBJECTIFS!$B$13,OBJECTIFS!$F$15="dmt"),AND($D170=OBJECTIFS!$B$20,OBJECTIFS!$F$22="dmt"),AND($D170=OBJECTIFS!$B$27,OBJECTIFS!$F$29="dmt"),AND($D170=OBJECTIFS!$B$34,OBJECTIFS!$F$36="dmt"),AND($D170=OBJECTIFS!$B$6,OBJECTIFS!$F$8="taux de chute"),AND($D170=OBJECTIFS!$B$13,OBJECTIFS!$F$15="taux de chute"),AND($D170=OBJECTIFS!$B$20,OBJECTIFS!$F$22="taux de chute"),AND($D170=OBJECTIFS!$B$27,OBJECTIFS!$F$29="taux de chute"),AND($D170=OBJECTIFS!$B$34,OBJECTIFS!$F$36="taux de chute")),IFERROR(O170/N170,""),IFERROR(N170/O170,""))</f>
        <v/>
      </c>
      <c r="Q170" s="91">
        <f>IFERROR(IF(OR(N170="",O170="",P170=""),0,IF(P170&lt;OBJECTIFS!$E$56,0,IF(P170&lt;OBJECTIFS!$G$56,Q$8*OBJECTIFS!$F$60,IF(P170&lt;OBJECTIFS!$I$56,Q$8*OBJECTIFS!$H$60,Q$8)))),0)</f>
        <v>0</v>
      </c>
      <c r="R170" s="164"/>
      <c r="S170" s="93" t="str">
        <f>IF(OR($A170="",$D170="",R170=""),"",SUMIFS(OBJECTIFS!G$9:G$39,OBJECTIFS!$A$9:$A$39,$D170,OBJECTIFS!$C$9:$C$39,$F170))</f>
        <v/>
      </c>
      <c r="T170" s="90" t="str">
        <f>IF(OR(AND($D170=OBJECTIFS!$B$6,OBJECTIFS!G$8="dmt"),AND($D170=OBJECTIFS!$B$13,OBJECTIFS!$G$15="dmt"),AND($D170=OBJECTIFS!$B$20,OBJECTIFS!$G$22="dmt"),AND($D170=OBJECTIFS!$B$27,OBJECTIFS!$G$29="dmt"),AND($D170=OBJECTIFS!$B$34,OBJECTIFS!$G$36="dmt"),AND($D170=OBJECTIFS!$B$6,OBJECTIFS!$G$8="taux de chute"),AND($D170=OBJECTIFS!$B$13,OBJECTIFS!$G$15="taux de chute"),AND($D170=OBJECTIFS!$B$20,OBJECTIFS!$G$22="taux de chute"),AND($D170=OBJECTIFS!$B$27,OBJECTIFS!$G$29="taux de chute"),AND($D170=OBJECTIFS!$B$34,OBJECTIFS!$G$36="taux de chute")),IFERROR(S170/R170,""),IFERROR(R170/S170,""))</f>
        <v/>
      </c>
      <c r="U170" s="94">
        <f>IFERROR(IF(OR(R170="",S170="",T170=""),0,IF(T170&lt;OBJECTIFS!$E$56,0,IF(T170&lt;OBJECTIFS!$G$56,U$8*OBJECTIFS!$F$60,IF(T170&lt;OBJECTIFS!$I$56,U$8*OBJECTIFS!$H$60,U$8)))),0)</f>
        <v>0</v>
      </c>
      <c r="V170" s="25"/>
      <c r="W170" s="90" t="str">
        <f>IF(OR($A170="",$D170="",V170=""),"",SUMIFS(OBJECTIFS!H$9:H$39,OBJECTIFS!$A$9:$A$39,$D170,OBJECTIFS!$C$9:$C$39,$F170))</f>
        <v/>
      </c>
      <c r="X170" s="90" t="str">
        <f>IF(OR(AND($D170=OBJECTIFS!$B$6,OBJECTIFS!H$8="dmt"),AND($D170=OBJECTIFS!$B$13,OBJECTIFS!$H$15="dmt"),AND($D170=OBJECTIFS!$B$20,OBJECTIFS!$H$22="dmt"),AND($D170=OBJECTIFS!$B$27,OBJECTIFS!$H$29="dmt"),AND($D170=OBJECTIFS!$B$34,OBJECTIFS!$H$36="dmt"),AND($D170=OBJECTIFS!$B$6,OBJECTIFS!$H$8="taux de chute"),AND($D170=OBJECTIFS!$B$13,OBJECTIFS!$H$15="taux de chute"),AND($D170=OBJECTIFS!$B$20,OBJECTIFS!$H$22="taux de chute"),AND($D170=OBJECTIFS!$B$27,OBJECTIFS!$H$29="taux de chute"),AND($D170=OBJECTIFS!$B$34,OBJECTIFS!$H$36="taux de chute")),IFERROR(W170/V170,""),IFERROR(V170/W170,""))</f>
        <v/>
      </c>
      <c r="Y170" s="91">
        <f>IFERROR(IF(OR(V170="",W170="",X170=""),0,IF(X170&lt;OBJECTIFS!$E$56,0,IF(X170&lt;OBJECTIFS!$G$56,Y$8*OBJECTIFS!$F$60,IF(X170&lt;OBJECTIFS!$I$56,Y$8*OBJECTIFS!$H$60,Y$8)))),0)</f>
        <v>0</v>
      </c>
      <c r="Z170" s="167"/>
      <c r="AA170" s="90" t="str">
        <f>IF(OR($A170="",$D170="",Z170=""),"",SUMIFS(OBJECTIFS!I$9:I$39,OBJECTIFS!$A$9:$A$39,$D170,OBJECTIFS!$C$9:$C$39,$F170))</f>
        <v/>
      </c>
      <c r="AB170" s="90" t="str">
        <f>IF(OR(AND($D170=OBJECTIFS!$B$6,OBJECTIFS!I$8="dmt"),AND($D170=OBJECTIFS!$B$13,OBJECTIFS!$I$15="dmt"),AND($D170=OBJECTIFS!$B$20,OBJECTIFS!$I$22="dmt"),AND($D170=OBJECTIFS!$B$27,OBJECTIFS!$I$29="dmt"),AND($D170=OBJECTIFS!$B$34,OBJECTIFS!$I$36="dmt"),AND($D170=OBJECTIFS!$B$6,OBJECTIFS!$I$8="taux de chute"),AND($D170=OBJECTIFS!$B$13,OBJECTIFS!$I$15="taux de chute"),AND($D170=OBJECTIFS!$B$20,OBJECTIFS!$I$22="taux de chute"),AND($D170=OBJECTIFS!$B$27,OBJECTIFS!$I$29="taux de chute"),AND($D170=OBJECTIFS!$B$34,OBJECTIFS!$I$36="taux de chute")),IFERROR(AA170/Z170,""),IFERROR(Z170/AA170,""))</f>
        <v/>
      </c>
      <c r="AC170" s="95">
        <f>IFERROR(IF(OR(Z170="",AA170="",AB170=""),0,IF(AB170&lt;OBJECTIFS!$E$56,0,IF(AB170&lt;OBJECTIFS!$G$56,AC$8*OBJECTIFS!$F$60,IF(AB170&lt;OBJECTIFS!$I$56,AC$8*OBJECTIFS!$H$60,AC$8)))),0)</f>
        <v>0</v>
      </c>
      <c r="AD170" s="281"/>
      <c r="AE170" s="282"/>
      <c r="AF170" s="96">
        <f t="shared" ca="1" si="29"/>
        <v>0</v>
      </c>
      <c r="AG170" s="63"/>
      <c r="AH170" s="172"/>
      <c r="AI170" s="24"/>
      <c r="AJ170" s="24"/>
      <c r="AK170" s="24"/>
      <c r="AL170" s="24"/>
      <c r="AM170" s="79">
        <f t="shared" si="30"/>
        <v>0</v>
      </c>
      <c r="AN170" s="79">
        <v>22</v>
      </c>
      <c r="AO170" s="80">
        <f t="shared" si="31"/>
        <v>0</v>
      </c>
      <c r="AP170" s="81" t="str">
        <f t="shared" ca="1" si="32"/>
        <v/>
      </c>
      <c r="AQ170" s="82"/>
      <c r="AR170" s="97">
        <f>IFERROR(VLOOKUP(B170,OBJECTIFS!$C$76:$E$137,2,FALSE),0)</f>
        <v>0</v>
      </c>
      <c r="AS170" s="98">
        <f>IFERROR(VLOOKUP(B170,OBJECTIFS!$H$76:$J$137,2,FALSE),0)</f>
        <v>0</v>
      </c>
      <c r="AT170" s="98">
        <f>IFERROR(VLOOKUP(B170,OBJECTIFS!$C$142:$E$203,2,FALSE),0)</f>
        <v>0</v>
      </c>
      <c r="AU170" s="98">
        <f>IFERROR(VLOOKUP(B170,OBJECTIFS!$H$142:$J$203,2,FALSE),0)</f>
        <v>0</v>
      </c>
      <c r="AV170" s="98">
        <f>IFERROR(VLOOKUP(B170,OBJECTIFS!$F$208:$H$269,3,FALSE),0)</f>
        <v>0</v>
      </c>
      <c r="AW170" s="81">
        <f t="shared" si="33"/>
        <v>0</v>
      </c>
      <c r="AX170" s="82"/>
      <c r="AY170" s="99" t="str">
        <f t="shared" ca="1" si="34"/>
        <v/>
      </c>
      <c r="AZ170" s="63"/>
      <c r="BA170" s="100">
        <f t="shared" ca="1" si="35"/>
        <v>0</v>
      </c>
      <c r="BB170" s="64" t="str">
        <f t="shared" ca="1" si="36"/>
        <v/>
      </c>
      <c r="BC170" s="101" t="str">
        <f t="shared" ca="1" si="37"/>
        <v/>
      </c>
    </row>
    <row r="171" spans="1:55" x14ac:dyDescent="0.2">
      <c r="A171" s="21"/>
      <c r="B171" s="22"/>
      <c r="C171" s="22"/>
      <c r="D171" s="23"/>
      <c r="E171" s="24"/>
      <c r="F171" s="34"/>
      <c r="H171" s="89" t="str">
        <f>IF(OR(D171="",F171="",A171=""),"",IF(E171="oui",0,IF(D171=OBJECTIFS!$C$45,VLOOKUP(F171,OBJECTIFS!$C$9:$D$11,2,FALSE),IF(D171=OBJECTIFS!$C$46,VLOOKUP(F171,OBJECTIFS!$C$16:$D$18,2,FALSE),IF(D171=OBJECTIFS!$C$47,VLOOKUP(F171,OBJECTIFS!$C$23:$D$25,2,FALSE),IF(D171=OBJECTIFS!$C$48,VLOOKUP(F171,OBJECTIFS!$C$30:$D$32,2,FALSE),IF(D171=OBJECTIFS!$C$49,VLOOKUP(F171,OBJECTIFS!$C$37:$D$39,2,FALSE))))))))</f>
        <v/>
      </c>
      <c r="J171" s="25"/>
      <c r="K171" s="90" t="str">
        <f>IF(OR($A171="",$D171="",J171=""),"",SUMIFS(OBJECTIFS!E$9:E$39,OBJECTIFS!$A$9:$A$39,$D171,OBJECTIFS!$C$9:$C$39,$F171))</f>
        <v/>
      </c>
      <c r="L171" s="90" t="str">
        <f>IF(OR(AND($D171=OBJECTIFS!$B$6,OBJECTIFS!E$8="dmt"),AND($D171=OBJECTIFS!$B$13,OBJECTIFS!$E$15="dmt"),AND($D171=OBJECTIFS!$B$20,OBJECTIFS!$E$22="dmt"),AND($D171=OBJECTIFS!$B$27,OBJECTIFS!$E$29="dmt"),AND($D171=OBJECTIFS!$B$34,OBJECTIFS!$E$36="dmt"),AND($D171=OBJECTIFS!$B$6,OBJECTIFS!$E$8="taux de chute"),AND($D171=OBJECTIFS!$B$13,OBJECTIFS!$E$15="taux de chute"),AND($D171=OBJECTIFS!$B$20,OBJECTIFS!$E$22="taux de chute"),AND($D171=OBJECTIFS!$B$27,OBJECTIFS!$E$29="taux de chute"),AND($D171=OBJECTIFS!$B$34,OBJECTIFS!$E$36="taux de chute")),IFERROR(K171/J171,""),IFERROR(J171/K171,""))</f>
        <v/>
      </c>
      <c r="M171" s="91">
        <f>IFERROR(IF(OR(J171="",K171="",L171=""),0,IF(L171&lt;OBJECTIFS!$E$56,0,IF(L171&lt;OBJECTIFS!$G$56,M$8*OBJECTIFS!$F$60,IF(L171&lt;OBJECTIFS!$I$56,M$8*OBJECTIFS!$H$60,M$8)))),0)</f>
        <v>0</v>
      </c>
      <c r="N171" s="161"/>
      <c r="O171" s="92" t="str">
        <f>IF(OR($A171="",$D171="",N171=""),"",SUMIFS(OBJECTIFS!F$9:F$39,OBJECTIFS!$A$9:$A$39,$D171,OBJECTIFS!$C$9:$C$39,$F171))</f>
        <v/>
      </c>
      <c r="P171" s="90" t="str">
        <f>IF(OR(AND($D171=OBJECTIFS!$B$6,OBJECTIFS!$F$8="dmt"),AND($D171=OBJECTIFS!$B$13,OBJECTIFS!$F$15="dmt"),AND($D171=OBJECTIFS!$B$20,OBJECTIFS!$F$22="dmt"),AND($D171=OBJECTIFS!$B$27,OBJECTIFS!$F$29="dmt"),AND($D171=OBJECTIFS!$B$34,OBJECTIFS!$F$36="dmt"),AND($D171=OBJECTIFS!$B$6,OBJECTIFS!$F$8="taux de chute"),AND($D171=OBJECTIFS!$B$13,OBJECTIFS!$F$15="taux de chute"),AND($D171=OBJECTIFS!$B$20,OBJECTIFS!$F$22="taux de chute"),AND($D171=OBJECTIFS!$B$27,OBJECTIFS!$F$29="taux de chute"),AND($D171=OBJECTIFS!$B$34,OBJECTIFS!$F$36="taux de chute")),IFERROR(O171/N171,""),IFERROR(N171/O171,""))</f>
        <v/>
      </c>
      <c r="Q171" s="91">
        <f>IFERROR(IF(OR(N171="",O171="",P171=""),0,IF(P171&lt;OBJECTIFS!$E$56,0,IF(P171&lt;OBJECTIFS!$G$56,Q$8*OBJECTIFS!$F$60,IF(P171&lt;OBJECTIFS!$I$56,Q$8*OBJECTIFS!$H$60,Q$8)))),0)</f>
        <v>0</v>
      </c>
      <c r="R171" s="164"/>
      <c r="S171" s="93" t="str">
        <f>IF(OR($A171="",$D171="",R171=""),"",SUMIFS(OBJECTIFS!G$9:G$39,OBJECTIFS!$A$9:$A$39,$D171,OBJECTIFS!$C$9:$C$39,$F171))</f>
        <v/>
      </c>
      <c r="T171" s="90" t="str">
        <f>IF(OR(AND($D171=OBJECTIFS!$B$6,OBJECTIFS!G$8="dmt"),AND($D171=OBJECTIFS!$B$13,OBJECTIFS!$G$15="dmt"),AND($D171=OBJECTIFS!$B$20,OBJECTIFS!$G$22="dmt"),AND($D171=OBJECTIFS!$B$27,OBJECTIFS!$G$29="dmt"),AND($D171=OBJECTIFS!$B$34,OBJECTIFS!$G$36="dmt"),AND($D171=OBJECTIFS!$B$6,OBJECTIFS!$G$8="taux de chute"),AND($D171=OBJECTIFS!$B$13,OBJECTIFS!$G$15="taux de chute"),AND($D171=OBJECTIFS!$B$20,OBJECTIFS!$G$22="taux de chute"),AND($D171=OBJECTIFS!$B$27,OBJECTIFS!$G$29="taux de chute"),AND($D171=OBJECTIFS!$B$34,OBJECTIFS!$G$36="taux de chute")),IFERROR(S171/R171,""),IFERROR(R171/S171,""))</f>
        <v/>
      </c>
      <c r="U171" s="94">
        <f>IFERROR(IF(OR(R171="",S171="",T171=""),0,IF(T171&lt;OBJECTIFS!$E$56,0,IF(T171&lt;OBJECTIFS!$G$56,U$8*OBJECTIFS!$F$60,IF(T171&lt;OBJECTIFS!$I$56,U$8*OBJECTIFS!$H$60,U$8)))),0)</f>
        <v>0</v>
      </c>
      <c r="V171" s="25"/>
      <c r="W171" s="90" t="str">
        <f>IF(OR($A171="",$D171="",V171=""),"",SUMIFS(OBJECTIFS!H$9:H$39,OBJECTIFS!$A$9:$A$39,$D171,OBJECTIFS!$C$9:$C$39,$F171))</f>
        <v/>
      </c>
      <c r="X171" s="90" t="str">
        <f>IF(OR(AND($D171=OBJECTIFS!$B$6,OBJECTIFS!H$8="dmt"),AND($D171=OBJECTIFS!$B$13,OBJECTIFS!$H$15="dmt"),AND($D171=OBJECTIFS!$B$20,OBJECTIFS!$H$22="dmt"),AND($D171=OBJECTIFS!$B$27,OBJECTIFS!$H$29="dmt"),AND($D171=OBJECTIFS!$B$34,OBJECTIFS!$H$36="dmt"),AND($D171=OBJECTIFS!$B$6,OBJECTIFS!$H$8="taux de chute"),AND($D171=OBJECTIFS!$B$13,OBJECTIFS!$H$15="taux de chute"),AND($D171=OBJECTIFS!$B$20,OBJECTIFS!$H$22="taux de chute"),AND($D171=OBJECTIFS!$B$27,OBJECTIFS!$H$29="taux de chute"),AND($D171=OBJECTIFS!$B$34,OBJECTIFS!$H$36="taux de chute")),IFERROR(W171/V171,""),IFERROR(V171/W171,""))</f>
        <v/>
      </c>
      <c r="Y171" s="91">
        <f>IFERROR(IF(OR(V171="",W171="",X171=""),0,IF(X171&lt;OBJECTIFS!$E$56,0,IF(X171&lt;OBJECTIFS!$G$56,Y$8*OBJECTIFS!$F$60,IF(X171&lt;OBJECTIFS!$I$56,Y$8*OBJECTIFS!$H$60,Y$8)))),0)</f>
        <v>0</v>
      </c>
      <c r="Z171" s="167"/>
      <c r="AA171" s="90" t="str">
        <f>IF(OR($A171="",$D171="",Z171=""),"",SUMIFS(OBJECTIFS!I$9:I$39,OBJECTIFS!$A$9:$A$39,$D171,OBJECTIFS!$C$9:$C$39,$F171))</f>
        <v/>
      </c>
      <c r="AB171" s="90" t="str">
        <f>IF(OR(AND($D171=OBJECTIFS!$B$6,OBJECTIFS!I$8="dmt"),AND($D171=OBJECTIFS!$B$13,OBJECTIFS!$I$15="dmt"),AND($D171=OBJECTIFS!$B$20,OBJECTIFS!$I$22="dmt"),AND($D171=OBJECTIFS!$B$27,OBJECTIFS!$I$29="dmt"),AND($D171=OBJECTIFS!$B$34,OBJECTIFS!$I$36="dmt"),AND($D171=OBJECTIFS!$B$6,OBJECTIFS!$I$8="taux de chute"),AND($D171=OBJECTIFS!$B$13,OBJECTIFS!$I$15="taux de chute"),AND($D171=OBJECTIFS!$B$20,OBJECTIFS!$I$22="taux de chute"),AND($D171=OBJECTIFS!$B$27,OBJECTIFS!$I$29="taux de chute"),AND($D171=OBJECTIFS!$B$34,OBJECTIFS!$I$36="taux de chute")),IFERROR(AA171/Z171,""),IFERROR(Z171/AA171,""))</f>
        <v/>
      </c>
      <c r="AC171" s="95">
        <f>IFERROR(IF(OR(Z171="",AA171="",AB171=""),0,IF(AB171&lt;OBJECTIFS!$E$56,0,IF(AB171&lt;OBJECTIFS!$G$56,AC$8*OBJECTIFS!$F$60,IF(AB171&lt;OBJECTIFS!$I$56,AC$8*OBJECTIFS!$H$60,AC$8)))),0)</f>
        <v>0</v>
      </c>
      <c r="AD171" s="281"/>
      <c r="AE171" s="282"/>
      <c r="AF171" s="96">
        <f t="shared" ca="1" si="29"/>
        <v>0</v>
      </c>
      <c r="AG171" s="63"/>
      <c r="AH171" s="172"/>
      <c r="AI171" s="24"/>
      <c r="AJ171" s="24"/>
      <c r="AK171" s="24"/>
      <c r="AL171" s="24"/>
      <c r="AM171" s="79">
        <f t="shared" si="30"/>
        <v>0</v>
      </c>
      <c r="AN171" s="79">
        <v>22</v>
      </c>
      <c r="AO171" s="80">
        <f t="shared" si="31"/>
        <v>0</v>
      </c>
      <c r="AP171" s="81" t="str">
        <f t="shared" ca="1" si="32"/>
        <v/>
      </c>
      <c r="AQ171" s="82"/>
      <c r="AR171" s="97">
        <f>IFERROR(VLOOKUP(B171,OBJECTIFS!$C$76:$E$137,2,FALSE),0)</f>
        <v>0</v>
      </c>
      <c r="AS171" s="98">
        <f>IFERROR(VLOOKUP(B171,OBJECTIFS!$H$76:$J$137,2,FALSE),0)</f>
        <v>0</v>
      </c>
      <c r="AT171" s="98">
        <f>IFERROR(VLOOKUP(B171,OBJECTIFS!$C$142:$E$203,2,FALSE),0)</f>
        <v>0</v>
      </c>
      <c r="AU171" s="98">
        <f>IFERROR(VLOOKUP(B171,OBJECTIFS!$H$142:$J$203,2,FALSE),0)</f>
        <v>0</v>
      </c>
      <c r="AV171" s="98">
        <f>IFERROR(VLOOKUP(B171,OBJECTIFS!$F$208:$H$269,3,FALSE),0)</f>
        <v>0</v>
      </c>
      <c r="AW171" s="81">
        <f t="shared" si="33"/>
        <v>0</v>
      </c>
      <c r="AX171" s="82"/>
      <c r="AY171" s="99" t="str">
        <f t="shared" ca="1" si="34"/>
        <v/>
      </c>
      <c r="AZ171" s="63"/>
      <c r="BA171" s="100">
        <f t="shared" ca="1" si="35"/>
        <v>0</v>
      </c>
      <c r="BB171" s="64" t="str">
        <f t="shared" ca="1" si="36"/>
        <v/>
      </c>
      <c r="BC171" s="101" t="str">
        <f t="shared" ca="1" si="37"/>
        <v/>
      </c>
    </row>
    <row r="172" spans="1:55" x14ac:dyDescent="0.2">
      <c r="A172" s="21"/>
      <c r="B172" s="22"/>
      <c r="C172" s="22"/>
      <c r="D172" s="23"/>
      <c r="E172" s="24"/>
      <c r="F172" s="34"/>
      <c r="H172" s="89" t="str">
        <f>IF(OR(D172="",F172="",A172=""),"",IF(E172="oui",0,IF(D172=OBJECTIFS!$C$45,VLOOKUP(F172,OBJECTIFS!$C$9:$D$11,2,FALSE),IF(D172=OBJECTIFS!$C$46,VLOOKUP(F172,OBJECTIFS!$C$16:$D$18,2,FALSE),IF(D172=OBJECTIFS!$C$47,VLOOKUP(F172,OBJECTIFS!$C$23:$D$25,2,FALSE),IF(D172=OBJECTIFS!$C$48,VLOOKUP(F172,OBJECTIFS!$C$30:$D$32,2,FALSE),IF(D172=OBJECTIFS!$C$49,VLOOKUP(F172,OBJECTIFS!$C$37:$D$39,2,FALSE))))))))</f>
        <v/>
      </c>
      <c r="J172" s="25"/>
      <c r="K172" s="90" t="str">
        <f>IF(OR($A172="",$D172="",J172=""),"",SUMIFS(OBJECTIFS!E$9:E$39,OBJECTIFS!$A$9:$A$39,$D172,OBJECTIFS!$C$9:$C$39,$F172))</f>
        <v/>
      </c>
      <c r="L172" s="90" t="str">
        <f>IF(OR(AND($D172=OBJECTIFS!$B$6,OBJECTIFS!E$8="dmt"),AND($D172=OBJECTIFS!$B$13,OBJECTIFS!$E$15="dmt"),AND($D172=OBJECTIFS!$B$20,OBJECTIFS!$E$22="dmt"),AND($D172=OBJECTIFS!$B$27,OBJECTIFS!$E$29="dmt"),AND($D172=OBJECTIFS!$B$34,OBJECTIFS!$E$36="dmt"),AND($D172=OBJECTIFS!$B$6,OBJECTIFS!$E$8="taux de chute"),AND($D172=OBJECTIFS!$B$13,OBJECTIFS!$E$15="taux de chute"),AND($D172=OBJECTIFS!$B$20,OBJECTIFS!$E$22="taux de chute"),AND($D172=OBJECTIFS!$B$27,OBJECTIFS!$E$29="taux de chute"),AND($D172=OBJECTIFS!$B$34,OBJECTIFS!$E$36="taux de chute")),IFERROR(K172/J172,""),IFERROR(J172/K172,""))</f>
        <v/>
      </c>
      <c r="M172" s="91">
        <f>IFERROR(IF(OR(J172="",K172="",L172=""),0,IF(L172&lt;OBJECTIFS!$E$56,0,IF(L172&lt;OBJECTIFS!$G$56,M$8*OBJECTIFS!$F$60,IF(L172&lt;OBJECTIFS!$I$56,M$8*OBJECTIFS!$H$60,M$8)))),0)</f>
        <v>0</v>
      </c>
      <c r="N172" s="161"/>
      <c r="O172" s="92" t="str">
        <f>IF(OR($A172="",$D172="",N172=""),"",SUMIFS(OBJECTIFS!F$9:F$39,OBJECTIFS!$A$9:$A$39,$D172,OBJECTIFS!$C$9:$C$39,$F172))</f>
        <v/>
      </c>
      <c r="P172" s="90" t="str">
        <f>IF(OR(AND($D172=OBJECTIFS!$B$6,OBJECTIFS!$F$8="dmt"),AND($D172=OBJECTIFS!$B$13,OBJECTIFS!$F$15="dmt"),AND($D172=OBJECTIFS!$B$20,OBJECTIFS!$F$22="dmt"),AND($D172=OBJECTIFS!$B$27,OBJECTIFS!$F$29="dmt"),AND($D172=OBJECTIFS!$B$34,OBJECTIFS!$F$36="dmt"),AND($D172=OBJECTIFS!$B$6,OBJECTIFS!$F$8="taux de chute"),AND($D172=OBJECTIFS!$B$13,OBJECTIFS!$F$15="taux de chute"),AND($D172=OBJECTIFS!$B$20,OBJECTIFS!$F$22="taux de chute"),AND($D172=OBJECTIFS!$B$27,OBJECTIFS!$F$29="taux de chute"),AND($D172=OBJECTIFS!$B$34,OBJECTIFS!$F$36="taux de chute")),IFERROR(O172/N172,""),IFERROR(N172/O172,""))</f>
        <v/>
      </c>
      <c r="Q172" s="91">
        <f>IFERROR(IF(OR(N172="",O172="",P172=""),0,IF(P172&lt;OBJECTIFS!$E$56,0,IF(P172&lt;OBJECTIFS!$G$56,Q$8*OBJECTIFS!$F$60,IF(P172&lt;OBJECTIFS!$I$56,Q$8*OBJECTIFS!$H$60,Q$8)))),0)</f>
        <v>0</v>
      </c>
      <c r="R172" s="164"/>
      <c r="S172" s="93" t="str">
        <f>IF(OR($A172="",$D172="",R172=""),"",SUMIFS(OBJECTIFS!G$9:G$39,OBJECTIFS!$A$9:$A$39,$D172,OBJECTIFS!$C$9:$C$39,$F172))</f>
        <v/>
      </c>
      <c r="T172" s="90" t="str">
        <f>IF(OR(AND($D172=OBJECTIFS!$B$6,OBJECTIFS!G$8="dmt"),AND($D172=OBJECTIFS!$B$13,OBJECTIFS!$G$15="dmt"),AND($D172=OBJECTIFS!$B$20,OBJECTIFS!$G$22="dmt"),AND($D172=OBJECTIFS!$B$27,OBJECTIFS!$G$29="dmt"),AND($D172=OBJECTIFS!$B$34,OBJECTIFS!$G$36="dmt"),AND($D172=OBJECTIFS!$B$6,OBJECTIFS!$G$8="taux de chute"),AND($D172=OBJECTIFS!$B$13,OBJECTIFS!$G$15="taux de chute"),AND($D172=OBJECTIFS!$B$20,OBJECTIFS!$G$22="taux de chute"),AND($D172=OBJECTIFS!$B$27,OBJECTIFS!$G$29="taux de chute"),AND($D172=OBJECTIFS!$B$34,OBJECTIFS!$G$36="taux de chute")),IFERROR(S172/R172,""),IFERROR(R172/S172,""))</f>
        <v/>
      </c>
      <c r="U172" s="94">
        <f>IFERROR(IF(OR(R172="",S172="",T172=""),0,IF(T172&lt;OBJECTIFS!$E$56,0,IF(T172&lt;OBJECTIFS!$G$56,U$8*OBJECTIFS!$F$60,IF(T172&lt;OBJECTIFS!$I$56,U$8*OBJECTIFS!$H$60,U$8)))),0)</f>
        <v>0</v>
      </c>
      <c r="V172" s="25"/>
      <c r="W172" s="90" t="str">
        <f>IF(OR($A172="",$D172="",V172=""),"",SUMIFS(OBJECTIFS!H$9:H$39,OBJECTIFS!$A$9:$A$39,$D172,OBJECTIFS!$C$9:$C$39,$F172))</f>
        <v/>
      </c>
      <c r="X172" s="90" t="str">
        <f>IF(OR(AND($D172=OBJECTIFS!$B$6,OBJECTIFS!H$8="dmt"),AND($D172=OBJECTIFS!$B$13,OBJECTIFS!$H$15="dmt"),AND($D172=OBJECTIFS!$B$20,OBJECTIFS!$H$22="dmt"),AND($D172=OBJECTIFS!$B$27,OBJECTIFS!$H$29="dmt"),AND($D172=OBJECTIFS!$B$34,OBJECTIFS!$H$36="dmt"),AND($D172=OBJECTIFS!$B$6,OBJECTIFS!$H$8="taux de chute"),AND($D172=OBJECTIFS!$B$13,OBJECTIFS!$H$15="taux de chute"),AND($D172=OBJECTIFS!$B$20,OBJECTIFS!$H$22="taux de chute"),AND($D172=OBJECTIFS!$B$27,OBJECTIFS!$H$29="taux de chute"),AND($D172=OBJECTIFS!$B$34,OBJECTIFS!$H$36="taux de chute")),IFERROR(W172/V172,""),IFERROR(V172/W172,""))</f>
        <v/>
      </c>
      <c r="Y172" s="91">
        <f>IFERROR(IF(OR(V172="",W172="",X172=""),0,IF(X172&lt;OBJECTIFS!$E$56,0,IF(X172&lt;OBJECTIFS!$G$56,Y$8*OBJECTIFS!$F$60,IF(X172&lt;OBJECTIFS!$I$56,Y$8*OBJECTIFS!$H$60,Y$8)))),0)</f>
        <v>0</v>
      </c>
      <c r="Z172" s="167"/>
      <c r="AA172" s="90" t="str">
        <f>IF(OR($A172="",$D172="",Z172=""),"",SUMIFS(OBJECTIFS!I$9:I$39,OBJECTIFS!$A$9:$A$39,$D172,OBJECTIFS!$C$9:$C$39,$F172))</f>
        <v/>
      </c>
      <c r="AB172" s="90" t="str">
        <f>IF(OR(AND($D172=OBJECTIFS!$B$6,OBJECTIFS!I$8="dmt"),AND($D172=OBJECTIFS!$B$13,OBJECTIFS!$I$15="dmt"),AND($D172=OBJECTIFS!$B$20,OBJECTIFS!$I$22="dmt"),AND($D172=OBJECTIFS!$B$27,OBJECTIFS!$I$29="dmt"),AND($D172=OBJECTIFS!$B$34,OBJECTIFS!$I$36="dmt"),AND($D172=OBJECTIFS!$B$6,OBJECTIFS!$I$8="taux de chute"),AND($D172=OBJECTIFS!$B$13,OBJECTIFS!$I$15="taux de chute"),AND($D172=OBJECTIFS!$B$20,OBJECTIFS!$I$22="taux de chute"),AND($D172=OBJECTIFS!$B$27,OBJECTIFS!$I$29="taux de chute"),AND($D172=OBJECTIFS!$B$34,OBJECTIFS!$I$36="taux de chute")),IFERROR(AA172/Z172,""),IFERROR(Z172/AA172,""))</f>
        <v/>
      </c>
      <c r="AC172" s="95">
        <f>IFERROR(IF(OR(Z172="",AA172="",AB172=""),0,IF(AB172&lt;OBJECTIFS!$E$56,0,IF(AB172&lt;OBJECTIFS!$G$56,AC$8*OBJECTIFS!$F$60,IF(AB172&lt;OBJECTIFS!$I$56,AC$8*OBJECTIFS!$H$60,AC$8)))),0)</f>
        <v>0</v>
      </c>
      <c r="AD172" s="281"/>
      <c r="AE172" s="282"/>
      <c r="AF172" s="96">
        <f t="shared" ca="1" si="29"/>
        <v>0</v>
      </c>
      <c r="AG172" s="63"/>
      <c r="AH172" s="172"/>
      <c r="AI172" s="24"/>
      <c r="AJ172" s="24"/>
      <c r="AK172" s="24"/>
      <c r="AL172" s="24"/>
      <c r="AM172" s="79">
        <f t="shared" si="30"/>
        <v>0</v>
      </c>
      <c r="AN172" s="79">
        <v>22</v>
      </c>
      <c r="AO172" s="80">
        <f t="shared" si="31"/>
        <v>0</v>
      </c>
      <c r="AP172" s="81" t="str">
        <f t="shared" ca="1" si="32"/>
        <v/>
      </c>
      <c r="AQ172" s="82"/>
      <c r="AR172" s="97">
        <f>IFERROR(VLOOKUP(B172,OBJECTIFS!$C$76:$E$137,2,FALSE),0)</f>
        <v>0</v>
      </c>
      <c r="AS172" s="98">
        <f>IFERROR(VLOOKUP(B172,OBJECTIFS!$H$76:$J$137,2,FALSE),0)</f>
        <v>0</v>
      </c>
      <c r="AT172" s="98">
        <f>IFERROR(VLOOKUP(B172,OBJECTIFS!$C$142:$E$203,2,FALSE),0)</f>
        <v>0</v>
      </c>
      <c r="AU172" s="98">
        <f>IFERROR(VLOOKUP(B172,OBJECTIFS!$H$142:$J$203,2,FALSE),0)</f>
        <v>0</v>
      </c>
      <c r="AV172" s="98">
        <f>IFERROR(VLOOKUP(B172,OBJECTIFS!$F$208:$H$269,3,FALSE),0)</f>
        <v>0</v>
      </c>
      <c r="AW172" s="81">
        <f t="shared" si="33"/>
        <v>0</v>
      </c>
      <c r="AX172" s="82"/>
      <c r="AY172" s="99" t="str">
        <f t="shared" ca="1" si="34"/>
        <v/>
      </c>
      <c r="AZ172" s="63"/>
      <c r="BA172" s="100">
        <f t="shared" ca="1" si="35"/>
        <v>0</v>
      </c>
      <c r="BB172" s="64" t="str">
        <f t="shared" ca="1" si="36"/>
        <v/>
      </c>
      <c r="BC172" s="101" t="str">
        <f t="shared" ca="1" si="37"/>
        <v/>
      </c>
    </row>
    <row r="173" spans="1:55" x14ac:dyDescent="0.2">
      <c r="A173" s="21"/>
      <c r="B173" s="22"/>
      <c r="C173" s="22"/>
      <c r="D173" s="23"/>
      <c r="E173" s="24"/>
      <c r="F173" s="34"/>
      <c r="H173" s="89" t="str">
        <f>IF(OR(D173="",F173="",A173=""),"",IF(E173="oui",0,IF(D173=OBJECTIFS!$C$45,VLOOKUP(F173,OBJECTIFS!$C$9:$D$11,2,FALSE),IF(D173=OBJECTIFS!$C$46,VLOOKUP(F173,OBJECTIFS!$C$16:$D$18,2,FALSE),IF(D173=OBJECTIFS!$C$47,VLOOKUP(F173,OBJECTIFS!$C$23:$D$25,2,FALSE),IF(D173=OBJECTIFS!$C$48,VLOOKUP(F173,OBJECTIFS!$C$30:$D$32,2,FALSE),IF(D173=OBJECTIFS!$C$49,VLOOKUP(F173,OBJECTIFS!$C$37:$D$39,2,FALSE))))))))</f>
        <v/>
      </c>
      <c r="J173" s="25"/>
      <c r="K173" s="90" t="str">
        <f>IF(OR($A173="",$D173="",J173=""),"",SUMIFS(OBJECTIFS!E$9:E$39,OBJECTIFS!$A$9:$A$39,$D173,OBJECTIFS!$C$9:$C$39,$F173))</f>
        <v/>
      </c>
      <c r="L173" s="90" t="str">
        <f>IF(OR(AND($D173=OBJECTIFS!$B$6,OBJECTIFS!E$8="dmt"),AND($D173=OBJECTIFS!$B$13,OBJECTIFS!$E$15="dmt"),AND($D173=OBJECTIFS!$B$20,OBJECTIFS!$E$22="dmt"),AND($D173=OBJECTIFS!$B$27,OBJECTIFS!$E$29="dmt"),AND($D173=OBJECTIFS!$B$34,OBJECTIFS!$E$36="dmt"),AND($D173=OBJECTIFS!$B$6,OBJECTIFS!$E$8="taux de chute"),AND($D173=OBJECTIFS!$B$13,OBJECTIFS!$E$15="taux de chute"),AND($D173=OBJECTIFS!$B$20,OBJECTIFS!$E$22="taux de chute"),AND($D173=OBJECTIFS!$B$27,OBJECTIFS!$E$29="taux de chute"),AND($D173=OBJECTIFS!$B$34,OBJECTIFS!$E$36="taux de chute")),IFERROR(K173/J173,""),IFERROR(J173/K173,""))</f>
        <v/>
      </c>
      <c r="M173" s="91">
        <f>IFERROR(IF(OR(J173="",K173="",L173=""),0,IF(L173&lt;OBJECTIFS!$E$56,0,IF(L173&lt;OBJECTIFS!$G$56,M$8*OBJECTIFS!$F$60,IF(L173&lt;OBJECTIFS!$I$56,M$8*OBJECTIFS!$H$60,M$8)))),0)</f>
        <v>0</v>
      </c>
      <c r="N173" s="161"/>
      <c r="O173" s="92" t="str">
        <f>IF(OR($A173="",$D173="",N173=""),"",SUMIFS(OBJECTIFS!F$9:F$39,OBJECTIFS!$A$9:$A$39,$D173,OBJECTIFS!$C$9:$C$39,$F173))</f>
        <v/>
      </c>
      <c r="P173" s="90" t="str">
        <f>IF(OR(AND($D173=OBJECTIFS!$B$6,OBJECTIFS!$F$8="dmt"),AND($D173=OBJECTIFS!$B$13,OBJECTIFS!$F$15="dmt"),AND($D173=OBJECTIFS!$B$20,OBJECTIFS!$F$22="dmt"),AND($D173=OBJECTIFS!$B$27,OBJECTIFS!$F$29="dmt"),AND($D173=OBJECTIFS!$B$34,OBJECTIFS!$F$36="dmt"),AND($D173=OBJECTIFS!$B$6,OBJECTIFS!$F$8="taux de chute"),AND($D173=OBJECTIFS!$B$13,OBJECTIFS!$F$15="taux de chute"),AND($D173=OBJECTIFS!$B$20,OBJECTIFS!$F$22="taux de chute"),AND($D173=OBJECTIFS!$B$27,OBJECTIFS!$F$29="taux de chute"),AND($D173=OBJECTIFS!$B$34,OBJECTIFS!$F$36="taux de chute")),IFERROR(O173/N173,""),IFERROR(N173/O173,""))</f>
        <v/>
      </c>
      <c r="Q173" s="91">
        <f>IFERROR(IF(OR(N173="",O173="",P173=""),0,IF(P173&lt;OBJECTIFS!$E$56,0,IF(P173&lt;OBJECTIFS!$G$56,Q$8*OBJECTIFS!$F$60,IF(P173&lt;OBJECTIFS!$I$56,Q$8*OBJECTIFS!$H$60,Q$8)))),0)</f>
        <v>0</v>
      </c>
      <c r="R173" s="164"/>
      <c r="S173" s="93" t="str">
        <f>IF(OR($A173="",$D173="",R173=""),"",SUMIFS(OBJECTIFS!G$9:G$39,OBJECTIFS!$A$9:$A$39,$D173,OBJECTIFS!$C$9:$C$39,$F173))</f>
        <v/>
      </c>
      <c r="T173" s="90" t="str">
        <f>IF(OR(AND($D173=OBJECTIFS!$B$6,OBJECTIFS!G$8="dmt"),AND($D173=OBJECTIFS!$B$13,OBJECTIFS!$G$15="dmt"),AND($D173=OBJECTIFS!$B$20,OBJECTIFS!$G$22="dmt"),AND($D173=OBJECTIFS!$B$27,OBJECTIFS!$G$29="dmt"),AND($D173=OBJECTIFS!$B$34,OBJECTIFS!$G$36="dmt"),AND($D173=OBJECTIFS!$B$6,OBJECTIFS!$G$8="taux de chute"),AND($D173=OBJECTIFS!$B$13,OBJECTIFS!$G$15="taux de chute"),AND($D173=OBJECTIFS!$B$20,OBJECTIFS!$G$22="taux de chute"),AND($D173=OBJECTIFS!$B$27,OBJECTIFS!$G$29="taux de chute"),AND($D173=OBJECTIFS!$B$34,OBJECTIFS!$G$36="taux de chute")),IFERROR(S173/R173,""),IFERROR(R173/S173,""))</f>
        <v/>
      </c>
      <c r="U173" s="94">
        <f>IFERROR(IF(OR(R173="",S173="",T173=""),0,IF(T173&lt;OBJECTIFS!$E$56,0,IF(T173&lt;OBJECTIFS!$G$56,U$8*OBJECTIFS!$F$60,IF(T173&lt;OBJECTIFS!$I$56,U$8*OBJECTIFS!$H$60,U$8)))),0)</f>
        <v>0</v>
      </c>
      <c r="V173" s="25"/>
      <c r="W173" s="90" t="str">
        <f>IF(OR($A173="",$D173="",V173=""),"",SUMIFS(OBJECTIFS!H$9:H$39,OBJECTIFS!$A$9:$A$39,$D173,OBJECTIFS!$C$9:$C$39,$F173))</f>
        <v/>
      </c>
      <c r="X173" s="90" t="str">
        <f>IF(OR(AND($D173=OBJECTIFS!$B$6,OBJECTIFS!H$8="dmt"),AND($D173=OBJECTIFS!$B$13,OBJECTIFS!$H$15="dmt"),AND($D173=OBJECTIFS!$B$20,OBJECTIFS!$H$22="dmt"),AND($D173=OBJECTIFS!$B$27,OBJECTIFS!$H$29="dmt"),AND($D173=OBJECTIFS!$B$34,OBJECTIFS!$H$36="dmt"),AND($D173=OBJECTIFS!$B$6,OBJECTIFS!$H$8="taux de chute"),AND($D173=OBJECTIFS!$B$13,OBJECTIFS!$H$15="taux de chute"),AND($D173=OBJECTIFS!$B$20,OBJECTIFS!$H$22="taux de chute"),AND($D173=OBJECTIFS!$B$27,OBJECTIFS!$H$29="taux de chute"),AND($D173=OBJECTIFS!$B$34,OBJECTIFS!$H$36="taux de chute")),IFERROR(W173/V173,""),IFERROR(V173/W173,""))</f>
        <v/>
      </c>
      <c r="Y173" s="91">
        <f>IFERROR(IF(OR(V173="",W173="",X173=""),0,IF(X173&lt;OBJECTIFS!$E$56,0,IF(X173&lt;OBJECTIFS!$G$56,Y$8*OBJECTIFS!$F$60,IF(X173&lt;OBJECTIFS!$I$56,Y$8*OBJECTIFS!$H$60,Y$8)))),0)</f>
        <v>0</v>
      </c>
      <c r="Z173" s="167"/>
      <c r="AA173" s="90" t="str">
        <f>IF(OR($A173="",$D173="",Z173=""),"",SUMIFS(OBJECTIFS!I$9:I$39,OBJECTIFS!$A$9:$A$39,$D173,OBJECTIFS!$C$9:$C$39,$F173))</f>
        <v/>
      </c>
      <c r="AB173" s="90" t="str">
        <f>IF(OR(AND($D173=OBJECTIFS!$B$6,OBJECTIFS!I$8="dmt"),AND($D173=OBJECTIFS!$B$13,OBJECTIFS!$I$15="dmt"),AND($D173=OBJECTIFS!$B$20,OBJECTIFS!$I$22="dmt"),AND($D173=OBJECTIFS!$B$27,OBJECTIFS!$I$29="dmt"),AND($D173=OBJECTIFS!$B$34,OBJECTIFS!$I$36="dmt"),AND($D173=OBJECTIFS!$B$6,OBJECTIFS!$I$8="taux de chute"),AND($D173=OBJECTIFS!$B$13,OBJECTIFS!$I$15="taux de chute"),AND($D173=OBJECTIFS!$B$20,OBJECTIFS!$I$22="taux de chute"),AND($D173=OBJECTIFS!$B$27,OBJECTIFS!$I$29="taux de chute"),AND($D173=OBJECTIFS!$B$34,OBJECTIFS!$I$36="taux de chute")),IFERROR(AA173/Z173,""),IFERROR(Z173/AA173,""))</f>
        <v/>
      </c>
      <c r="AC173" s="95">
        <f>IFERROR(IF(OR(Z173="",AA173="",AB173=""),0,IF(AB173&lt;OBJECTIFS!$E$56,0,IF(AB173&lt;OBJECTIFS!$G$56,AC$8*OBJECTIFS!$F$60,IF(AB173&lt;OBJECTIFS!$I$56,AC$8*OBJECTIFS!$H$60,AC$8)))),0)</f>
        <v>0</v>
      </c>
      <c r="AD173" s="281"/>
      <c r="AE173" s="282"/>
      <c r="AF173" s="96">
        <f t="shared" ca="1" si="29"/>
        <v>0</v>
      </c>
      <c r="AG173" s="63"/>
      <c r="AH173" s="172"/>
      <c r="AI173" s="24"/>
      <c r="AJ173" s="24"/>
      <c r="AK173" s="24"/>
      <c r="AL173" s="24"/>
      <c r="AM173" s="79">
        <f t="shared" si="30"/>
        <v>0</v>
      </c>
      <c r="AN173" s="79">
        <v>22</v>
      </c>
      <c r="AO173" s="80">
        <f t="shared" si="31"/>
        <v>0</v>
      </c>
      <c r="AP173" s="81" t="str">
        <f t="shared" ca="1" si="32"/>
        <v/>
      </c>
      <c r="AQ173" s="82"/>
      <c r="AR173" s="97">
        <f>IFERROR(VLOOKUP(B173,OBJECTIFS!$C$76:$E$137,2,FALSE),0)</f>
        <v>0</v>
      </c>
      <c r="AS173" s="98">
        <f>IFERROR(VLOOKUP(B173,OBJECTIFS!$H$76:$J$137,2,FALSE),0)</f>
        <v>0</v>
      </c>
      <c r="AT173" s="98">
        <f>IFERROR(VLOOKUP(B173,OBJECTIFS!$C$142:$E$203,2,FALSE),0)</f>
        <v>0</v>
      </c>
      <c r="AU173" s="98">
        <f>IFERROR(VLOOKUP(B173,OBJECTIFS!$H$142:$J$203,2,FALSE),0)</f>
        <v>0</v>
      </c>
      <c r="AV173" s="98">
        <f>IFERROR(VLOOKUP(B173,OBJECTIFS!$F$208:$H$269,3,FALSE),0)</f>
        <v>0</v>
      </c>
      <c r="AW173" s="81">
        <f t="shared" si="33"/>
        <v>0</v>
      </c>
      <c r="AX173" s="82"/>
      <c r="AY173" s="99" t="str">
        <f t="shared" ca="1" si="34"/>
        <v/>
      </c>
      <c r="AZ173" s="63"/>
      <c r="BA173" s="100">
        <f t="shared" ca="1" si="35"/>
        <v>0</v>
      </c>
      <c r="BB173" s="64" t="str">
        <f t="shared" ca="1" si="36"/>
        <v/>
      </c>
      <c r="BC173" s="101" t="str">
        <f t="shared" ca="1" si="37"/>
        <v/>
      </c>
    </row>
    <row r="174" spans="1:55" x14ac:dyDescent="0.2">
      <c r="A174" s="21"/>
      <c r="B174" s="22"/>
      <c r="C174" s="22"/>
      <c r="D174" s="23"/>
      <c r="E174" s="24"/>
      <c r="F174" s="34"/>
      <c r="H174" s="89" t="str">
        <f>IF(OR(D174="",F174="",A174=""),"",IF(E174="oui",0,IF(D174=OBJECTIFS!$C$45,VLOOKUP(F174,OBJECTIFS!$C$9:$D$11,2,FALSE),IF(D174=OBJECTIFS!$C$46,VLOOKUP(F174,OBJECTIFS!$C$16:$D$18,2,FALSE),IF(D174=OBJECTIFS!$C$47,VLOOKUP(F174,OBJECTIFS!$C$23:$D$25,2,FALSE),IF(D174=OBJECTIFS!$C$48,VLOOKUP(F174,OBJECTIFS!$C$30:$D$32,2,FALSE),IF(D174=OBJECTIFS!$C$49,VLOOKUP(F174,OBJECTIFS!$C$37:$D$39,2,FALSE))))))))</f>
        <v/>
      </c>
      <c r="J174" s="25"/>
      <c r="K174" s="90" t="str">
        <f>IF(OR($A174="",$D174="",J174=""),"",SUMIFS(OBJECTIFS!E$9:E$39,OBJECTIFS!$A$9:$A$39,$D174,OBJECTIFS!$C$9:$C$39,$F174))</f>
        <v/>
      </c>
      <c r="L174" s="90" t="str">
        <f>IF(OR(AND($D174=OBJECTIFS!$B$6,OBJECTIFS!E$8="dmt"),AND($D174=OBJECTIFS!$B$13,OBJECTIFS!$E$15="dmt"),AND($D174=OBJECTIFS!$B$20,OBJECTIFS!$E$22="dmt"),AND($D174=OBJECTIFS!$B$27,OBJECTIFS!$E$29="dmt"),AND($D174=OBJECTIFS!$B$34,OBJECTIFS!$E$36="dmt"),AND($D174=OBJECTIFS!$B$6,OBJECTIFS!$E$8="taux de chute"),AND($D174=OBJECTIFS!$B$13,OBJECTIFS!$E$15="taux de chute"),AND($D174=OBJECTIFS!$B$20,OBJECTIFS!$E$22="taux de chute"),AND($D174=OBJECTIFS!$B$27,OBJECTIFS!$E$29="taux de chute"),AND($D174=OBJECTIFS!$B$34,OBJECTIFS!$E$36="taux de chute")),IFERROR(K174/J174,""),IFERROR(J174/K174,""))</f>
        <v/>
      </c>
      <c r="M174" s="91">
        <f>IFERROR(IF(OR(J174="",K174="",L174=""),0,IF(L174&lt;OBJECTIFS!$E$56,0,IF(L174&lt;OBJECTIFS!$G$56,M$8*OBJECTIFS!$F$60,IF(L174&lt;OBJECTIFS!$I$56,M$8*OBJECTIFS!$H$60,M$8)))),0)</f>
        <v>0</v>
      </c>
      <c r="N174" s="161"/>
      <c r="O174" s="92" t="str">
        <f>IF(OR($A174="",$D174="",N174=""),"",SUMIFS(OBJECTIFS!F$9:F$39,OBJECTIFS!$A$9:$A$39,$D174,OBJECTIFS!$C$9:$C$39,$F174))</f>
        <v/>
      </c>
      <c r="P174" s="90" t="str">
        <f>IF(OR(AND($D174=OBJECTIFS!$B$6,OBJECTIFS!$F$8="dmt"),AND($D174=OBJECTIFS!$B$13,OBJECTIFS!$F$15="dmt"),AND($D174=OBJECTIFS!$B$20,OBJECTIFS!$F$22="dmt"),AND($D174=OBJECTIFS!$B$27,OBJECTIFS!$F$29="dmt"),AND($D174=OBJECTIFS!$B$34,OBJECTIFS!$F$36="dmt"),AND($D174=OBJECTIFS!$B$6,OBJECTIFS!$F$8="taux de chute"),AND($D174=OBJECTIFS!$B$13,OBJECTIFS!$F$15="taux de chute"),AND($D174=OBJECTIFS!$B$20,OBJECTIFS!$F$22="taux de chute"),AND($D174=OBJECTIFS!$B$27,OBJECTIFS!$F$29="taux de chute"),AND($D174=OBJECTIFS!$B$34,OBJECTIFS!$F$36="taux de chute")),IFERROR(O174/N174,""),IFERROR(N174/O174,""))</f>
        <v/>
      </c>
      <c r="Q174" s="91">
        <f>IFERROR(IF(OR(N174="",O174="",P174=""),0,IF(P174&lt;OBJECTIFS!$E$56,0,IF(P174&lt;OBJECTIFS!$G$56,Q$8*OBJECTIFS!$F$60,IF(P174&lt;OBJECTIFS!$I$56,Q$8*OBJECTIFS!$H$60,Q$8)))),0)</f>
        <v>0</v>
      </c>
      <c r="R174" s="164"/>
      <c r="S174" s="93" t="str">
        <f>IF(OR($A174="",$D174="",R174=""),"",SUMIFS(OBJECTIFS!G$9:G$39,OBJECTIFS!$A$9:$A$39,$D174,OBJECTIFS!$C$9:$C$39,$F174))</f>
        <v/>
      </c>
      <c r="T174" s="90" t="str">
        <f>IF(OR(AND($D174=OBJECTIFS!$B$6,OBJECTIFS!G$8="dmt"),AND($D174=OBJECTIFS!$B$13,OBJECTIFS!$G$15="dmt"),AND($D174=OBJECTIFS!$B$20,OBJECTIFS!$G$22="dmt"),AND($D174=OBJECTIFS!$B$27,OBJECTIFS!$G$29="dmt"),AND($D174=OBJECTIFS!$B$34,OBJECTIFS!$G$36="dmt"),AND($D174=OBJECTIFS!$B$6,OBJECTIFS!$G$8="taux de chute"),AND($D174=OBJECTIFS!$B$13,OBJECTIFS!$G$15="taux de chute"),AND($D174=OBJECTIFS!$B$20,OBJECTIFS!$G$22="taux de chute"),AND($D174=OBJECTIFS!$B$27,OBJECTIFS!$G$29="taux de chute"),AND($D174=OBJECTIFS!$B$34,OBJECTIFS!$G$36="taux de chute")),IFERROR(S174/R174,""),IFERROR(R174/S174,""))</f>
        <v/>
      </c>
      <c r="U174" s="94">
        <f>IFERROR(IF(OR(R174="",S174="",T174=""),0,IF(T174&lt;OBJECTIFS!$E$56,0,IF(T174&lt;OBJECTIFS!$G$56,U$8*OBJECTIFS!$F$60,IF(T174&lt;OBJECTIFS!$I$56,U$8*OBJECTIFS!$H$60,U$8)))),0)</f>
        <v>0</v>
      </c>
      <c r="V174" s="25"/>
      <c r="W174" s="90" t="str">
        <f>IF(OR($A174="",$D174="",V174=""),"",SUMIFS(OBJECTIFS!H$9:H$39,OBJECTIFS!$A$9:$A$39,$D174,OBJECTIFS!$C$9:$C$39,$F174))</f>
        <v/>
      </c>
      <c r="X174" s="90" t="str">
        <f>IF(OR(AND($D174=OBJECTIFS!$B$6,OBJECTIFS!H$8="dmt"),AND($D174=OBJECTIFS!$B$13,OBJECTIFS!$H$15="dmt"),AND($D174=OBJECTIFS!$B$20,OBJECTIFS!$H$22="dmt"),AND($D174=OBJECTIFS!$B$27,OBJECTIFS!$H$29="dmt"),AND($D174=OBJECTIFS!$B$34,OBJECTIFS!$H$36="dmt"),AND($D174=OBJECTIFS!$B$6,OBJECTIFS!$H$8="taux de chute"),AND($D174=OBJECTIFS!$B$13,OBJECTIFS!$H$15="taux de chute"),AND($D174=OBJECTIFS!$B$20,OBJECTIFS!$H$22="taux de chute"),AND($D174=OBJECTIFS!$B$27,OBJECTIFS!$H$29="taux de chute"),AND($D174=OBJECTIFS!$B$34,OBJECTIFS!$H$36="taux de chute")),IFERROR(W174/V174,""),IFERROR(V174/W174,""))</f>
        <v/>
      </c>
      <c r="Y174" s="91">
        <f>IFERROR(IF(OR(V174="",W174="",X174=""),0,IF(X174&lt;OBJECTIFS!$E$56,0,IF(X174&lt;OBJECTIFS!$G$56,Y$8*OBJECTIFS!$F$60,IF(X174&lt;OBJECTIFS!$I$56,Y$8*OBJECTIFS!$H$60,Y$8)))),0)</f>
        <v>0</v>
      </c>
      <c r="Z174" s="167"/>
      <c r="AA174" s="90" t="str">
        <f>IF(OR($A174="",$D174="",Z174=""),"",SUMIFS(OBJECTIFS!I$9:I$39,OBJECTIFS!$A$9:$A$39,$D174,OBJECTIFS!$C$9:$C$39,$F174))</f>
        <v/>
      </c>
      <c r="AB174" s="90" t="str">
        <f>IF(OR(AND($D174=OBJECTIFS!$B$6,OBJECTIFS!I$8="dmt"),AND($D174=OBJECTIFS!$B$13,OBJECTIFS!$I$15="dmt"),AND($D174=OBJECTIFS!$B$20,OBJECTIFS!$I$22="dmt"),AND($D174=OBJECTIFS!$B$27,OBJECTIFS!$I$29="dmt"),AND($D174=OBJECTIFS!$B$34,OBJECTIFS!$I$36="dmt"),AND($D174=OBJECTIFS!$B$6,OBJECTIFS!$I$8="taux de chute"),AND($D174=OBJECTIFS!$B$13,OBJECTIFS!$I$15="taux de chute"),AND($D174=OBJECTIFS!$B$20,OBJECTIFS!$I$22="taux de chute"),AND($D174=OBJECTIFS!$B$27,OBJECTIFS!$I$29="taux de chute"),AND($D174=OBJECTIFS!$B$34,OBJECTIFS!$I$36="taux de chute")),IFERROR(AA174/Z174,""),IFERROR(Z174/AA174,""))</f>
        <v/>
      </c>
      <c r="AC174" s="95">
        <f>IFERROR(IF(OR(Z174="",AA174="",AB174=""),0,IF(AB174&lt;OBJECTIFS!$E$56,0,IF(AB174&lt;OBJECTIFS!$G$56,AC$8*OBJECTIFS!$F$60,IF(AB174&lt;OBJECTIFS!$I$56,AC$8*OBJECTIFS!$H$60,AC$8)))),0)</f>
        <v>0</v>
      </c>
      <c r="AD174" s="281"/>
      <c r="AE174" s="282"/>
      <c r="AF174" s="96">
        <f t="shared" ca="1" si="29"/>
        <v>0</v>
      </c>
      <c r="AG174" s="63"/>
      <c r="AH174" s="172"/>
      <c r="AI174" s="24"/>
      <c r="AJ174" s="24"/>
      <c r="AK174" s="24"/>
      <c r="AL174" s="24"/>
      <c r="AM174" s="79">
        <f t="shared" si="30"/>
        <v>0</v>
      </c>
      <c r="AN174" s="79">
        <v>22</v>
      </c>
      <c r="AO174" s="80">
        <f t="shared" si="31"/>
        <v>0</v>
      </c>
      <c r="AP174" s="81" t="str">
        <f t="shared" ca="1" si="32"/>
        <v/>
      </c>
      <c r="AQ174" s="82"/>
      <c r="AR174" s="97">
        <f>IFERROR(VLOOKUP(B174,OBJECTIFS!$C$76:$E$137,2,FALSE),0)</f>
        <v>0</v>
      </c>
      <c r="AS174" s="98">
        <f>IFERROR(VLOOKUP(B174,OBJECTIFS!$H$76:$J$137,2,FALSE),0)</f>
        <v>0</v>
      </c>
      <c r="AT174" s="98">
        <f>IFERROR(VLOOKUP(B174,OBJECTIFS!$C$142:$E$203,2,FALSE),0)</f>
        <v>0</v>
      </c>
      <c r="AU174" s="98">
        <f>IFERROR(VLOOKUP(B174,OBJECTIFS!$H$142:$J$203,2,FALSE),0)</f>
        <v>0</v>
      </c>
      <c r="AV174" s="98">
        <f>IFERROR(VLOOKUP(B174,OBJECTIFS!$F$208:$H$269,3,FALSE),0)</f>
        <v>0</v>
      </c>
      <c r="AW174" s="81">
        <f t="shared" si="33"/>
        <v>0</v>
      </c>
      <c r="AX174" s="82"/>
      <c r="AY174" s="99" t="str">
        <f t="shared" ca="1" si="34"/>
        <v/>
      </c>
      <c r="AZ174" s="63"/>
      <c r="BA174" s="100">
        <f t="shared" ca="1" si="35"/>
        <v>0</v>
      </c>
      <c r="BB174" s="64" t="str">
        <f t="shared" ca="1" si="36"/>
        <v/>
      </c>
      <c r="BC174" s="101" t="str">
        <f t="shared" ca="1" si="37"/>
        <v/>
      </c>
    </row>
    <row r="175" spans="1:55" x14ac:dyDescent="0.2">
      <c r="A175" s="21"/>
      <c r="B175" s="22"/>
      <c r="C175" s="22"/>
      <c r="D175" s="23"/>
      <c r="E175" s="24"/>
      <c r="F175" s="34"/>
      <c r="H175" s="89" t="str">
        <f>IF(OR(D175="",F175="",A175=""),"",IF(E175="oui",0,IF(D175=OBJECTIFS!$C$45,VLOOKUP(F175,OBJECTIFS!$C$9:$D$11,2,FALSE),IF(D175=OBJECTIFS!$C$46,VLOOKUP(F175,OBJECTIFS!$C$16:$D$18,2,FALSE),IF(D175=OBJECTIFS!$C$47,VLOOKUP(F175,OBJECTIFS!$C$23:$D$25,2,FALSE),IF(D175=OBJECTIFS!$C$48,VLOOKUP(F175,OBJECTIFS!$C$30:$D$32,2,FALSE),IF(D175=OBJECTIFS!$C$49,VLOOKUP(F175,OBJECTIFS!$C$37:$D$39,2,FALSE))))))))</f>
        <v/>
      </c>
      <c r="J175" s="25"/>
      <c r="K175" s="90" t="str">
        <f>IF(OR($A175="",$D175="",J175=""),"",SUMIFS(OBJECTIFS!E$9:E$39,OBJECTIFS!$A$9:$A$39,$D175,OBJECTIFS!$C$9:$C$39,$F175))</f>
        <v/>
      </c>
      <c r="L175" s="90" t="str">
        <f>IF(OR(AND($D175=OBJECTIFS!$B$6,OBJECTIFS!E$8="dmt"),AND($D175=OBJECTIFS!$B$13,OBJECTIFS!$E$15="dmt"),AND($D175=OBJECTIFS!$B$20,OBJECTIFS!$E$22="dmt"),AND($D175=OBJECTIFS!$B$27,OBJECTIFS!$E$29="dmt"),AND($D175=OBJECTIFS!$B$34,OBJECTIFS!$E$36="dmt"),AND($D175=OBJECTIFS!$B$6,OBJECTIFS!$E$8="taux de chute"),AND($D175=OBJECTIFS!$B$13,OBJECTIFS!$E$15="taux de chute"),AND($D175=OBJECTIFS!$B$20,OBJECTIFS!$E$22="taux de chute"),AND($D175=OBJECTIFS!$B$27,OBJECTIFS!$E$29="taux de chute"),AND($D175=OBJECTIFS!$B$34,OBJECTIFS!$E$36="taux de chute")),IFERROR(K175/J175,""),IFERROR(J175/K175,""))</f>
        <v/>
      </c>
      <c r="M175" s="91">
        <f>IFERROR(IF(OR(J175="",K175="",L175=""),0,IF(L175&lt;OBJECTIFS!$E$56,0,IF(L175&lt;OBJECTIFS!$G$56,M$8*OBJECTIFS!$F$60,IF(L175&lt;OBJECTIFS!$I$56,M$8*OBJECTIFS!$H$60,M$8)))),0)</f>
        <v>0</v>
      </c>
      <c r="N175" s="161"/>
      <c r="O175" s="92" t="str">
        <f>IF(OR($A175="",$D175="",N175=""),"",SUMIFS(OBJECTIFS!F$9:F$39,OBJECTIFS!$A$9:$A$39,$D175,OBJECTIFS!$C$9:$C$39,$F175))</f>
        <v/>
      </c>
      <c r="P175" s="90" t="str">
        <f>IF(OR(AND($D175=OBJECTIFS!$B$6,OBJECTIFS!$F$8="dmt"),AND($D175=OBJECTIFS!$B$13,OBJECTIFS!$F$15="dmt"),AND($D175=OBJECTIFS!$B$20,OBJECTIFS!$F$22="dmt"),AND($D175=OBJECTIFS!$B$27,OBJECTIFS!$F$29="dmt"),AND($D175=OBJECTIFS!$B$34,OBJECTIFS!$F$36="dmt"),AND($D175=OBJECTIFS!$B$6,OBJECTIFS!$F$8="taux de chute"),AND($D175=OBJECTIFS!$B$13,OBJECTIFS!$F$15="taux de chute"),AND($D175=OBJECTIFS!$B$20,OBJECTIFS!$F$22="taux de chute"),AND($D175=OBJECTIFS!$B$27,OBJECTIFS!$F$29="taux de chute"),AND($D175=OBJECTIFS!$B$34,OBJECTIFS!$F$36="taux de chute")),IFERROR(O175/N175,""),IFERROR(N175/O175,""))</f>
        <v/>
      </c>
      <c r="Q175" s="91">
        <f>IFERROR(IF(OR(N175="",O175="",P175=""),0,IF(P175&lt;OBJECTIFS!$E$56,0,IF(P175&lt;OBJECTIFS!$G$56,Q$8*OBJECTIFS!$F$60,IF(P175&lt;OBJECTIFS!$I$56,Q$8*OBJECTIFS!$H$60,Q$8)))),0)</f>
        <v>0</v>
      </c>
      <c r="R175" s="164"/>
      <c r="S175" s="93" t="str">
        <f>IF(OR($A175="",$D175="",R175=""),"",SUMIFS(OBJECTIFS!G$9:G$39,OBJECTIFS!$A$9:$A$39,$D175,OBJECTIFS!$C$9:$C$39,$F175))</f>
        <v/>
      </c>
      <c r="T175" s="90" t="str">
        <f>IF(OR(AND($D175=OBJECTIFS!$B$6,OBJECTIFS!G$8="dmt"),AND($D175=OBJECTIFS!$B$13,OBJECTIFS!$G$15="dmt"),AND($D175=OBJECTIFS!$B$20,OBJECTIFS!$G$22="dmt"),AND($D175=OBJECTIFS!$B$27,OBJECTIFS!$G$29="dmt"),AND($D175=OBJECTIFS!$B$34,OBJECTIFS!$G$36="dmt"),AND($D175=OBJECTIFS!$B$6,OBJECTIFS!$G$8="taux de chute"),AND($D175=OBJECTIFS!$B$13,OBJECTIFS!$G$15="taux de chute"),AND($D175=OBJECTIFS!$B$20,OBJECTIFS!$G$22="taux de chute"),AND($D175=OBJECTIFS!$B$27,OBJECTIFS!$G$29="taux de chute"),AND($D175=OBJECTIFS!$B$34,OBJECTIFS!$G$36="taux de chute")),IFERROR(S175/R175,""),IFERROR(R175/S175,""))</f>
        <v/>
      </c>
      <c r="U175" s="94">
        <f>IFERROR(IF(OR(R175="",S175="",T175=""),0,IF(T175&lt;OBJECTIFS!$E$56,0,IF(T175&lt;OBJECTIFS!$G$56,U$8*OBJECTIFS!$F$60,IF(T175&lt;OBJECTIFS!$I$56,U$8*OBJECTIFS!$H$60,U$8)))),0)</f>
        <v>0</v>
      </c>
      <c r="V175" s="25"/>
      <c r="W175" s="90" t="str">
        <f>IF(OR($A175="",$D175="",V175=""),"",SUMIFS(OBJECTIFS!H$9:H$39,OBJECTIFS!$A$9:$A$39,$D175,OBJECTIFS!$C$9:$C$39,$F175))</f>
        <v/>
      </c>
      <c r="X175" s="90" t="str">
        <f>IF(OR(AND($D175=OBJECTIFS!$B$6,OBJECTIFS!H$8="dmt"),AND($D175=OBJECTIFS!$B$13,OBJECTIFS!$H$15="dmt"),AND($D175=OBJECTIFS!$B$20,OBJECTIFS!$H$22="dmt"),AND($D175=OBJECTIFS!$B$27,OBJECTIFS!$H$29="dmt"),AND($D175=OBJECTIFS!$B$34,OBJECTIFS!$H$36="dmt"),AND($D175=OBJECTIFS!$B$6,OBJECTIFS!$H$8="taux de chute"),AND($D175=OBJECTIFS!$B$13,OBJECTIFS!$H$15="taux de chute"),AND($D175=OBJECTIFS!$B$20,OBJECTIFS!$H$22="taux de chute"),AND($D175=OBJECTIFS!$B$27,OBJECTIFS!$H$29="taux de chute"),AND($D175=OBJECTIFS!$B$34,OBJECTIFS!$H$36="taux de chute")),IFERROR(W175/V175,""),IFERROR(V175/W175,""))</f>
        <v/>
      </c>
      <c r="Y175" s="91">
        <f>IFERROR(IF(OR(V175="",W175="",X175=""),0,IF(X175&lt;OBJECTIFS!$E$56,0,IF(X175&lt;OBJECTIFS!$G$56,Y$8*OBJECTIFS!$F$60,IF(X175&lt;OBJECTIFS!$I$56,Y$8*OBJECTIFS!$H$60,Y$8)))),0)</f>
        <v>0</v>
      </c>
      <c r="Z175" s="167"/>
      <c r="AA175" s="90" t="str">
        <f>IF(OR($A175="",$D175="",Z175=""),"",SUMIFS(OBJECTIFS!I$9:I$39,OBJECTIFS!$A$9:$A$39,$D175,OBJECTIFS!$C$9:$C$39,$F175))</f>
        <v/>
      </c>
      <c r="AB175" s="90" t="str">
        <f>IF(OR(AND($D175=OBJECTIFS!$B$6,OBJECTIFS!I$8="dmt"),AND($D175=OBJECTIFS!$B$13,OBJECTIFS!$I$15="dmt"),AND($D175=OBJECTIFS!$B$20,OBJECTIFS!$I$22="dmt"),AND($D175=OBJECTIFS!$B$27,OBJECTIFS!$I$29="dmt"),AND($D175=OBJECTIFS!$B$34,OBJECTIFS!$I$36="dmt"),AND($D175=OBJECTIFS!$B$6,OBJECTIFS!$I$8="taux de chute"),AND($D175=OBJECTIFS!$B$13,OBJECTIFS!$I$15="taux de chute"),AND($D175=OBJECTIFS!$B$20,OBJECTIFS!$I$22="taux de chute"),AND($D175=OBJECTIFS!$B$27,OBJECTIFS!$I$29="taux de chute"),AND($D175=OBJECTIFS!$B$34,OBJECTIFS!$I$36="taux de chute")),IFERROR(AA175/Z175,""),IFERROR(Z175/AA175,""))</f>
        <v/>
      </c>
      <c r="AC175" s="95">
        <f>IFERROR(IF(OR(Z175="",AA175="",AB175=""),0,IF(AB175&lt;OBJECTIFS!$E$56,0,IF(AB175&lt;OBJECTIFS!$G$56,AC$8*OBJECTIFS!$F$60,IF(AB175&lt;OBJECTIFS!$I$56,AC$8*OBJECTIFS!$H$60,AC$8)))),0)</f>
        <v>0</v>
      </c>
      <c r="AD175" s="281"/>
      <c r="AE175" s="282"/>
      <c r="AF175" s="96">
        <f t="shared" ca="1" si="29"/>
        <v>0</v>
      </c>
      <c r="AG175" s="63"/>
      <c r="AH175" s="172"/>
      <c r="AI175" s="24"/>
      <c r="AJ175" s="24"/>
      <c r="AK175" s="24"/>
      <c r="AL175" s="24"/>
      <c r="AM175" s="79">
        <f t="shared" si="30"/>
        <v>0</v>
      </c>
      <c r="AN175" s="79">
        <v>22</v>
      </c>
      <c r="AO175" s="80">
        <f t="shared" si="31"/>
        <v>0</v>
      </c>
      <c r="AP175" s="81" t="str">
        <f t="shared" ca="1" si="32"/>
        <v/>
      </c>
      <c r="AQ175" s="82"/>
      <c r="AR175" s="97">
        <f>IFERROR(VLOOKUP(B175,OBJECTIFS!$C$76:$E$137,2,FALSE),0)</f>
        <v>0</v>
      </c>
      <c r="AS175" s="98">
        <f>IFERROR(VLOOKUP(B175,OBJECTIFS!$H$76:$J$137,2,FALSE),0)</f>
        <v>0</v>
      </c>
      <c r="AT175" s="98">
        <f>IFERROR(VLOOKUP(B175,OBJECTIFS!$C$142:$E$203,2,FALSE),0)</f>
        <v>0</v>
      </c>
      <c r="AU175" s="98">
        <f>IFERROR(VLOOKUP(B175,OBJECTIFS!$H$142:$J$203,2,FALSE),0)</f>
        <v>0</v>
      </c>
      <c r="AV175" s="98">
        <f>IFERROR(VLOOKUP(B175,OBJECTIFS!$F$208:$H$269,3,FALSE),0)</f>
        <v>0</v>
      </c>
      <c r="AW175" s="81">
        <f t="shared" si="33"/>
        <v>0</v>
      </c>
      <c r="AX175" s="82"/>
      <c r="AY175" s="99" t="str">
        <f t="shared" ca="1" si="34"/>
        <v/>
      </c>
      <c r="AZ175" s="63"/>
      <c r="BA175" s="100">
        <f t="shared" ca="1" si="35"/>
        <v>0</v>
      </c>
      <c r="BB175" s="64" t="str">
        <f t="shared" ca="1" si="36"/>
        <v/>
      </c>
      <c r="BC175" s="101" t="str">
        <f t="shared" ca="1" si="37"/>
        <v/>
      </c>
    </row>
    <row r="176" spans="1:55" x14ac:dyDescent="0.2">
      <c r="A176" s="21"/>
      <c r="B176" s="22"/>
      <c r="C176" s="22"/>
      <c r="D176" s="23"/>
      <c r="E176" s="24"/>
      <c r="F176" s="34"/>
      <c r="H176" s="89" t="str">
        <f>IF(OR(D176="",F176="",A176=""),"",IF(E176="oui",0,IF(D176=OBJECTIFS!$C$45,VLOOKUP(F176,OBJECTIFS!$C$9:$D$11,2,FALSE),IF(D176=OBJECTIFS!$C$46,VLOOKUP(F176,OBJECTIFS!$C$16:$D$18,2,FALSE),IF(D176=OBJECTIFS!$C$47,VLOOKUP(F176,OBJECTIFS!$C$23:$D$25,2,FALSE),IF(D176=OBJECTIFS!$C$48,VLOOKUP(F176,OBJECTIFS!$C$30:$D$32,2,FALSE),IF(D176=OBJECTIFS!$C$49,VLOOKUP(F176,OBJECTIFS!$C$37:$D$39,2,FALSE))))))))</f>
        <v/>
      </c>
      <c r="J176" s="25"/>
      <c r="K176" s="90" t="str">
        <f>IF(OR($A176="",$D176="",J176=""),"",SUMIFS(OBJECTIFS!E$9:E$39,OBJECTIFS!$A$9:$A$39,$D176,OBJECTIFS!$C$9:$C$39,$F176))</f>
        <v/>
      </c>
      <c r="L176" s="90" t="str">
        <f>IF(OR(AND($D176=OBJECTIFS!$B$6,OBJECTIFS!E$8="dmt"),AND($D176=OBJECTIFS!$B$13,OBJECTIFS!$E$15="dmt"),AND($D176=OBJECTIFS!$B$20,OBJECTIFS!$E$22="dmt"),AND($D176=OBJECTIFS!$B$27,OBJECTIFS!$E$29="dmt"),AND($D176=OBJECTIFS!$B$34,OBJECTIFS!$E$36="dmt"),AND($D176=OBJECTIFS!$B$6,OBJECTIFS!$E$8="taux de chute"),AND($D176=OBJECTIFS!$B$13,OBJECTIFS!$E$15="taux de chute"),AND($D176=OBJECTIFS!$B$20,OBJECTIFS!$E$22="taux de chute"),AND($D176=OBJECTIFS!$B$27,OBJECTIFS!$E$29="taux de chute"),AND($D176=OBJECTIFS!$B$34,OBJECTIFS!$E$36="taux de chute")),IFERROR(K176/J176,""),IFERROR(J176/K176,""))</f>
        <v/>
      </c>
      <c r="M176" s="91">
        <f>IFERROR(IF(OR(J176="",K176="",L176=""),0,IF(L176&lt;OBJECTIFS!$E$56,0,IF(L176&lt;OBJECTIFS!$G$56,M$8*OBJECTIFS!$F$60,IF(L176&lt;OBJECTIFS!$I$56,M$8*OBJECTIFS!$H$60,M$8)))),0)</f>
        <v>0</v>
      </c>
      <c r="N176" s="161"/>
      <c r="O176" s="92" t="str">
        <f>IF(OR($A176="",$D176="",N176=""),"",SUMIFS(OBJECTIFS!F$9:F$39,OBJECTIFS!$A$9:$A$39,$D176,OBJECTIFS!$C$9:$C$39,$F176))</f>
        <v/>
      </c>
      <c r="P176" s="90" t="str">
        <f>IF(OR(AND($D176=OBJECTIFS!$B$6,OBJECTIFS!$F$8="dmt"),AND($D176=OBJECTIFS!$B$13,OBJECTIFS!$F$15="dmt"),AND($D176=OBJECTIFS!$B$20,OBJECTIFS!$F$22="dmt"),AND($D176=OBJECTIFS!$B$27,OBJECTIFS!$F$29="dmt"),AND($D176=OBJECTIFS!$B$34,OBJECTIFS!$F$36="dmt"),AND($D176=OBJECTIFS!$B$6,OBJECTIFS!$F$8="taux de chute"),AND($D176=OBJECTIFS!$B$13,OBJECTIFS!$F$15="taux de chute"),AND($D176=OBJECTIFS!$B$20,OBJECTIFS!$F$22="taux de chute"),AND($D176=OBJECTIFS!$B$27,OBJECTIFS!$F$29="taux de chute"),AND($D176=OBJECTIFS!$B$34,OBJECTIFS!$F$36="taux de chute")),IFERROR(O176/N176,""),IFERROR(N176/O176,""))</f>
        <v/>
      </c>
      <c r="Q176" s="91">
        <f>IFERROR(IF(OR(N176="",O176="",P176=""),0,IF(P176&lt;OBJECTIFS!$E$56,0,IF(P176&lt;OBJECTIFS!$G$56,Q$8*OBJECTIFS!$F$60,IF(P176&lt;OBJECTIFS!$I$56,Q$8*OBJECTIFS!$H$60,Q$8)))),0)</f>
        <v>0</v>
      </c>
      <c r="R176" s="164"/>
      <c r="S176" s="93" t="str">
        <f>IF(OR($A176="",$D176="",R176=""),"",SUMIFS(OBJECTIFS!G$9:G$39,OBJECTIFS!$A$9:$A$39,$D176,OBJECTIFS!$C$9:$C$39,$F176))</f>
        <v/>
      </c>
      <c r="T176" s="90" t="str">
        <f>IF(OR(AND($D176=OBJECTIFS!$B$6,OBJECTIFS!G$8="dmt"),AND($D176=OBJECTIFS!$B$13,OBJECTIFS!$G$15="dmt"),AND($D176=OBJECTIFS!$B$20,OBJECTIFS!$G$22="dmt"),AND($D176=OBJECTIFS!$B$27,OBJECTIFS!$G$29="dmt"),AND($D176=OBJECTIFS!$B$34,OBJECTIFS!$G$36="dmt"),AND($D176=OBJECTIFS!$B$6,OBJECTIFS!$G$8="taux de chute"),AND($D176=OBJECTIFS!$B$13,OBJECTIFS!$G$15="taux de chute"),AND($D176=OBJECTIFS!$B$20,OBJECTIFS!$G$22="taux de chute"),AND($D176=OBJECTIFS!$B$27,OBJECTIFS!$G$29="taux de chute"),AND($D176=OBJECTIFS!$B$34,OBJECTIFS!$G$36="taux de chute")),IFERROR(S176/R176,""),IFERROR(R176/S176,""))</f>
        <v/>
      </c>
      <c r="U176" s="94">
        <f>IFERROR(IF(OR(R176="",S176="",T176=""),0,IF(T176&lt;OBJECTIFS!$E$56,0,IF(T176&lt;OBJECTIFS!$G$56,U$8*OBJECTIFS!$F$60,IF(T176&lt;OBJECTIFS!$I$56,U$8*OBJECTIFS!$H$60,U$8)))),0)</f>
        <v>0</v>
      </c>
      <c r="V176" s="25"/>
      <c r="W176" s="90" t="str">
        <f>IF(OR($A176="",$D176="",V176=""),"",SUMIFS(OBJECTIFS!H$9:H$39,OBJECTIFS!$A$9:$A$39,$D176,OBJECTIFS!$C$9:$C$39,$F176))</f>
        <v/>
      </c>
      <c r="X176" s="90" t="str">
        <f>IF(OR(AND($D176=OBJECTIFS!$B$6,OBJECTIFS!H$8="dmt"),AND($D176=OBJECTIFS!$B$13,OBJECTIFS!$H$15="dmt"),AND($D176=OBJECTIFS!$B$20,OBJECTIFS!$H$22="dmt"),AND($D176=OBJECTIFS!$B$27,OBJECTIFS!$H$29="dmt"),AND($D176=OBJECTIFS!$B$34,OBJECTIFS!$H$36="dmt"),AND($D176=OBJECTIFS!$B$6,OBJECTIFS!$H$8="taux de chute"),AND($D176=OBJECTIFS!$B$13,OBJECTIFS!$H$15="taux de chute"),AND($D176=OBJECTIFS!$B$20,OBJECTIFS!$H$22="taux de chute"),AND($D176=OBJECTIFS!$B$27,OBJECTIFS!$H$29="taux de chute"),AND($D176=OBJECTIFS!$B$34,OBJECTIFS!$H$36="taux de chute")),IFERROR(W176/V176,""),IFERROR(V176/W176,""))</f>
        <v/>
      </c>
      <c r="Y176" s="91">
        <f>IFERROR(IF(OR(V176="",W176="",X176=""),0,IF(X176&lt;OBJECTIFS!$E$56,0,IF(X176&lt;OBJECTIFS!$G$56,Y$8*OBJECTIFS!$F$60,IF(X176&lt;OBJECTIFS!$I$56,Y$8*OBJECTIFS!$H$60,Y$8)))),0)</f>
        <v>0</v>
      </c>
      <c r="Z176" s="167"/>
      <c r="AA176" s="90" t="str">
        <f>IF(OR($A176="",$D176="",Z176=""),"",SUMIFS(OBJECTIFS!I$9:I$39,OBJECTIFS!$A$9:$A$39,$D176,OBJECTIFS!$C$9:$C$39,$F176))</f>
        <v/>
      </c>
      <c r="AB176" s="90" t="str">
        <f>IF(OR(AND($D176=OBJECTIFS!$B$6,OBJECTIFS!I$8="dmt"),AND($D176=OBJECTIFS!$B$13,OBJECTIFS!$I$15="dmt"),AND($D176=OBJECTIFS!$B$20,OBJECTIFS!$I$22="dmt"),AND($D176=OBJECTIFS!$B$27,OBJECTIFS!$I$29="dmt"),AND($D176=OBJECTIFS!$B$34,OBJECTIFS!$I$36="dmt"),AND($D176=OBJECTIFS!$B$6,OBJECTIFS!$I$8="taux de chute"),AND($D176=OBJECTIFS!$B$13,OBJECTIFS!$I$15="taux de chute"),AND($D176=OBJECTIFS!$B$20,OBJECTIFS!$I$22="taux de chute"),AND($D176=OBJECTIFS!$B$27,OBJECTIFS!$I$29="taux de chute"),AND($D176=OBJECTIFS!$B$34,OBJECTIFS!$I$36="taux de chute")),IFERROR(AA176/Z176,""),IFERROR(Z176/AA176,""))</f>
        <v/>
      </c>
      <c r="AC176" s="95">
        <f>IFERROR(IF(OR(Z176="",AA176="",AB176=""),0,IF(AB176&lt;OBJECTIFS!$E$56,0,IF(AB176&lt;OBJECTIFS!$G$56,AC$8*OBJECTIFS!$F$60,IF(AB176&lt;OBJECTIFS!$I$56,AC$8*OBJECTIFS!$H$60,AC$8)))),0)</f>
        <v>0</v>
      </c>
      <c r="AD176" s="281"/>
      <c r="AE176" s="282"/>
      <c r="AF176" s="96">
        <f t="shared" ca="1" si="29"/>
        <v>0</v>
      </c>
      <c r="AG176" s="63"/>
      <c r="AH176" s="172"/>
      <c r="AI176" s="24"/>
      <c r="AJ176" s="24"/>
      <c r="AK176" s="24"/>
      <c r="AL176" s="24"/>
      <c r="AM176" s="79">
        <f t="shared" si="30"/>
        <v>0</v>
      </c>
      <c r="AN176" s="79">
        <v>22</v>
      </c>
      <c r="AO176" s="80">
        <f t="shared" si="31"/>
        <v>0</v>
      </c>
      <c r="AP176" s="81" t="str">
        <f t="shared" ca="1" si="32"/>
        <v/>
      </c>
      <c r="AQ176" s="82"/>
      <c r="AR176" s="97">
        <f>IFERROR(VLOOKUP(B176,OBJECTIFS!$C$76:$E$137,2,FALSE),0)</f>
        <v>0</v>
      </c>
      <c r="AS176" s="98">
        <f>IFERROR(VLOOKUP(B176,OBJECTIFS!$H$76:$J$137,2,FALSE),0)</f>
        <v>0</v>
      </c>
      <c r="AT176" s="98">
        <f>IFERROR(VLOOKUP(B176,OBJECTIFS!$C$142:$E$203,2,FALSE),0)</f>
        <v>0</v>
      </c>
      <c r="AU176" s="98">
        <f>IFERROR(VLOOKUP(B176,OBJECTIFS!$H$142:$J$203,2,FALSE),0)</f>
        <v>0</v>
      </c>
      <c r="AV176" s="98">
        <f>IFERROR(VLOOKUP(B176,OBJECTIFS!$F$208:$H$269,3,FALSE),0)</f>
        <v>0</v>
      </c>
      <c r="AW176" s="81">
        <f t="shared" si="33"/>
        <v>0</v>
      </c>
      <c r="AX176" s="82"/>
      <c r="AY176" s="99" t="str">
        <f t="shared" ca="1" si="34"/>
        <v/>
      </c>
      <c r="AZ176" s="63"/>
      <c r="BA176" s="100">
        <f t="shared" ca="1" si="35"/>
        <v>0</v>
      </c>
      <c r="BB176" s="64" t="str">
        <f t="shared" ca="1" si="36"/>
        <v/>
      </c>
      <c r="BC176" s="101" t="str">
        <f t="shared" ca="1" si="37"/>
        <v/>
      </c>
    </row>
    <row r="177" spans="1:55" x14ac:dyDescent="0.2">
      <c r="A177" s="21"/>
      <c r="B177" s="22"/>
      <c r="C177" s="22"/>
      <c r="D177" s="23"/>
      <c r="E177" s="24"/>
      <c r="F177" s="34"/>
      <c r="H177" s="89" t="str">
        <f>IF(OR(D177="",F177="",A177=""),"",IF(E177="oui",0,IF(D177=OBJECTIFS!$C$45,VLOOKUP(F177,OBJECTIFS!$C$9:$D$11,2,FALSE),IF(D177=OBJECTIFS!$C$46,VLOOKUP(F177,OBJECTIFS!$C$16:$D$18,2,FALSE),IF(D177=OBJECTIFS!$C$47,VLOOKUP(F177,OBJECTIFS!$C$23:$D$25,2,FALSE),IF(D177=OBJECTIFS!$C$48,VLOOKUP(F177,OBJECTIFS!$C$30:$D$32,2,FALSE),IF(D177=OBJECTIFS!$C$49,VLOOKUP(F177,OBJECTIFS!$C$37:$D$39,2,FALSE))))))))</f>
        <v/>
      </c>
      <c r="J177" s="25"/>
      <c r="K177" s="90" t="str">
        <f>IF(OR($A177="",$D177="",J177=""),"",SUMIFS(OBJECTIFS!E$9:E$39,OBJECTIFS!$A$9:$A$39,$D177,OBJECTIFS!$C$9:$C$39,$F177))</f>
        <v/>
      </c>
      <c r="L177" s="90" t="str">
        <f>IF(OR(AND($D177=OBJECTIFS!$B$6,OBJECTIFS!E$8="dmt"),AND($D177=OBJECTIFS!$B$13,OBJECTIFS!$E$15="dmt"),AND($D177=OBJECTIFS!$B$20,OBJECTIFS!$E$22="dmt"),AND($D177=OBJECTIFS!$B$27,OBJECTIFS!$E$29="dmt"),AND($D177=OBJECTIFS!$B$34,OBJECTIFS!$E$36="dmt"),AND($D177=OBJECTIFS!$B$6,OBJECTIFS!$E$8="taux de chute"),AND($D177=OBJECTIFS!$B$13,OBJECTIFS!$E$15="taux de chute"),AND($D177=OBJECTIFS!$B$20,OBJECTIFS!$E$22="taux de chute"),AND($D177=OBJECTIFS!$B$27,OBJECTIFS!$E$29="taux de chute"),AND($D177=OBJECTIFS!$B$34,OBJECTIFS!$E$36="taux de chute")),IFERROR(K177/J177,""),IFERROR(J177/K177,""))</f>
        <v/>
      </c>
      <c r="M177" s="91">
        <f>IFERROR(IF(OR(J177="",K177="",L177=""),0,IF(L177&lt;OBJECTIFS!$E$56,0,IF(L177&lt;OBJECTIFS!$G$56,M$8*OBJECTIFS!$F$60,IF(L177&lt;OBJECTIFS!$I$56,M$8*OBJECTIFS!$H$60,M$8)))),0)</f>
        <v>0</v>
      </c>
      <c r="N177" s="161"/>
      <c r="O177" s="92" t="str">
        <f>IF(OR($A177="",$D177="",N177=""),"",SUMIFS(OBJECTIFS!F$9:F$39,OBJECTIFS!$A$9:$A$39,$D177,OBJECTIFS!$C$9:$C$39,$F177))</f>
        <v/>
      </c>
      <c r="P177" s="90" t="str">
        <f>IF(OR(AND($D177=OBJECTIFS!$B$6,OBJECTIFS!$F$8="dmt"),AND($D177=OBJECTIFS!$B$13,OBJECTIFS!$F$15="dmt"),AND($D177=OBJECTIFS!$B$20,OBJECTIFS!$F$22="dmt"),AND($D177=OBJECTIFS!$B$27,OBJECTIFS!$F$29="dmt"),AND($D177=OBJECTIFS!$B$34,OBJECTIFS!$F$36="dmt"),AND($D177=OBJECTIFS!$B$6,OBJECTIFS!$F$8="taux de chute"),AND($D177=OBJECTIFS!$B$13,OBJECTIFS!$F$15="taux de chute"),AND($D177=OBJECTIFS!$B$20,OBJECTIFS!$F$22="taux de chute"),AND($D177=OBJECTIFS!$B$27,OBJECTIFS!$F$29="taux de chute"),AND($D177=OBJECTIFS!$B$34,OBJECTIFS!$F$36="taux de chute")),IFERROR(O177/N177,""),IFERROR(N177/O177,""))</f>
        <v/>
      </c>
      <c r="Q177" s="91">
        <f>IFERROR(IF(OR(N177="",O177="",P177=""),0,IF(P177&lt;OBJECTIFS!$E$56,0,IF(P177&lt;OBJECTIFS!$G$56,Q$8*OBJECTIFS!$F$60,IF(P177&lt;OBJECTIFS!$I$56,Q$8*OBJECTIFS!$H$60,Q$8)))),0)</f>
        <v>0</v>
      </c>
      <c r="R177" s="164"/>
      <c r="S177" s="93" t="str">
        <f>IF(OR($A177="",$D177="",R177=""),"",SUMIFS(OBJECTIFS!G$9:G$39,OBJECTIFS!$A$9:$A$39,$D177,OBJECTIFS!$C$9:$C$39,$F177))</f>
        <v/>
      </c>
      <c r="T177" s="90" t="str">
        <f>IF(OR(AND($D177=OBJECTIFS!$B$6,OBJECTIFS!G$8="dmt"),AND($D177=OBJECTIFS!$B$13,OBJECTIFS!$G$15="dmt"),AND($D177=OBJECTIFS!$B$20,OBJECTIFS!$G$22="dmt"),AND($D177=OBJECTIFS!$B$27,OBJECTIFS!$G$29="dmt"),AND($D177=OBJECTIFS!$B$34,OBJECTIFS!$G$36="dmt"),AND($D177=OBJECTIFS!$B$6,OBJECTIFS!$G$8="taux de chute"),AND($D177=OBJECTIFS!$B$13,OBJECTIFS!$G$15="taux de chute"),AND($D177=OBJECTIFS!$B$20,OBJECTIFS!$G$22="taux de chute"),AND($D177=OBJECTIFS!$B$27,OBJECTIFS!$G$29="taux de chute"),AND($D177=OBJECTIFS!$B$34,OBJECTIFS!$G$36="taux de chute")),IFERROR(S177/R177,""),IFERROR(R177/S177,""))</f>
        <v/>
      </c>
      <c r="U177" s="94">
        <f>IFERROR(IF(OR(R177="",S177="",T177=""),0,IF(T177&lt;OBJECTIFS!$E$56,0,IF(T177&lt;OBJECTIFS!$G$56,U$8*OBJECTIFS!$F$60,IF(T177&lt;OBJECTIFS!$I$56,U$8*OBJECTIFS!$H$60,U$8)))),0)</f>
        <v>0</v>
      </c>
      <c r="V177" s="25"/>
      <c r="W177" s="90" t="str">
        <f>IF(OR($A177="",$D177="",V177=""),"",SUMIFS(OBJECTIFS!H$9:H$39,OBJECTIFS!$A$9:$A$39,$D177,OBJECTIFS!$C$9:$C$39,$F177))</f>
        <v/>
      </c>
      <c r="X177" s="90" t="str">
        <f>IF(OR(AND($D177=OBJECTIFS!$B$6,OBJECTIFS!H$8="dmt"),AND($D177=OBJECTIFS!$B$13,OBJECTIFS!$H$15="dmt"),AND($D177=OBJECTIFS!$B$20,OBJECTIFS!$H$22="dmt"),AND($D177=OBJECTIFS!$B$27,OBJECTIFS!$H$29="dmt"),AND($D177=OBJECTIFS!$B$34,OBJECTIFS!$H$36="dmt"),AND($D177=OBJECTIFS!$B$6,OBJECTIFS!$H$8="taux de chute"),AND($D177=OBJECTIFS!$B$13,OBJECTIFS!$H$15="taux de chute"),AND($D177=OBJECTIFS!$B$20,OBJECTIFS!$H$22="taux de chute"),AND($D177=OBJECTIFS!$B$27,OBJECTIFS!$H$29="taux de chute"),AND($D177=OBJECTIFS!$B$34,OBJECTIFS!$H$36="taux de chute")),IFERROR(W177/V177,""),IFERROR(V177/W177,""))</f>
        <v/>
      </c>
      <c r="Y177" s="91">
        <f>IFERROR(IF(OR(V177="",W177="",X177=""),0,IF(X177&lt;OBJECTIFS!$E$56,0,IF(X177&lt;OBJECTIFS!$G$56,Y$8*OBJECTIFS!$F$60,IF(X177&lt;OBJECTIFS!$I$56,Y$8*OBJECTIFS!$H$60,Y$8)))),0)</f>
        <v>0</v>
      </c>
      <c r="Z177" s="167"/>
      <c r="AA177" s="90" t="str">
        <f>IF(OR($A177="",$D177="",Z177=""),"",SUMIFS(OBJECTIFS!I$9:I$39,OBJECTIFS!$A$9:$A$39,$D177,OBJECTIFS!$C$9:$C$39,$F177))</f>
        <v/>
      </c>
      <c r="AB177" s="90" t="str">
        <f>IF(OR(AND($D177=OBJECTIFS!$B$6,OBJECTIFS!I$8="dmt"),AND($D177=OBJECTIFS!$B$13,OBJECTIFS!$I$15="dmt"),AND($D177=OBJECTIFS!$B$20,OBJECTIFS!$I$22="dmt"),AND($D177=OBJECTIFS!$B$27,OBJECTIFS!$I$29="dmt"),AND($D177=OBJECTIFS!$B$34,OBJECTIFS!$I$36="dmt"),AND($D177=OBJECTIFS!$B$6,OBJECTIFS!$I$8="taux de chute"),AND($D177=OBJECTIFS!$B$13,OBJECTIFS!$I$15="taux de chute"),AND($D177=OBJECTIFS!$B$20,OBJECTIFS!$I$22="taux de chute"),AND($D177=OBJECTIFS!$B$27,OBJECTIFS!$I$29="taux de chute"),AND($D177=OBJECTIFS!$B$34,OBJECTIFS!$I$36="taux de chute")),IFERROR(AA177/Z177,""),IFERROR(Z177/AA177,""))</f>
        <v/>
      </c>
      <c r="AC177" s="95">
        <f>IFERROR(IF(OR(Z177="",AA177="",AB177=""),0,IF(AB177&lt;OBJECTIFS!$E$56,0,IF(AB177&lt;OBJECTIFS!$G$56,AC$8*OBJECTIFS!$F$60,IF(AB177&lt;OBJECTIFS!$I$56,AC$8*OBJECTIFS!$H$60,AC$8)))),0)</f>
        <v>0</v>
      </c>
      <c r="AD177" s="281"/>
      <c r="AE177" s="282"/>
      <c r="AF177" s="96">
        <f t="shared" ca="1" si="29"/>
        <v>0</v>
      </c>
      <c r="AG177" s="63"/>
      <c r="AH177" s="172"/>
      <c r="AI177" s="24"/>
      <c r="AJ177" s="24"/>
      <c r="AK177" s="24"/>
      <c r="AL177" s="24"/>
      <c r="AM177" s="79">
        <f t="shared" si="30"/>
        <v>0</v>
      </c>
      <c r="AN177" s="79">
        <v>22</v>
      </c>
      <c r="AO177" s="80">
        <f t="shared" si="31"/>
        <v>0</v>
      </c>
      <c r="AP177" s="81" t="str">
        <f t="shared" ca="1" si="32"/>
        <v/>
      </c>
      <c r="AQ177" s="82"/>
      <c r="AR177" s="97">
        <f>IFERROR(VLOOKUP(B177,OBJECTIFS!$C$76:$E$137,2,FALSE),0)</f>
        <v>0</v>
      </c>
      <c r="AS177" s="98">
        <f>IFERROR(VLOOKUP(B177,OBJECTIFS!$H$76:$J$137,2,FALSE),0)</f>
        <v>0</v>
      </c>
      <c r="AT177" s="98">
        <f>IFERROR(VLOOKUP(B177,OBJECTIFS!$C$142:$E$203,2,FALSE),0)</f>
        <v>0</v>
      </c>
      <c r="AU177" s="98">
        <f>IFERROR(VLOOKUP(B177,OBJECTIFS!$H$142:$J$203,2,FALSE),0)</f>
        <v>0</v>
      </c>
      <c r="AV177" s="98">
        <f>IFERROR(VLOOKUP(B177,OBJECTIFS!$F$208:$H$269,3,FALSE),0)</f>
        <v>0</v>
      </c>
      <c r="AW177" s="81">
        <f t="shared" si="33"/>
        <v>0</v>
      </c>
      <c r="AX177" s="82"/>
      <c r="AY177" s="99" t="str">
        <f t="shared" ca="1" si="34"/>
        <v/>
      </c>
      <c r="AZ177" s="63"/>
      <c r="BA177" s="100">
        <f t="shared" ca="1" si="35"/>
        <v>0</v>
      </c>
      <c r="BB177" s="64" t="str">
        <f t="shared" ca="1" si="36"/>
        <v/>
      </c>
      <c r="BC177" s="101" t="str">
        <f t="shared" ca="1" si="37"/>
        <v/>
      </c>
    </row>
    <row r="178" spans="1:55" x14ac:dyDescent="0.2">
      <c r="A178" s="21"/>
      <c r="B178" s="22"/>
      <c r="C178" s="22"/>
      <c r="D178" s="23"/>
      <c r="E178" s="24"/>
      <c r="F178" s="34"/>
      <c r="H178" s="89" t="str">
        <f>IF(OR(D178="",F178="",A178=""),"",IF(E178="oui",0,IF(D178=OBJECTIFS!$C$45,VLOOKUP(F178,OBJECTIFS!$C$9:$D$11,2,FALSE),IF(D178=OBJECTIFS!$C$46,VLOOKUP(F178,OBJECTIFS!$C$16:$D$18,2,FALSE),IF(D178=OBJECTIFS!$C$47,VLOOKUP(F178,OBJECTIFS!$C$23:$D$25,2,FALSE),IF(D178=OBJECTIFS!$C$48,VLOOKUP(F178,OBJECTIFS!$C$30:$D$32,2,FALSE),IF(D178=OBJECTIFS!$C$49,VLOOKUP(F178,OBJECTIFS!$C$37:$D$39,2,FALSE))))))))</f>
        <v/>
      </c>
      <c r="J178" s="25"/>
      <c r="K178" s="90" t="str">
        <f>IF(OR($A178="",$D178="",J178=""),"",SUMIFS(OBJECTIFS!E$9:E$39,OBJECTIFS!$A$9:$A$39,$D178,OBJECTIFS!$C$9:$C$39,$F178))</f>
        <v/>
      </c>
      <c r="L178" s="90" t="str">
        <f>IF(OR(AND($D178=OBJECTIFS!$B$6,OBJECTIFS!E$8="dmt"),AND($D178=OBJECTIFS!$B$13,OBJECTIFS!$E$15="dmt"),AND($D178=OBJECTIFS!$B$20,OBJECTIFS!$E$22="dmt"),AND($D178=OBJECTIFS!$B$27,OBJECTIFS!$E$29="dmt"),AND($D178=OBJECTIFS!$B$34,OBJECTIFS!$E$36="dmt"),AND($D178=OBJECTIFS!$B$6,OBJECTIFS!$E$8="taux de chute"),AND($D178=OBJECTIFS!$B$13,OBJECTIFS!$E$15="taux de chute"),AND($D178=OBJECTIFS!$B$20,OBJECTIFS!$E$22="taux de chute"),AND($D178=OBJECTIFS!$B$27,OBJECTIFS!$E$29="taux de chute"),AND($D178=OBJECTIFS!$B$34,OBJECTIFS!$E$36="taux de chute")),IFERROR(K178/J178,""),IFERROR(J178/K178,""))</f>
        <v/>
      </c>
      <c r="M178" s="91">
        <f>IFERROR(IF(OR(J178="",K178="",L178=""),0,IF(L178&lt;OBJECTIFS!$E$56,0,IF(L178&lt;OBJECTIFS!$G$56,M$8*OBJECTIFS!$F$60,IF(L178&lt;OBJECTIFS!$I$56,M$8*OBJECTIFS!$H$60,M$8)))),0)</f>
        <v>0</v>
      </c>
      <c r="N178" s="161"/>
      <c r="O178" s="92" t="str">
        <f>IF(OR($A178="",$D178="",N178=""),"",SUMIFS(OBJECTIFS!F$9:F$39,OBJECTIFS!$A$9:$A$39,$D178,OBJECTIFS!$C$9:$C$39,$F178))</f>
        <v/>
      </c>
      <c r="P178" s="90" t="str">
        <f>IF(OR(AND($D178=OBJECTIFS!$B$6,OBJECTIFS!$F$8="dmt"),AND($D178=OBJECTIFS!$B$13,OBJECTIFS!$F$15="dmt"),AND($D178=OBJECTIFS!$B$20,OBJECTIFS!$F$22="dmt"),AND($D178=OBJECTIFS!$B$27,OBJECTIFS!$F$29="dmt"),AND($D178=OBJECTIFS!$B$34,OBJECTIFS!$F$36="dmt"),AND($D178=OBJECTIFS!$B$6,OBJECTIFS!$F$8="taux de chute"),AND($D178=OBJECTIFS!$B$13,OBJECTIFS!$F$15="taux de chute"),AND($D178=OBJECTIFS!$B$20,OBJECTIFS!$F$22="taux de chute"),AND($D178=OBJECTIFS!$B$27,OBJECTIFS!$F$29="taux de chute"),AND($D178=OBJECTIFS!$B$34,OBJECTIFS!$F$36="taux de chute")),IFERROR(O178/N178,""),IFERROR(N178/O178,""))</f>
        <v/>
      </c>
      <c r="Q178" s="91">
        <f>IFERROR(IF(OR(N178="",O178="",P178=""),0,IF(P178&lt;OBJECTIFS!$E$56,0,IF(P178&lt;OBJECTIFS!$G$56,Q$8*OBJECTIFS!$F$60,IF(P178&lt;OBJECTIFS!$I$56,Q$8*OBJECTIFS!$H$60,Q$8)))),0)</f>
        <v>0</v>
      </c>
      <c r="R178" s="164"/>
      <c r="S178" s="93" t="str">
        <f>IF(OR($A178="",$D178="",R178=""),"",SUMIFS(OBJECTIFS!G$9:G$39,OBJECTIFS!$A$9:$A$39,$D178,OBJECTIFS!$C$9:$C$39,$F178))</f>
        <v/>
      </c>
      <c r="T178" s="90" t="str">
        <f>IF(OR(AND($D178=OBJECTIFS!$B$6,OBJECTIFS!G$8="dmt"),AND($D178=OBJECTIFS!$B$13,OBJECTIFS!$G$15="dmt"),AND($D178=OBJECTIFS!$B$20,OBJECTIFS!$G$22="dmt"),AND($D178=OBJECTIFS!$B$27,OBJECTIFS!$G$29="dmt"),AND($D178=OBJECTIFS!$B$34,OBJECTIFS!$G$36="dmt"),AND($D178=OBJECTIFS!$B$6,OBJECTIFS!$G$8="taux de chute"),AND($D178=OBJECTIFS!$B$13,OBJECTIFS!$G$15="taux de chute"),AND($D178=OBJECTIFS!$B$20,OBJECTIFS!$G$22="taux de chute"),AND($D178=OBJECTIFS!$B$27,OBJECTIFS!$G$29="taux de chute"),AND($D178=OBJECTIFS!$B$34,OBJECTIFS!$G$36="taux de chute")),IFERROR(S178/R178,""),IFERROR(R178/S178,""))</f>
        <v/>
      </c>
      <c r="U178" s="94">
        <f>IFERROR(IF(OR(R178="",S178="",T178=""),0,IF(T178&lt;OBJECTIFS!$E$56,0,IF(T178&lt;OBJECTIFS!$G$56,U$8*OBJECTIFS!$F$60,IF(T178&lt;OBJECTIFS!$I$56,U$8*OBJECTIFS!$H$60,U$8)))),0)</f>
        <v>0</v>
      </c>
      <c r="V178" s="25"/>
      <c r="W178" s="90" t="str">
        <f>IF(OR($A178="",$D178="",V178=""),"",SUMIFS(OBJECTIFS!H$9:H$39,OBJECTIFS!$A$9:$A$39,$D178,OBJECTIFS!$C$9:$C$39,$F178))</f>
        <v/>
      </c>
      <c r="X178" s="90" t="str">
        <f>IF(OR(AND($D178=OBJECTIFS!$B$6,OBJECTIFS!H$8="dmt"),AND($D178=OBJECTIFS!$B$13,OBJECTIFS!$H$15="dmt"),AND($D178=OBJECTIFS!$B$20,OBJECTIFS!$H$22="dmt"),AND($D178=OBJECTIFS!$B$27,OBJECTIFS!$H$29="dmt"),AND($D178=OBJECTIFS!$B$34,OBJECTIFS!$H$36="dmt"),AND($D178=OBJECTIFS!$B$6,OBJECTIFS!$H$8="taux de chute"),AND($D178=OBJECTIFS!$B$13,OBJECTIFS!$H$15="taux de chute"),AND($D178=OBJECTIFS!$B$20,OBJECTIFS!$H$22="taux de chute"),AND($D178=OBJECTIFS!$B$27,OBJECTIFS!$H$29="taux de chute"),AND($D178=OBJECTIFS!$B$34,OBJECTIFS!$H$36="taux de chute")),IFERROR(W178/V178,""),IFERROR(V178/W178,""))</f>
        <v/>
      </c>
      <c r="Y178" s="91">
        <f>IFERROR(IF(OR(V178="",W178="",X178=""),0,IF(X178&lt;OBJECTIFS!$E$56,0,IF(X178&lt;OBJECTIFS!$G$56,Y$8*OBJECTIFS!$F$60,IF(X178&lt;OBJECTIFS!$I$56,Y$8*OBJECTIFS!$H$60,Y$8)))),0)</f>
        <v>0</v>
      </c>
      <c r="Z178" s="167"/>
      <c r="AA178" s="90" t="str">
        <f>IF(OR($A178="",$D178="",Z178=""),"",SUMIFS(OBJECTIFS!I$9:I$39,OBJECTIFS!$A$9:$A$39,$D178,OBJECTIFS!$C$9:$C$39,$F178))</f>
        <v/>
      </c>
      <c r="AB178" s="90" t="str">
        <f>IF(OR(AND($D178=OBJECTIFS!$B$6,OBJECTIFS!I$8="dmt"),AND($D178=OBJECTIFS!$B$13,OBJECTIFS!$I$15="dmt"),AND($D178=OBJECTIFS!$B$20,OBJECTIFS!$I$22="dmt"),AND($D178=OBJECTIFS!$B$27,OBJECTIFS!$I$29="dmt"),AND($D178=OBJECTIFS!$B$34,OBJECTIFS!$I$36="dmt"),AND($D178=OBJECTIFS!$B$6,OBJECTIFS!$I$8="taux de chute"),AND($D178=OBJECTIFS!$B$13,OBJECTIFS!$I$15="taux de chute"),AND($D178=OBJECTIFS!$B$20,OBJECTIFS!$I$22="taux de chute"),AND($D178=OBJECTIFS!$B$27,OBJECTIFS!$I$29="taux de chute"),AND($D178=OBJECTIFS!$B$34,OBJECTIFS!$I$36="taux de chute")),IFERROR(AA178/Z178,""),IFERROR(Z178/AA178,""))</f>
        <v/>
      </c>
      <c r="AC178" s="95">
        <f>IFERROR(IF(OR(Z178="",AA178="",AB178=""),0,IF(AB178&lt;OBJECTIFS!$E$56,0,IF(AB178&lt;OBJECTIFS!$G$56,AC$8*OBJECTIFS!$F$60,IF(AB178&lt;OBJECTIFS!$I$56,AC$8*OBJECTIFS!$H$60,AC$8)))),0)</f>
        <v>0</v>
      </c>
      <c r="AD178" s="281"/>
      <c r="AE178" s="282"/>
      <c r="AF178" s="96">
        <f t="shared" ca="1" si="29"/>
        <v>0</v>
      </c>
      <c r="AG178" s="63"/>
      <c r="AH178" s="172"/>
      <c r="AI178" s="24"/>
      <c r="AJ178" s="24"/>
      <c r="AK178" s="24"/>
      <c r="AL178" s="24"/>
      <c r="AM178" s="79">
        <f t="shared" si="30"/>
        <v>0</v>
      </c>
      <c r="AN178" s="79">
        <v>22</v>
      </c>
      <c r="AO178" s="80">
        <f t="shared" si="31"/>
        <v>0</v>
      </c>
      <c r="AP178" s="81" t="str">
        <f t="shared" ca="1" si="32"/>
        <v/>
      </c>
      <c r="AQ178" s="82"/>
      <c r="AR178" s="97">
        <f>IFERROR(VLOOKUP(B178,OBJECTIFS!$C$76:$E$137,2,FALSE),0)</f>
        <v>0</v>
      </c>
      <c r="AS178" s="98">
        <f>IFERROR(VLOOKUP(B178,OBJECTIFS!$H$76:$J$137,2,FALSE),0)</f>
        <v>0</v>
      </c>
      <c r="AT178" s="98">
        <f>IFERROR(VLOOKUP(B178,OBJECTIFS!$C$142:$E$203,2,FALSE),0)</f>
        <v>0</v>
      </c>
      <c r="AU178" s="98">
        <f>IFERROR(VLOOKUP(B178,OBJECTIFS!$H$142:$J$203,2,FALSE),0)</f>
        <v>0</v>
      </c>
      <c r="AV178" s="98">
        <f>IFERROR(VLOOKUP(B178,OBJECTIFS!$F$208:$H$269,3,FALSE),0)</f>
        <v>0</v>
      </c>
      <c r="AW178" s="81">
        <f t="shared" si="33"/>
        <v>0</v>
      </c>
      <c r="AX178" s="82"/>
      <c r="AY178" s="99" t="str">
        <f t="shared" ca="1" si="34"/>
        <v/>
      </c>
      <c r="AZ178" s="63"/>
      <c r="BA178" s="100">
        <f t="shared" ca="1" si="35"/>
        <v>0</v>
      </c>
      <c r="BB178" s="64" t="str">
        <f t="shared" ca="1" si="36"/>
        <v/>
      </c>
      <c r="BC178" s="101" t="str">
        <f t="shared" ca="1" si="37"/>
        <v/>
      </c>
    </row>
    <row r="179" spans="1:55" x14ac:dyDescent="0.2">
      <c r="A179" s="21"/>
      <c r="B179" s="22"/>
      <c r="C179" s="22"/>
      <c r="D179" s="23"/>
      <c r="E179" s="24"/>
      <c r="F179" s="34"/>
      <c r="H179" s="89" t="str">
        <f>IF(OR(D179="",F179="",A179=""),"",IF(E179="oui",0,IF(D179=OBJECTIFS!$C$45,VLOOKUP(F179,OBJECTIFS!$C$9:$D$11,2,FALSE),IF(D179=OBJECTIFS!$C$46,VLOOKUP(F179,OBJECTIFS!$C$16:$D$18,2,FALSE),IF(D179=OBJECTIFS!$C$47,VLOOKUP(F179,OBJECTIFS!$C$23:$D$25,2,FALSE),IF(D179=OBJECTIFS!$C$48,VLOOKUP(F179,OBJECTIFS!$C$30:$D$32,2,FALSE),IF(D179=OBJECTIFS!$C$49,VLOOKUP(F179,OBJECTIFS!$C$37:$D$39,2,FALSE))))))))</f>
        <v/>
      </c>
      <c r="J179" s="25"/>
      <c r="K179" s="90" t="str">
        <f>IF(OR($A179="",$D179="",J179=""),"",SUMIFS(OBJECTIFS!E$9:E$39,OBJECTIFS!$A$9:$A$39,$D179,OBJECTIFS!$C$9:$C$39,$F179))</f>
        <v/>
      </c>
      <c r="L179" s="90" t="str">
        <f>IF(OR(AND($D179=OBJECTIFS!$B$6,OBJECTIFS!E$8="dmt"),AND($D179=OBJECTIFS!$B$13,OBJECTIFS!$E$15="dmt"),AND($D179=OBJECTIFS!$B$20,OBJECTIFS!$E$22="dmt"),AND($D179=OBJECTIFS!$B$27,OBJECTIFS!$E$29="dmt"),AND($D179=OBJECTIFS!$B$34,OBJECTIFS!$E$36="dmt"),AND($D179=OBJECTIFS!$B$6,OBJECTIFS!$E$8="taux de chute"),AND($D179=OBJECTIFS!$B$13,OBJECTIFS!$E$15="taux de chute"),AND($D179=OBJECTIFS!$B$20,OBJECTIFS!$E$22="taux de chute"),AND($D179=OBJECTIFS!$B$27,OBJECTIFS!$E$29="taux de chute"),AND($D179=OBJECTIFS!$B$34,OBJECTIFS!$E$36="taux de chute")),IFERROR(K179/J179,""),IFERROR(J179/K179,""))</f>
        <v/>
      </c>
      <c r="M179" s="91">
        <f>IFERROR(IF(OR(J179="",K179="",L179=""),0,IF(L179&lt;OBJECTIFS!$E$56,0,IF(L179&lt;OBJECTIFS!$G$56,M$8*OBJECTIFS!$F$60,IF(L179&lt;OBJECTIFS!$I$56,M$8*OBJECTIFS!$H$60,M$8)))),0)</f>
        <v>0</v>
      </c>
      <c r="N179" s="161"/>
      <c r="O179" s="92" t="str">
        <f>IF(OR($A179="",$D179="",N179=""),"",SUMIFS(OBJECTIFS!F$9:F$39,OBJECTIFS!$A$9:$A$39,$D179,OBJECTIFS!$C$9:$C$39,$F179))</f>
        <v/>
      </c>
      <c r="P179" s="90" t="str">
        <f>IF(OR(AND($D179=OBJECTIFS!$B$6,OBJECTIFS!$F$8="dmt"),AND($D179=OBJECTIFS!$B$13,OBJECTIFS!$F$15="dmt"),AND($D179=OBJECTIFS!$B$20,OBJECTIFS!$F$22="dmt"),AND($D179=OBJECTIFS!$B$27,OBJECTIFS!$F$29="dmt"),AND($D179=OBJECTIFS!$B$34,OBJECTIFS!$F$36="dmt"),AND($D179=OBJECTIFS!$B$6,OBJECTIFS!$F$8="taux de chute"),AND($D179=OBJECTIFS!$B$13,OBJECTIFS!$F$15="taux de chute"),AND($D179=OBJECTIFS!$B$20,OBJECTIFS!$F$22="taux de chute"),AND($D179=OBJECTIFS!$B$27,OBJECTIFS!$F$29="taux de chute"),AND($D179=OBJECTIFS!$B$34,OBJECTIFS!$F$36="taux de chute")),IFERROR(O179/N179,""),IFERROR(N179/O179,""))</f>
        <v/>
      </c>
      <c r="Q179" s="91">
        <f>IFERROR(IF(OR(N179="",O179="",P179=""),0,IF(P179&lt;OBJECTIFS!$E$56,0,IF(P179&lt;OBJECTIFS!$G$56,Q$8*OBJECTIFS!$F$60,IF(P179&lt;OBJECTIFS!$I$56,Q$8*OBJECTIFS!$H$60,Q$8)))),0)</f>
        <v>0</v>
      </c>
      <c r="R179" s="164"/>
      <c r="S179" s="93" t="str">
        <f>IF(OR($A179="",$D179="",R179=""),"",SUMIFS(OBJECTIFS!G$9:G$39,OBJECTIFS!$A$9:$A$39,$D179,OBJECTIFS!$C$9:$C$39,$F179))</f>
        <v/>
      </c>
      <c r="T179" s="90" t="str">
        <f>IF(OR(AND($D179=OBJECTIFS!$B$6,OBJECTIFS!G$8="dmt"),AND($D179=OBJECTIFS!$B$13,OBJECTIFS!$G$15="dmt"),AND($D179=OBJECTIFS!$B$20,OBJECTIFS!$G$22="dmt"),AND($D179=OBJECTIFS!$B$27,OBJECTIFS!$G$29="dmt"),AND($D179=OBJECTIFS!$B$34,OBJECTIFS!$G$36="dmt"),AND($D179=OBJECTIFS!$B$6,OBJECTIFS!$G$8="taux de chute"),AND($D179=OBJECTIFS!$B$13,OBJECTIFS!$G$15="taux de chute"),AND($D179=OBJECTIFS!$B$20,OBJECTIFS!$G$22="taux de chute"),AND($D179=OBJECTIFS!$B$27,OBJECTIFS!$G$29="taux de chute"),AND($D179=OBJECTIFS!$B$34,OBJECTIFS!$G$36="taux de chute")),IFERROR(S179/R179,""),IFERROR(R179/S179,""))</f>
        <v/>
      </c>
      <c r="U179" s="94">
        <f>IFERROR(IF(OR(R179="",S179="",T179=""),0,IF(T179&lt;OBJECTIFS!$E$56,0,IF(T179&lt;OBJECTIFS!$G$56,U$8*OBJECTIFS!$F$60,IF(T179&lt;OBJECTIFS!$I$56,U$8*OBJECTIFS!$H$60,U$8)))),0)</f>
        <v>0</v>
      </c>
      <c r="V179" s="25"/>
      <c r="W179" s="90" t="str">
        <f>IF(OR($A179="",$D179="",V179=""),"",SUMIFS(OBJECTIFS!H$9:H$39,OBJECTIFS!$A$9:$A$39,$D179,OBJECTIFS!$C$9:$C$39,$F179))</f>
        <v/>
      </c>
      <c r="X179" s="90" t="str">
        <f>IF(OR(AND($D179=OBJECTIFS!$B$6,OBJECTIFS!H$8="dmt"),AND($D179=OBJECTIFS!$B$13,OBJECTIFS!$H$15="dmt"),AND($D179=OBJECTIFS!$B$20,OBJECTIFS!$H$22="dmt"),AND($D179=OBJECTIFS!$B$27,OBJECTIFS!$H$29="dmt"),AND($D179=OBJECTIFS!$B$34,OBJECTIFS!$H$36="dmt"),AND($D179=OBJECTIFS!$B$6,OBJECTIFS!$H$8="taux de chute"),AND($D179=OBJECTIFS!$B$13,OBJECTIFS!$H$15="taux de chute"),AND($D179=OBJECTIFS!$B$20,OBJECTIFS!$H$22="taux de chute"),AND($D179=OBJECTIFS!$B$27,OBJECTIFS!$H$29="taux de chute"),AND($D179=OBJECTIFS!$B$34,OBJECTIFS!$H$36="taux de chute")),IFERROR(W179/V179,""),IFERROR(V179/W179,""))</f>
        <v/>
      </c>
      <c r="Y179" s="91">
        <f>IFERROR(IF(OR(V179="",W179="",X179=""),0,IF(X179&lt;OBJECTIFS!$E$56,0,IF(X179&lt;OBJECTIFS!$G$56,Y$8*OBJECTIFS!$F$60,IF(X179&lt;OBJECTIFS!$I$56,Y$8*OBJECTIFS!$H$60,Y$8)))),0)</f>
        <v>0</v>
      </c>
      <c r="Z179" s="167"/>
      <c r="AA179" s="90" t="str">
        <f>IF(OR($A179="",$D179="",Z179=""),"",SUMIFS(OBJECTIFS!I$9:I$39,OBJECTIFS!$A$9:$A$39,$D179,OBJECTIFS!$C$9:$C$39,$F179))</f>
        <v/>
      </c>
      <c r="AB179" s="90" t="str">
        <f>IF(OR(AND($D179=OBJECTIFS!$B$6,OBJECTIFS!I$8="dmt"),AND($D179=OBJECTIFS!$B$13,OBJECTIFS!$I$15="dmt"),AND($D179=OBJECTIFS!$B$20,OBJECTIFS!$I$22="dmt"),AND($D179=OBJECTIFS!$B$27,OBJECTIFS!$I$29="dmt"),AND($D179=OBJECTIFS!$B$34,OBJECTIFS!$I$36="dmt"),AND($D179=OBJECTIFS!$B$6,OBJECTIFS!$I$8="taux de chute"),AND($D179=OBJECTIFS!$B$13,OBJECTIFS!$I$15="taux de chute"),AND($D179=OBJECTIFS!$B$20,OBJECTIFS!$I$22="taux de chute"),AND($D179=OBJECTIFS!$B$27,OBJECTIFS!$I$29="taux de chute"),AND($D179=OBJECTIFS!$B$34,OBJECTIFS!$I$36="taux de chute")),IFERROR(AA179/Z179,""),IFERROR(Z179/AA179,""))</f>
        <v/>
      </c>
      <c r="AC179" s="95">
        <f>IFERROR(IF(OR(Z179="",AA179="",AB179=""),0,IF(AB179&lt;OBJECTIFS!$E$56,0,IF(AB179&lt;OBJECTIFS!$G$56,AC$8*OBJECTIFS!$F$60,IF(AB179&lt;OBJECTIFS!$I$56,AC$8*OBJECTIFS!$H$60,AC$8)))),0)</f>
        <v>0</v>
      </c>
      <c r="AD179" s="281"/>
      <c r="AE179" s="282"/>
      <c r="AF179" s="96">
        <f t="shared" ca="1" si="29"/>
        <v>0</v>
      </c>
      <c r="AG179" s="63"/>
      <c r="AH179" s="172"/>
      <c r="AI179" s="24"/>
      <c r="AJ179" s="24"/>
      <c r="AK179" s="24"/>
      <c r="AL179" s="24"/>
      <c r="AM179" s="79">
        <f t="shared" si="30"/>
        <v>0</v>
      </c>
      <c r="AN179" s="79">
        <v>22</v>
      </c>
      <c r="AO179" s="80">
        <f t="shared" si="31"/>
        <v>0</v>
      </c>
      <c r="AP179" s="81" t="str">
        <f t="shared" ca="1" si="32"/>
        <v/>
      </c>
      <c r="AQ179" s="82"/>
      <c r="AR179" s="97">
        <f>IFERROR(VLOOKUP(B179,OBJECTIFS!$C$76:$E$137,2,FALSE),0)</f>
        <v>0</v>
      </c>
      <c r="AS179" s="98">
        <f>IFERROR(VLOOKUP(B179,OBJECTIFS!$H$76:$J$137,2,FALSE),0)</f>
        <v>0</v>
      </c>
      <c r="AT179" s="98">
        <f>IFERROR(VLOOKUP(B179,OBJECTIFS!$C$142:$E$203,2,FALSE),0)</f>
        <v>0</v>
      </c>
      <c r="AU179" s="98">
        <f>IFERROR(VLOOKUP(B179,OBJECTIFS!$H$142:$J$203,2,FALSE),0)</f>
        <v>0</v>
      </c>
      <c r="AV179" s="98">
        <f>IFERROR(VLOOKUP(B179,OBJECTIFS!$F$208:$H$269,3,FALSE),0)</f>
        <v>0</v>
      </c>
      <c r="AW179" s="81">
        <f t="shared" si="33"/>
        <v>0</v>
      </c>
      <c r="AX179" s="82"/>
      <c r="AY179" s="99" t="str">
        <f t="shared" ca="1" si="34"/>
        <v/>
      </c>
      <c r="AZ179" s="63"/>
      <c r="BA179" s="100">
        <f t="shared" ca="1" si="35"/>
        <v>0</v>
      </c>
      <c r="BB179" s="64" t="str">
        <f t="shared" ca="1" si="36"/>
        <v/>
      </c>
      <c r="BC179" s="101" t="str">
        <f t="shared" ca="1" si="37"/>
        <v/>
      </c>
    </row>
    <row r="180" spans="1:55" x14ac:dyDescent="0.2">
      <c r="A180" s="21"/>
      <c r="B180" s="22"/>
      <c r="C180" s="22"/>
      <c r="D180" s="23"/>
      <c r="E180" s="24"/>
      <c r="F180" s="34"/>
      <c r="H180" s="89" t="str">
        <f>IF(OR(D180="",F180="",A180=""),"",IF(E180="oui",0,IF(D180=OBJECTIFS!$C$45,VLOOKUP(F180,OBJECTIFS!$C$9:$D$11,2,FALSE),IF(D180=OBJECTIFS!$C$46,VLOOKUP(F180,OBJECTIFS!$C$16:$D$18,2,FALSE),IF(D180=OBJECTIFS!$C$47,VLOOKUP(F180,OBJECTIFS!$C$23:$D$25,2,FALSE),IF(D180=OBJECTIFS!$C$48,VLOOKUP(F180,OBJECTIFS!$C$30:$D$32,2,FALSE),IF(D180=OBJECTIFS!$C$49,VLOOKUP(F180,OBJECTIFS!$C$37:$D$39,2,FALSE))))))))</f>
        <v/>
      </c>
      <c r="J180" s="25"/>
      <c r="K180" s="90" t="str">
        <f>IF(OR($A180="",$D180="",J180=""),"",SUMIFS(OBJECTIFS!E$9:E$39,OBJECTIFS!$A$9:$A$39,$D180,OBJECTIFS!$C$9:$C$39,$F180))</f>
        <v/>
      </c>
      <c r="L180" s="90" t="str">
        <f>IF(OR(AND($D180=OBJECTIFS!$B$6,OBJECTIFS!E$8="dmt"),AND($D180=OBJECTIFS!$B$13,OBJECTIFS!$E$15="dmt"),AND($D180=OBJECTIFS!$B$20,OBJECTIFS!$E$22="dmt"),AND($D180=OBJECTIFS!$B$27,OBJECTIFS!$E$29="dmt"),AND($D180=OBJECTIFS!$B$34,OBJECTIFS!$E$36="dmt"),AND($D180=OBJECTIFS!$B$6,OBJECTIFS!$E$8="taux de chute"),AND($D180=OBJECTIFS!$B$13,OBJECTIFS!$E$15="taux de chute"),AND($D180=OBJECTIFS!$B$20,OBJECTIFS!$E$22="taux de chute"),AND($D180=OBJECTIFS!$B$27,OBJECTIFS!$E$29="taux de chute"),AND($D180=OBJECTIFS!$B$34,OBJECTIFS!$E$36="taux de chute")),IFERROR(K180/J180,""),IFERROR(J180/K180,""))</f>
        <v/>
      </c>
      <c r="M180" s="91">
        <f>IFERROR(IF(OR(J180="",K180="",L180=""),0,IF(L180&lt;OBJECTIFS!$E$56,0,IF(L180&lt;OBJECTIFS!$G$56,M$8*OBJECTIFS!$F$60,IF(L180&lt;OBJECTIFS!$I$56,M$8*OBJECTIFS!$H$60,M$8)))),0)</f>
        <v>0</v>
      </c>
      <c r="N180" s="161"/>
      <c r="O180" s="92" t="str">
        <f>IF(OR($A180="",$D180="",N180=""),"",SUMIFS(OBJECTIFS!F$9:F$39,OBJECTIFS!$A$9:$A$39,$D180,OBJECTIFS!$C$9:$C$39,$F180))</f>
        <v/>
      </c>
      <c r="P180" s="90" t="str">
        <f>IF(OR(AND($D180=OBJECTIFS!$B$6,OBJECTIFS!$F$8="dmt"),AND($D180=OBJECTIFS!$B$13,OBJECTIFS!$F$15="dmt"),AND($D180=OBJECTIFS!$B$20,OBJECTIFS!$F$22="dmt"),AND($D180=OBJECTIFS!$B$27,OBJECTIFS!$F$29="dmt"),AND($D180=OBJECTIFS!$B$34,OBJECTIFS!$F$36="dmt"),AND($D180=OBJECTIFS!$B$6,OBJECTIFS!$F$8="taux de chute"),AND($D180=OBJECTIFS!$B$13,OBJECTIFS!$F$15="taux de chute"),AND($D180=OBJECTIFS!$B$20,OBJECTIFS!$F$22="taux de chute"),AND($D180=OBJECTIFS!$B$27,OBJECTIFS!$F$29="taux de chute"),AND($D180=OBJECTIFS!$B$34,OBJECTIFS!$F$36="taux de chute")),IFERROR(O180/N180,""),IFERROR(N180/O180,""))</f>
        <v/>
      </c>
      <c r="Q180" s="91">
        <f>IFERROR(IF(OR(N180="",O180="",P180=""),0,IF(P180&lt;OBJECTIFS!$E$56,0,IF(P180&lt;OBJECTIFS!$G$56,Q$8*OBJECTIFS!$F$60,IF(P180&lt;OBJECTIFS!$I$56,Q$8*OBJECTIFS!$H$60,Q$8)))),0)</f>
        <v>0</v>
      </c>
      <c r="R180" s="164"/>
      <c r="S180" s="93" t="str">
        <f>IF(OR($A180="",$D180="",R180=""),"",SUMIFS(OBJECTIFS!G$9:G$39,OBJECTIFS!$A$9:$A$39,$D180,OBJECTIFS!$C$9:$C$39,$F180))</f>
        <v/>
      </c>
      <c r="T180" s="90" t="str">
        <f>IF(OR(AND($D180=OBJECTIFS!$B$6,OBJECTIFS!G$8="dmt"),AND($D180=OBJECTIFS!$B$13,OBJECTIFS!$G$15="dmt"),AND($D180=OBJECTIFS!$B$20,OBJECTIFS!$G$22="dmt"),AND($D180=OBJECTIFS!$B$27,OBJECTIFS!$G$29="dmt"),AND($D180=OBJECTIFS!$B$34,OBJECTIFS!$G$36="dmt"),AND($D180=OBJECTIFS!$B$6,OBJECTIFS!$G$8="taux de chute"),AND($D180=OBJECTIFS!$B$13,OBJECTIFS!$G$15="taux de chute"),AND($D180=OBJECTIFS!$B$20,OBJECTIFS!$G$22="taux de chute"),AND($D180=OBJECTIFS!$B$27,OBJECTIFS!$G$29="taux de chute"),AND($D180=OBJECTIFS!$B$34,OBJECTIFS!$G$36="taux de chute")),IFERROR(S180/R180,""),IFERROR(R180/S180,""))</f>
        <v/>
      </c>
      <c r="U180" s="94">
        <f>IFERROR(IF(OR(R180="",S180="",T180=""),0,IF(T180&lt;OBJECTIFS!$E$56,0,IF(T180&lt;OBJECTIFS!$G$56,U$8*OBJECTIFS!$F$60,IF(T180&lt;OBJECTIFS!$I$56,U$8*OBJECTIFS!$H$60,U$8)))),0)</f>
        <v>0</v>
      </c>
      <c r="V180" s="25"/>
      <c r="W180" s="90" t="str">
        <f>IF(OR($A180="",$D180="",V180=""),"",SUMIFS(OBJECTIFS!H$9:H$39,OBJECTIFS!$A$9:$A$39,$D180,OBJECTIFS!$C$9:$C$39,$F180))</f>
        <v/>
      </c>
      <c r="X180" s="90" t="str">
        <f>IF(OR(AND($D180=OBJECTIFS!$B$6,OBJECTIFS!H$8="dmt"),AND($D180=OBJECTIFS!$B$13,OBJECTIFS!$H$15="dmt"),AND($D180=OBJECTIFS!$B$20,OBJECTIFS!$H$22="dmt"),AND($D180=OBJECTIFS!$B$27,OBJECTIFS!$H$29="dmt"),AND($D180=OBJECTIFS!$B$34,OBJECTIFS!$H$36="dmt"),AND($D180=OBJECTIFS!$B$6,OBJECTIFS!$H$8="taux de chute"),AND($D180=OBJECTIFS!$B$13,OBJECTIFS!$H$15="taux de chute"),AND($D180=OBJECTIFS!$B$20,OBJECTIFS!$H$22="taux de chute"),AND($D180=OBJECTIFS!$B$27,OBJECTIFS!$H$29="taux de chute"),AND($D180=OBJECTIFS!$B$34,OBJECTIFS!$H$36="taux de chute")),IFERROR(W180/V180,""),IFERROR(V180/W180,""))</f>
        <v/>
      </c>
      <c r="Y180" s="91">
        <f>IFERROR(IF(OR(V180="",W180="",X180=""),0,IF(X180&lt;OBJECTIFS!$E$56,0,IF(X180&lt;OBJECTIFS!$G$56,Y$8*OBJECTIFS!$F$60,IF(X180&lt;OBJECTIFS!$I$56,Y$8*OBJECTIFS!$H$60,Y$8)))),0)</f>
        <v>0</v>
      </c>
      <c r="Z180" s="167"/>
      <c r="AA180" s="90" t="str">
        <f>IF(OR($A180="",$D180="",Z180=""),"",SUMIFS(OBJECTIFS!I$9:I$39,OBJECTIFS!$A$9:$A$39,$D180,OBJECTIFS!$C$9:$C$39,$F180))</f>
        <v/>
      </c>
      <c r="AB180" s="90" t="str">
        <f>IF(OR(AND($D180=OBJECTIFS!$B$6,OBJECTIFS!I$8="dmt"),AND($D180=OBJECTIFS!$B$13,OBJECTIFS!$I$15="dmt"),AND($D180=OBJECTIFS!$B$20,OBJECTIFS!$I$22="dmt"),AND($D180=OBJECTIFS!$B$27,OBJECTIFS!$I$29="dmt"),AND($D180=OBJECTIFS!$B$34,OBJECTIFS!$I$36="dmt"),AND($D180=OBJECTIFS!$B$6,OBJECTIFS!$I$8="taux de chute"),AND($D180=OBJECTIFS!$B$13,OBJECTIFS!$I$15="taux de chute"),AND($D180=OBJECTIFS!$B$20,OBJECTIFS!$I$22="taux de chute"),AND($D180=OBJECTIFS!$B$27,OBJECTIFS!$I$29="taux de chute"),AND($D180=OBJECTIFS!$B$34,OBJECTIFS!$I$36="taux de chute")),IFERROR(AA180/Z180,""),IFERROR(Z180/AA180,""))</f>
        <v/>
      </c>
      <c r="AC180" s="95">
        <f>IFERROR(IF(OR(Z180="",AA180="",AB180=""),0,IF(AB180&lt;OBJECTIFS!$E$56,0,IF(AB180&lt;OBJECTIFS!$G$56,AC$8*OBJECTIFS!$F$60,IF(AB180&lt;OBJECTIFS!$I$56,AC$8*OBJECTIFS!$H$60,AC$8)))),0)</f>
        <v>0</v>
      </c>
      <c r="AD180" s="281"/>
      <c r="AE180" s="282"/>
      <c r="AF180" s="96">
        <f t="shared" ca="1" si="29"/>
        <v>0</v>
      </c>
      <c r="AG180" s="63"/>
      <c r="AH180" s="172"/>
      <c r="AI180" s="24"/>
      <c r="AJ180" s="24"/>
      <c r="AK180" s="24"/>
      <c r="AL180" s="24"/>
      <c r="AM180" s="79">
        <f t="shared" si="30"/>
        <v>0</v>
      </c>
      <c r="AN180" s="79">
        <v>22</v>
      </c>
      <c r="AO180" s="80">
        <f t="shared" si="31"/>
        <v>0</v>
      </c>
      <c r="AP180" s="81" t="str">
        <f t="shared" ca="1" si="32"/>
        <v/>
      </c>
      <c r="AQ180" s="82"/>
      <c r="AR180" s="97">
        <f>IFERROR(VLOOKUP(B180,OBJECTIFS!$C$76:$E$137,2,FALSE),0)</f>
        <v>0</v>
      </c>
      <c r="AS180" s="98">
        <f>IFERROR(VLOOKUP(B180,OBJECTIFS!$H$76:$J$137,2,FALSE),0)</f>
        <v>0</v>
      </c>
      <c r="AT180" s="98">
        <f>IFERROR(VLOOKUP(B180,OBJECTIFS!$C$142:$E$203,2,FALSE),0)</f>
        <v>0</v>
      </c>
      <c r="AU180" s="98">
        <f>IFERROR(VLOOKUP(B180,OBJECTIFS!$H$142:$J$203,2,FALSE),0)</f>
        <v>0</v>
      </c>
      <c r="AV180" s="98">
        <f>IFERROR(VLOOKUP(B180,OBJECTIFS!$F$208:$H$269,3,FALSE),0)</f>
        <v>0</v>
      </c>
      <c r="AW180" s="81">
        <f t="shared" si="33"/>
        <v>0</v>
      </c>
      <c r="AX180" s="82"/>
      <c r="AY180" s="99" t="str">
        <f t="shared" ca="1" si="34"/>
        <v/>
      </c>
      <c r="AZ180" s="63"/>
      <c r="BA180" s="100">
        <f t="shared" ca="1" si="35"/>
        <v>0</v>
      </c>
      <c r="BB180" s="64" t="str">
        <f t="shared" ca="1" si="36"/>
        <v/>
      </c>
      <c r="BC180" s="101" t="str">
        <f t="shared" ca="1" si="37"/>
        <v/>
      </c>
    </row>
    <row r="181" spans="1:55" x14ac:dyDescent="0.2">
      <c r="A181" s="21"/>
      <c r="B181" s="22"/>
      <c r="C181" s="22"/>
      <c r="D181" s="23"/>
      <c r="E181" s="24"/>
      <c r="F181" s="34"/>
      <c r="H181" s="89" t="str">
        <f>IF(OR(D181="",F181="",A181=""),"",IF(E181="oui",0,IF(D181=OBJECTIFS!$C$45,VLOOKUP(F181,OBJECTIFS!$C$9:$D$11,2,FALSE),IF(D181=OBJECTIFS!$C$46,VLOOKUP(F181,OBJECTIFS!$C$16:$D$18,2,FALSE),IF(D181=OBJECTIFS!$C$47,VLOOKUP(F181,OBJECTIFS!$C$23:$D$25,2,FALSE),IF(D181=OBJECTIFS!$C$48,VLOOKUP(F181,OBJECTIFS!$C$30:$D$32,2,FALSE),IF(D181=OBJECTIFS!$C$49,VLOOKUP(F181,OBJECTIFS!$C$37:$D$39,2,FALSE))))))))</f>
        <v/>
      </c>
      <c r="J181" s="25"/>
      <c r="K181" s="90" t="str">
        <f>IF(OR($A181="",$D181="",J181=""),"",SUMIFS(OBJECTIFS!E$9:E$39,OBJECTIFS!$A$9:$A$39,$D181,OBJECTIFS!$C$9:$C$39,$F181))</f>
        <v/>
      </c>
      <c r="L181" s="90" t="str">
        <f>IF(OR(AND($D181=OBJECTIFS!$B$6,OBJECTIFS!E$8="dmt"),AND($D181=OBJECTIFS!$B$13,OBJECTIFS!$E$15="dmt"),AND($D181=OBJECTIFS!$B$20,OBJECTIFS!$E$22="dmt"),AND($D181=OBJECTIFS!$B$27,OBJECTIFS!$E$29="dmt"),AND($D181=OBJECTIFS!$B$34,OBJECTIFS!$E$36="dmt"),AND($D181=OBJECTIFS!$B$6,OBJECTIFS!$E$8="taux de chute"),AND($D181=OBJECTIFS!$B$13,OBJECTIFS!$E$15="taux de chute"),AND($D181=OBJECTIFS!$B$20,OBJECTIFS!$E$22="taux de chute"),AND($D181=OBJECTIFS!$B$27,OBJECTIFS!$E$29="taux de chute"),AND($D181=OBJECTIFS!$B$34,OBJECTIFS!$E$36="taux de chute")),IFERROR(K181/J181,""),IFERROR(J181/K181,""))</f>
        <v/>
      </c>
      <c r="M181" s="91">
        <f>IFERROR(IF(OR(J181="",K181="",L181=""),0,IF(L181&lt;OBJECTIFS!$E$56,0,IF(L181&lt;OBJECTIFS!$G$56,M$8*OBJECTIFS!$F$60,IF(L181&lt;OBJECTIFS!$I$56,M$8*OBJECTIFS!$H$60,M$8)))),0)</f>
        <v>0</v>
      </c>
      <c r="N181" s="161"/>
      <c r="O181" s="92" t="str">
        <f>IF(OR($A181="",$D181="",N181=""),"",SUMIFS(OBJECTIFS!F$9:F$39,OBJECTIFS!$A$9:$A$39,$D181,OBJECTIFS!$C$9:$C$39,$F181))</f>
        <v/>
      </c>
      <c r="P181" s="90" t="str">
        <f>IF(OR(AND($D181=OBJECTIFS!$B$6,OBJECTIFS!$F$8="dmt"),AND($D181=OBJECTIFS!$B$13,OBJECTIFS!$F$15="dmt"),AND($D181=OBJECTIFS!$B$20,OBJECTIFS!$F$22="dmt"),AND($D181=OBJECTIFS!$B$27,OBJECTIFS!$F$29="dmt"),AND($D181=OBJECTIFS!$B$34,OBJECTIFS!$F$36="dmt"),AND($D181=OBJECTIFS!$B$6,OBJECTIFS!$F$8="taux de chute"),AND($D181=OBJECTIFS!$B$13,OBJECTIFS!$F$15="taux de chute"),AND($D181=OBJECTIFS!$B$20,OBJECTIFS!$F$22="taux de chute"),AND($D181=OBJECTIFS!$B$27,OBJECTIFS!$F$29="taux de chute"),AND($D181=OBJECTIFS!$B$34,OBJECTIFS!$F$36="taux de chute")),IFERROR(O181/N181,""),IFERROR(N181/O181,""))</f>
        <v/>
      </c>
      <c r="Q181" s="91">
        <f>IFERROR(IF(OR(N181="",O181="",P181=""),0,IF(P181&lt;OBJECTIFS!$E$56,0,IF(P181&lt;OBJECTIFS!$G$56,Q$8*OBJECTIFS!$F$60,IF(P181&lt;OBJECTIFS!$I$56,Q$8*OBJECTIFS!$H$60,Q$8)))),0)</f>
        <v>0</v>
      </c>
      <c r="R181" s="164"/>
      <c r="S181" s="93" t="str">
        <f>IF(OR($A181="",$D181="",R181=""),"",SUMIFS(OBJECTIFS!G$9:G$39,OBJECTIFS!$A$9:$A$39,$D181,OBJECTIFS!$C$9:$C$39,$F181))</f>
        <v/>
      </c>
      <c r="T181" s="90" t="str">
        <f>IF(OR(AND($D181=OBJECTIFS!$B$6,OBJECTIFS!G$8="dmt"),AND($D181=OBJECTIFS!$B$13,OBJECTIFS!$G$15="dmt"),AND($D181=OBJECTIFS!$B$20,OBJECTIFS!$G$22="dmt"),AND($D181=OBJECTIFS!$B$27,OBJECTIFS!$G$29="dmt"),AND($D181=OBJECTIFS!$B$34,OBJECTIFS!$G$36="dmt"),AND($D181=OBJECTIFS!$B$6,OBJECTIFS!$G$8="taux de chute"),AND($D181=OBJECTIFS!$B$13,OBJECTIFS!$G$15="taux de chute"),AND($D181=OBJECTIFS!$B$20,OBJECTIFS!$G$22="taux de chute"),AND($D181=OBJECTIFS!$B$27,OBJECTIFS!$G$29="taux de chute"),AND($D181=OBJECTIFS!$B$34,OBJECTIFS!$G$36="taux de chute")),IFERROR(S181/R181,""),IFERROR(R181/S181,""))</f>
        <v/>
      </c>
      <c r="U181" s="94">
        <f>IFERROR(IF(OR(R181="",S181="",T181=""),0,IF(T181&lt;OBJECTIFS!$E$56,0,IF(T181&lt;OBJECTIFS!$G$56,U$8*OBJECTIFS!$F$60,IF(T181&lt;OBJECTIFS!$I$56,U$8*OBJECTIFS!$H$60,U$8)))),0)</f>
        <v>0</v>
      </c>
      <c r="V181" s="25"/>
      <c r="W181" s="90" t="str">
        <f>IF(OR($A181="",$D181="",V181=""),"",SUMIFS(OBJECTIFS!H$9:H$39,OBJECTIFS!$A$9:$A$39,$D181,OBJECTIFS!$C$9:$C$39,$F181))</f>
        <v/>
      </c>
      <c r="X181" s="90" t="str">
        <f>IF(OR(AND($D181=OBJECTIFS!$B$6,OBJECTIFS!H$8="dmt"),AND($D181=OBJECTIFS!$B$13,OBJECTIFS!$H$15="dmt"),AND($D181=OBJECTIFS!$B$20,OBJECTIFS!$H$22="dmt"),AND($D181=OBJECTIFS!$B$27,OBJECTIFS!$H$29="dmt"),AND($D181=OBJECTIFS!$B$34,OBJECTIFS!$H$36="dmt"),AND($D181=OBJECTIFS!$B$6,OBJECTIFS!$H$8="taux de chute"),AND($D181=OBJECTIFS!$B$13,OBJECTIFS!$H$15="taux de chute"),AND($D181=OBJECTIFS!$B$20,OBJECTIFS!$H$22="taux de chute"),AND($D181=OBJECTIFS!$B$27,OBJECTIFS!$H$29="taux de chute"),AND($D181=OBJECTIFS!$B$34,OBJECTIFS!$H$36="taux de chute")),IFERROR(W181/V181,""),IFERROR(V181/W181,""))</f>
        <v/>
      </c>
      <c r="Y181" s="91">
        <f>IFERROR(IF(OR(V181="",W181="",X181=""),0,IF(X181&lt;OBJECTIFS!$E$56,0,IF(X181&lt;OBJECTIFS!$G$56,Y$8*OBJECTIFS!$F$60,IF(X181&lt;OBJECTIFS!$I$56,Y$8*OBJECTIFS!$H$60,Y$8)))),0)</f>
        <v>0</v>
      </c>
      <c r="Z181" s="167"/>
      <c r="AA181" s="90" t="str">
        <f>IF(OR($A181="",$D181="",Z181=""),"",SUMIFS(OBJECTIFS!I$9:I$39,OBJECTIFS!$A$9:$A$39,$D181,OBJECTIFS!$C$9:$C$39,$F181))</f>
        <v/>
      </c>
      <c r="AB181" s="90" t="str">
        <f>IF(OR(AND($D181=OBJECTIFS!$B$6,OBJECTIFS!I$8="dmt"),AND($D181=OBJECTIFS!$B$13,OBJECTIFS!$I$15="dmt"),AND($D181=OBJECTIFS!$B$20,OBJECTIFS!$I$22="dmt"),AND($D181=OBJECTIFS!$B$27,OBJECTIFS!$I$29="dmt"),AND($D181=OBJECTIFS!$B$34,OBJECTIFS!$I$36="dmt"),AND($D181=OBJECTIFS!$B$6,OBJECTIFS!$I$8="taux de chute"),AND($D181=OBJECTIFS!$B$13,OBJECTIFS!$I$15="taux de chute"),AND($D181=OBJECTIFS!$B$20,OBJECTIFS!$I$22="taux de chute"),AND($D181=OBJECTIFS!$B$27,OBJECTIFS!$I$29="taux de chute"),AND($D181=OBJECTIFS!$B$34,OBJECTIFS!$I$36="taux de chute")),IFERROR(AA181/Z181,""),IFERROR(Z181/AA181,""))</f>
        <v/>
      </c>
      <c r="AC181" s="95">
        <f>IFERROR(IF(OR(Z181="",AA181="",AB181=""),0,IF(AB181&lt;OBJECTIFS!$E$56,0,IF(AB181&lt;OBJECTIFS!$G$56,AC$8*OBJECTIFS!$F$60,IF(AB181&lt;OBJECTIFS!$I$56,AC$8*OBJECTIFS!$H$60,AC$8)))),0)</f>
        <v>0</v>
      </c>
      <c r="AD181" s="281"/>
      <c r="AE181" s="282"/>
      <c r="AF181" s="96">
        <f t="shared" ca="1" si="29"/>
        <v>0</v>
      </c>
      <c r="AG181" s="63"/>
      <c r="AH181" s="172"/>
      <c r="AI181" s="24"/>
      <c r="AJ181" s="24"/>
      <c r="AK181" s="24"/>
      <c r="AL181" s="24"/>
      <c r="AM181" s="79">
        <f t="shared" si="30"/>
        <v>0</v>
      </c>
      <c r="AN181" s="79">
        <v>22</v>
      </c>
      <c r="AO181" s="80">
        <f t="shared" si="31"/>
        <v>0</v>
      </c>
      <c r="AP181" s="81" t="str">
        <f t="shared" ca="1" si="32"/>
        <v/>
      </c>
      <c r="AQ181" s="82"/>
      <c r="AR181" s="97">
        <f>IFERROR(VLOOKUP(B181,OBJECTIFS!$C$76:$E$137,2,FALSE),0)</f>
        <v>0</v>
      </c>
      <c r="AS181" s="98">
        <f>IFERROR(VLOOKUP(B181,OBJECTIFS!$H$76:$J$137,2,FALSE),0)</f>
        <v>0</v>
      </c>
      <c r="AT181" s="98">
        <f>IFERROR(VLOOKUP(B181,OBJECTIFS!$C$142:$E$203,2,FALSE),0)</f>
        <v>0</v>
      </c>
      <c r="AU181" s="98">
        <f>IFERROR(VLOOKUP(B181,OBJECTIFS!$H$142:$J$203,2,FALSE),0)</f>
        <v>0</v>
      </c>
      <c r="AV181" s="98">
        <f>IFERROR(VLOOKUP(B181,OBJECTIFS!$F$208:$H$269,3,FALSE),0)</f>
        <v>0</v>
      </c>
      <c r="AW181" s="81">
        <f t="shared" si="33"/>
        <v>0</v>
      </c>
      <c r="AX181" s="82"/>
      <c r="AY181" s="99" t="str">
        <f t="shared" ca="1" si="34"/>
        <v/>
      </c>
      <c r="AZ181" s="63"/>
      <c r="BA181" s="100">
        <f t="shared" ca="1" si="35"/>
        <v>0</v>
      </c>
      <c r="BB181" s="64" t="str">
        <f t="shared" ca="1" si="36"/>
        <v/>
      </c>
      <c r="BC181" s="101" t="str">
        <f t="shared" ca="1" si="37"/>
        <v/>
      </c>
    </row>
    <row r="182" spans="1:55" x14ac:dyDescent="0.2">
      <c r="A182" s="21"/>
      <c r="B182" s="22"/>
      <c r="C182" s="22"/>
      <c r="D182" s="23"/>
      <c r="E182" s="24"/>
      <c r="F182" s="34"/>
      <c r="H182" s="89" t="str">
        <f>IF(OR(D182="",F182="",A182=""),"",IF(E182="oui",0,IF(D182=OBJECTIFS!$C$45,VLOOKUP(F182,OBJECTIFS!$C$9:$D$11,2,FALSE),IF(D182=OBJECTIFS!$C$46,VLOOKUP(F182,OBJECTIFS!$C$16:$D$18,2,FALSE),IF(D182=OBJECTIFS!$C$47,VLOOKUP(F182,OBJECTIFS!$C$23:$D$25,2,FALSE),IF(D182=OBJECTIFS!$C$48,VLOOKUP(F182,OBJECTIFS!$C$30:$D$32,2,FALSE),IF(D182=OBJECTIFS!$C$49,VLOOKUP(F182,OBJECTIFS!$C$37:$D$39,2,FALSE))))))))</f>
        <v/>
      </c>
      <c r="J182" s="25"/>
      <c r="K182" s="90" t="str">
        <f>IF(OR($A182="",$D182="",J182=""),"",SUMIFS(OBJECTIFS!E$9:E$39,OBJECTIFS!$A$9:$A$39,$D182,OBJECTIFS!$C$9:$C$39,$F182))</f>
        <v/>
      </c>
      <c r="L182" s="90" t="str">
        <f>IF(OR(AND($D182=OBJECTIFS!$B$6,OBJECTIFS!E$8="dmt"),AND($D182=OBJECTIFS!$B$13,OBJECTIFS!$E$15="dmt"),AND($D182=OBJECTIFS!$B$20,OBJECTIFS!$E$22="dmt"),AND($D182=OBJECTIFS!$B$27,OBJECTIFS!$E$29="dmt"),AND($D182=OBJECTIFS!$B$34,OBJECTIFS!$E$36="dmt"),AND($D182=OBJECTIFS!$B$6,OBJECTIFS!$E$8="taux de chute"),AND($D182=OBJECTIFS!$B$13,OBJECTIFS!$E$15="taux de chute"),AND($D182=OBJECTIFS!$B$20,OBJECTIFS!$E$22="taux de chute"),AND($D182=OBJECTIFS!$B$27,OBJECTIFS!$E$29="taux de chute"),AND($D182=OBJECTIFS!$B$34,OBJECTIFS!$E$36="taux de chute")),IFERROR(K182/J182,""),IFERROR(J182/K182,""))</f>
        <v/>
      </c>
      <c r="M182" s="91">
        <f>IFERROR(IF(OR(J182="",K182="",L182=""),0,IF(L182&lt;OBJECTIFS!$E$56,0,IF(L182&lt;OBJECTIFS!$G$56,M$8*OBJECTIFS!$F$60,IF(L182&lt;OBJECTIFS!$I$56,M$8*OBJECTIFS!$H$60,M$8)))),0)</f>
        <v>0</v>
      </c>
      <c r="N182" s="161"/>
      <c r="O182" s="92" t="str">
        <f>IF(OR($A182="",$D182="",N182=""),"",SUMIFS(OBJECTIFS!F$9:F$39,OBJECTIFS!$A$9:$A$39,$D182,OBJECTIFS!$C$9:$C$39,$F182))</f>
        <v/>
      </c>
      <c r="P182" s="90" t="str">
        <f>IF(OR(AND($D182=OBJECTIFS!$B$6,OBJECTIFS!$F$8="dmt"),AND($D182=OBJECTIFS!$B$13,OBJECTIFS!$F$15="dmt"),AND($D182=OBJECTIFS!$B$20,OBJECTIFS!$F$22="dmt"),AND($D182=OBJECTIFS!$B$27,OBJECTIFS!$F$29="dmt"),AND($D182=OBJECTIFS!$B$34,OBJECTIFS!$F$36="dmt"),AND($D182=OBJECTIFS!$B$6,OBJECTIFS!$F$8="taux de chute"),AND($D182=OBJECTIFS!$B$13,OBJECTIFS!$F$15="taux de chute"),AND($D182=OBJECTIFS!$B$20,OBJECTIFS!$F$22="taux de chute"),AND($D182=OBJECTIFS!$B$27,OBJECTIFS!$F$29="taux de chute"),AND($D182=OBJECTIFS!$B$34,OBJECTIFS!$F$36="taux de chute")),IFERROR(O182/N182,""),IFERROR(N182/O182,""))</f>
        <v/>
      </c>
      <c r="Q182" s="91">
        <f>IFERROR(IF(OR(N182="",O182="",P182=""),0,IF(P182&lt;OBJECTIFS!$E$56,0,IF(P182&lt;OBJECTIFS!$G$56,Q$8*OBJECTIFS!$F$60,IF(P182&lt;OBJECTIFS!$I$56,Q$8*OBJECTIFS!$H$60,Q$8)))),0)</f>
        <v>0</v>
      </c>
      <c r="R182" s="164"/>
      <c r="S182" s="93" t="str">
        <f>IF(OR($A182="",$D182="",R182=""),"",SUMIFS(OBJECTIFS!G$9:G$39,OBJECTIFS!$A$9:$A$39,$D182,OBJECTIFS!$C$9:$C$39,$F182))</f>
        <v/>
      </c>
      <c r="T182" s="90" t="str">
        <f>IF(OR(AND($D182=OBJECTIFS!$B$6,OBJECTIFS!G$8="dmt"),AND($D182=OBJECTIFS!$B$13,OBJECTIFS!$G$15="dmt"),AND($D182=OBJECTIFS!$B$20,OBJECTIFS!$G$22="dmt"),AND($D182=OBJECTIFS!$B$27,OBJECTIFS!$G$29="dmt"),AND($D182=OBJECTIFS!$B$34,OBJECTIFS!$G$36="dmt"),AND($D182=OBJECTIFS!$B$6,OBJECTIFS!$G$8="taux de chute"),AND($D182=OBJECTIFS!$B$13,OBJECTIFS!$G$15="taux de chute"),AND($D182=OBJECTIFS!$B$20,OBJECTIFS!$G$22="taux de chute"),AND($D182=OBJECTIFS!$B$27,OBJECTIFS!$G$29="taux de chute"),AND($D182=OBJECTIFS!$B$34,OBJECTIFS!$G$36="taux de chute")),IFERROR(S182/R182,""),IFERROR(R182/S182,""))</f>
        <v/>
      </c>
      <c r="U182" s="94">
        <f>IFERROR(IF(OR(R182="",S182="",T182=""),0,IF(T182&lt;OBJECTIFS!$E$56,0,IF(T182&lt;OBJECTIFS!$G$56,U$8*OBJECTIFS!$F$60,IF(T182&lt;OBJECTIFS!$I$56,U$8*OBJECTIFS!$H$60,U$8)))),0)</f>
        <v>0</v>
      </c>
      <c r="V182" s="25"/>
      <c r="W182" s="90" t="str">
        <f>IF(OR($A182="",$D182="",V182=""),"",SUMIFS(OBJECTIFS!H$9:H$39,OBJECTIFS!$A$9:$A$39,$D182,OBJECTIFS!$C$9:$C$39,$F182))</f>
        <v/>
      </c>
      <c r="X182" s="90" t="str">
        <f>IF(OR(AND($D182=OBJECTIFS!$B$6,OBJECTIFS!H$8="dmt"),AND($D182=OBJECTIFS!$B$13,OBJECTIFS!$H$15="dmt"),AND($D182=OBJECTIFS!$B$20,OBJECTIFS!$H$22="dmt"),AND($D182=OBJECTIFS!$B$27,OBJECTIFS!$H$29="dmt"),AND($D182=OBJECTIFS!$B$34,OBJECTIFS!$H$36="dmt"),AND($D182=OBJECTIFS!$B$6,OBJECTIFS!$H$8="taux de chute"),AND($D182=OBJECTIFS!$B$13,OBJECTIFS!$H$15="taux de chute"),AND($D182=OBJECTIFS!$B$20,OBJECTIFS!$H$22="taux de chute"),AND($D182=OBJECTIFS!$B$27,OBJECTIFS!$H$29="taux de chute"),AND($D182=OBJECTIFS!$B$34,OBJECTIFS!$H$36="taux de chute")),IFERROR(W182/V182,""),IFERROR(V182/W182,""))</f>
        <v/>
      </c>
      <c r="Y182" s="91">
        <f>IFERROR(IF(OR(V182="",W182="",X182=""),0,IF(X182&lt;OBJECTIFS!$E$56,0,IF(X182&lt;OBJECTIFS!$G$56,Y$8*OBJECTIFS!$F$60,IF(X182&lt;OBJECTIFS!$I$56,Y$8*OBJECTIFS!$H$60,Y$8)))),0)</f>
        <v>0</v>
      </c>
      <c r="Z182" s="167"/>
      <c r="AA182" s="90" t="str">
        <f>IF(OR($A182="",$D182="",Z182=""),"",SUMIFS(OBJECTIFS!I$9:I$39,OBJECTIFS!$A$9:$A$39,$D182,OBJECTIFS!$C$9:$C$39,$F182))</f>
        <v/>
      </c>
      <c r="AB182" s="90" t="str">
        <f>IF(OR(AND($D182=OBJECTIFS!$B$6,OBJECTIFS!I$8="dmt"),AND($D182=OBJECTIFS!$B$13,OBJECTIFS!$I$15="dmt"),AND($D182=OBJECTIFS!$B$20,OBJECTIFS!$I$22="dmt"),AND($D182=OBJECTIFS!$B$27,OBJECTIFS!$I$29="dmt"),AND($D182=OBJECTIFS!$B$34,OBJECTIFS!$I$36="dmt"),AND($D182=OBJECTIFS!$B$6,OBJECTIFS!$I$8="taux de chute"),AND($D182=OBJECTIFS!$B$13,OBJECTIFS!$I$15="taux de chute"),AND($D182=OBJECTIFS!$B$20,OBJECTIFS!$I$22="taux de chute"),AND($D182=OBJECTIFS!$B$27,OBJECTIFS!$I$29="taux de chute"),AND($D182=OBJECTIFS!$B$34,OBJECTIFS!$I$36="taux de chute")),IFERROR(AA182/Z182,""),IFERROR(Z182/AA182,""))</f>
        <v/>
      </c>
      <c r="AC182" s="95">
        <f>IFERROR(IF(OR(Z182="",AA182="",AB182=""),0,IF(AB182&lt;OBJECTIFS!$E$56,0,IF(AB182&lt;OBJECTIFS!$G$56,AC$8*OBJECTIFS!$F$60,IF(AB182&lt;OBJECTIFS!$I$56,AC$8*OBJECTIFS!$H$60,AC$8)))),0)</f>
        <v>0</v>
      </c>
      <c r="AD182" s="281"/>
      <c r="AE182" s="282"/>
      <c r="AF182" s="96">
        <f t="shared" ca="1" si="29"/>
        <v>0</v>
      </c>
      <c r="AG182" s="63"/>
      <c r="AH182" s="172"/>
      <c r="AI182" s="24"/>
      <c r="AJ182" s="24"/>
      <c r="AK182" s="24"/>
      <c r="AL182" s="24"/>
      <c r="AM182" s="79">
        <f t="shared" si="30"/>
        <v>0</v>
      </c>
      <c r="AN182" s="79">
        <v>22</v>
      </c>
      <c r="AO182" s="80">
        <f t="shared" si="31"/>
        <v>0</v>
      </c>
      <c r="AP182" s="81" t="str">
        <f t="shared" ca="1" si="32"/>
        <v/>
      </c>
      <c r="AQ182" s="82"/>
      <c r="AR182" s="97">
        <f>IFERROR(VLOOKUP(B182,OBJECTIFS!$C$76:$E$137,2,FALSE),0)</f>
        <v>0</v>
      </c>
      <c r="AS182" s="98">
        <f>IFERROR(VLOOKUP(B182,OBJECTIFS!$H$76:$J$137,2,FALSE),0)</f>
        <v>0</v>
      </c>
      <c r="AT182" s="98">
        <f>IFERROR(VLOOKUP(B182,OBJECTIFS!$C$142:$E$203,2,FALSE),0)</f>
        <v>0</v>
      </c>
      <c r="AU182" s="98">
        <f>IFERROR(VLOOKUP(B182,OBJECTIFS!$H$142:$J$203,2,FALSE),0)</f>
        <v>0</v>
      </c>
      <c r="AV182" s="98">
        <f>IFERROR(VLOOKUP(B182,OBJECTIFS!$F$208:$H$269,3,FALSE),0)</f>
        <v>0</v>
      </c>
      <c r="AW182" s="81">
        <f t="shared" si="33"/>
        <v>0</v>
      </c>
      <c r="AX182" s="82"/>
      <c r="AY182" s="99" t="str">
        <f t="shared" ca="1" si="34"/>
        <v/>
      </c>
      <c r="AZ182" s="63"/>
      <c r="BA182" s="100">
        <f t="shared" ca="1" si="35"/>
        <v>0</v>
      </c>
      <c r="BB182" s="64" t="str">
        <f t="shared" ca="1" si="36"/>
        <v/>
      </c>
      <c r="BC182" s="101" t="str">
        <f t="shared" ca="1" si="37"/>
        <v/>
      </c>
    </row>
    <row r="183" spans="1:55" x14ac:dyDescent="0.2">
      <c r="A183" s="21"/>
      <c r="B183" s="22"/>
      <c r="C183" s="22"/>
      <c r="D183" s="23"/>
      <c r="E183" s="24"/>
      <c r="F183" s="34"/>
      <c r="H183" s="89" t="str">
        <f>IF(OR(D183="",F183="",A183=""),"",IF(E183="oui",0,IF(D183=OBJECTIFS!$C$45,VLOOKUP(F183,OBJECTIFS!$C$9:$D$11,2,FALSE),IF(D183=OBJECTIFS!$C$46,VLOOKUP(F183,OBJECTIFS!$C$16:$D$18,2,FALSE),IF(D183=OBJECTIFS!$C$47,VLOOKUP(F183,OBJECTIFS!$C$23:$D$25,2,FALSE),IF(D183=OBJECTIFS!$C$48,VLOOKUP(F183,OBJECTIFS!$C$30:$D$32,2,FALSE),IF(D183=OBJECTIFS!$C$49,VLOOKUP(F183,OBJECTIFS!$C$37:$D$39,2,FALSE))))))))</f>
        <v/>
      </c>
      <c r="J183" s="25"/>
      <c r="K183" s="90" t="str">
        <f>IF(OR($A183="",$D183="",J183=""),"",SUMIFS(OBJECTIFS!E$9:E$39,OBJECTIFS!$A$9:$A$39,$D183,OBJECTIFS!$C$9:$C$39,$F183))</f>
        <v/>
      </c>
      <c r="L183" s="90" t="str">
        <f>IF(OR(AND($D183=OBJECTIFS!$B$6,OBJECTIFS!E$8="dmt"),AND($D183=OBJECTIFS!$B$13,OBJECTIFS!$E$15="dmt"),AND($D183=OBJECTIFS!$B$20,OBJECTIFS!$E$22="dmt"),AND($D183=OBJECTIFS!$B$27,OBJECTIFS!$E$29="dmt"),AND($D183=OBJECTIFS!$B$34,OBJECTIFS!$E$36="dmt"),AND($D183=OBJECTIFS!$B$6,OBJECTIFS!$E$8="taux de chute"),AND($D183=OBJECTIFS!$B$13,OBJECTIFS!$E$15="taux de chute"),AND($D183=OBJECTIFS!$B$20,OBJECTIFS!$E$22="taux de chute"),AND($D183=OBJECTIFS!$B$27,OBJECTIFS!$E$29="taux de chute"),AND($D183=OBJECTIFS!$B$34,OBJECTIFS!$E$36="taux de chute")),IFERROR(K183/J183,""),IFERROR(J183/K183,""))</f>
        <v/>
      </c>
      <c r="M183" s="91">
        <f>IFERROR(IF(OR(J183="",K183="",L183=""),0,IF(L183&lt;OBJECTIFS!$E$56,0,IF(L183&lt;OBJECTIFS!$G$56,M$8*OBJECTIFS!$F$60,IF(L183&lt;OBJECTIFS!$I$56,M$8*OBJECTIFS!$H$60,M$8)))),0)</f>
        <v>0</v>
      </c>
      <c r="N183" s="161"/>
      <c r="O183" s="92" t="str">
        <f>IF(OR($A183="",$D183="",N183=""),"",SUMIFS(OBJECTIFS!F$9:F$39,OBJECTIFS!$A$9:$A$39,$D183,OBJECTIFS!$C$9:$C$39,$F183))</f>
        <v/>
      </c>
      <c r="P183" s="90" t="str">
        <f>IF(OR(AND($D183=OBJECTIFS!$B$6,OBJECTIFS!$F$8="dmt"),AND($D183=OBJECTIFS!$B$13,OBJECTIFS!$F$15="dmt"),AND($D183=OBJECTIFS!$B$20,OBJECTIFS!$F$22="dmt"),AND($D183=OBJECTIFS!$B$27,OBJECTIFS!$F$29="dmt"),AND($D183=OBJECTIFS!$B$34,OBJECTIFS!$F$36="dmt"),AND($D183=OBJECTIFS!$B$6,OBJECTIFS!$F$8="taux de chute"),AND($D183=OBJECTIFS!$B$13,OBJECTIFS!$F$15="taux de chute"),AND($D183=OBJECTIFS!$B$20,OBJECTIFS!$F$22="taux de chute"),AND($D183=OBJECTIFS!$B$27,OBJECTIFS!$F$29="taux de chute"),AND($D183=OBJECTIFS!$B$34,OBJECTIFS!$F$36="taux de chute")),IFERROR(O183/N183,""),IFERROR(N183/O183,""))</f>
        <v/>
      </c>
      <c r="Q183" s="91">
        <f>IFERROR(IF(OR(N183="",O183="",P183=""),0,IF(P183&lt;OBJECTIFS!$E$56,0,IF(P183&lt;OBJECTIFS!$G$56,Q$8*OBJECTIFS!$F$60,IF(P183&lt;OBJECTIFS!$I$56,Q$8*OBJECTIFS!$H$60,Q$8)))),0)</f>
        <v>0</v>
      </c>
      <c r="R183" s="164"/>
      <c r="S183" s="93" t="str">
        <f>IF(OR($A183="",$D183="",R183=""),"",SUMIFS(OBJECTIFS!G$9:G$39,OBJECTIFS!$A$9:$A$39,$D183,OBJECTIFS!$C$9:$C$39,$F183))</f>
        <v/>
      </c>
      <c r="T183" s="90" t="str">
        <f>IF(OR(AND($D183=OBJECTIFS!$B$6,OBJECTIFS!G$8="dmt"),AND($D183=OBJECTIFS!$B$13,OBJECTIFS!$G$15="dmt"),AND($D183=OBJECTIFS!$B$20,OBJECTIFS!$G$22="dmt"),AND($D183=OBJECTIFS!$B$27,OBJECTIFS!$G$29="dmt"),AND($D183=OBJECTIFS!$B$34,OBJECTIFS!$G$36="dmt"),AND($D183=OBJECTIFS!$B$6,OBJECTIFS!$G$8="taux de chute"),AND($D183=OBJECTIFS!$B$13,OBJECTIFS!$G$15="taux de chute"),AND($D183=OBJECTIFS!$B$20,OBJECTIFS!$G$22="taux de chute"),AND($D183=OBJECTIFS!$B$27,OBJECTIFS!$G$29="taux de chute"),AND($D183=OBJECTIFS!$B$34,OBJECTIFS!$G$36="taux de chute")),IFERROR(S183/R183,""),IFERROR(R183/S183,""))</f>
        <v/>
      </c>
      <c r="U183" s="94">
        <f>IFERROR(IF(OR(R183="",S183="",T183=""),0,IF(T183&lt;OBJECTIFS!$E$56,0,IF(T183&lt;OBJECTIFS!$G$56,U$8*OBJECTIFS!$F$60,IF(T183&lt;OBJECTIFS!$I$56,U$8*OBJECTIFS!$H$60,U$8)))),0)</f>
        <v>0</v>
      </c>
      <c r="V183" s="25"/>
      <c r="W183" s="90" t="str">
        <f>IF(OR($A183="",$D183="",V183=""),"",SUMIFS(OBJECTIFS!H$9:H$39,OBJECTIFS!$A$9:$A$39,$D183,OBJECTIFS!$C$9:$C$39,$F183))</f>
        <v/>
      </c>
      <c r="X183" s="90" t="str">
        <f>IF(OR(AND($D183=OBJECTIFS!$B$6,OBJECTIFS!H$8="dmt"),AND($D183=OBJECTIFS!$B$13,OBJECTIFS!$H$15="dmt"),AND($D183=OBJECTIFS!$B$20,OBJECTIFS!$H$22="dmt"),AND($D183=OBJECTIFS!$B$27,OBJECTIFS!$H$29="dmt"),AND($D183=OBJECTIFS!$B$34,OBJECTIFS!$H$36="dmt"),AND($D183=OBJECTIFS!$B$6,OBJECTIFS!$H$8="taux de chute"),AND($D183=OBJECTIFS!$B$13,OBJECTIFS!$H$15="taux de chute"),AND($D183=OBJECTIFS!$B$20,OBJECTIFS!$H$22="taux de chute"),AND($D183=OBJECTIFS!$B$27,OBJECTIFS!$H$29="taux de chute"),AND($D183=OBJECTIFS!$B$34,OBJECTIFS!$H$36="taux de chute")),IFERROR(W183/V183,""),IFERROR(V183/W183,""))</f>
        <v/>
      </c>
      <c r="Y183" s="91">
        <f>IFERROR(IF(OR(V183="",W183="",X183=""),0,IF(X183&lt;OBJECTIFS!$E$56,0,IF(X183&lt;OBJECTIFS!$G$56,Y$8*OBJECTIFS!$F$60,IF(X183&lt;OBJECTIFS!$I$56,Y$8*OBJECTIFS!$H$60,Y$8)))),0)</f>
        <v>0</v>
      </c>
      <c r="Z183" s="167"/>
      <c r="AA183" s="90" t="str">
        <f>IF(OR($A183="",$D183="",Z183=""),"",SUMIFS(OBJECTIFS!I$9:I$39,OBJECTIFS!$A$9:$A$39,$D183,OBJECTIFS!$C$9:$C$39,$F183))</f>
        <v/>
      </c>
      <c r="AB183" s="90" t="str">
        <f>IF(OR(AND($D183=OBJECTIFS!$B$6,OBJECTIFS!I$8="dmt"),AND($D183=OBJECTIFS!$B$13,OBJECTIFS!$I$15="dmt"),AND($D183=OBJECTIFS!$B$20,OBJECTIFS!$I$22="dmt"),AND($D183=OBJECTIFS!$B$27,OBJECTIFS!$I$29="dmt"),AND($D183=OBJECTIFS!$B$34,OBJECTIFS!$I$36="dmt"),AND($D183=OBJECTIFS!$B$6,OBJECTIFS!$I$8="taux de chute"),AND($D183=OBJECTIFS!$B$13,OBJECTIFS!$I$15="taux de chute"),AND($D183=OBJECTIFS!$B$20,OBJECTIFS!$I$22="taux de chute"),AND($D183=OBJECTIFS!$B$27,OBJECTIFS!$I$29="taux de chute"),AND($D183=OBJECTIFS!$B$34,OBJECTIFS!$I$36="taux de chute")),IFERROR(AA183/Z183,""),IFERROR(Z183/AA183,""))</f>
        <v/>
      </c>
      <c r="AC183" s="95">
        <f>IFERROR(IF(OR(Z183="",AA183="",AB183=""),0,IF(AB183&lt;OBJECTIFS!$E$56,0,IF(AB183&lt;OBJECTIFS!$G$56,AC$8*OBJECTIFS!$F$60,IF(AB183&lt;OBJECTIFS!$I$56,AC$8*OBJECTIFS!$H$60,AC$8)))),0)</f>
        <v>0</v>
      </c>
      <c r="AD183" s="281"/>
      <c r="AE183" s="282"/>
      <c r="AF183" s="96">
        <f t="shared" ca="1" si="29"/>
        <v>0</v>
      </c>
      <c r="AG183" s="63"/>
      <c r="AH183" s="172"/>
      <c r="AI183" s="24"/>
      <c r="AJ183" s="24"/>
      <c r="AK183" s="24"/>
      <c r="AL183" s="24"/>
      <c r="AM183" s="79">
        <f t="shared" si="30"/>
        <v>0</v>
      </c>
      <c r="AN183" s="79">
        <v>22</v>
      </c>
      <c r="AO183" s="80">
        <f t="shared" si="31"/>
        <v>0</v>
      </c>
      <c r="AP183" s="81" t="str">
        <f t="shared" ca="1" si="32"/>
        <v/>
      </c>
      <c r="AQ183" s="82"/>
      <c r="AR183" s="97">
        <f>IFERROR(VLOOKUP(B183,OBJECTIFS!$C$76:$E$137,2,FALSE),0)</f>
        <v>0</v>
      </c>
      <c r="AS183" s="98">
        <f>IFERROR(VLOOKUP(B183,OBJECTIFS!$H$76:$J$137,2,FALSE),0)</f>
        <v>0</v>
      </c>
      <c r="AT183" s="98">
        <f>IFERROR(VLOOKUP(B183,OBJECTIFS!$C$142:$E$203,2,FALSE),0)</f>
        <v>0</v>
      </c>
      <c r="AU183" s="98">
        <f>IFERROR(VLOOKUP(B183,OBJECTIFS!$H$142:$J$203,2,FALSE),0)</f>
        <v>0</v>
      </c>
      <c r="AV183" s="98">
        <f>IFERROR(VLOOKUP(B183,OBJECTIFS!$F$208:$H$269,3,FALSE),0)</f>
        <v>0</v>
      </c>
      <c r="AW183" s="81">
        <f t="shared" si="33"/>
        <v>0</v>
      </c>
      <c r="AX183" s="82"/>
      <c r="AY183" s="99" t="str">
        <f t="shared" ca="1" si="34"/>
        <v/>
      </c>
      <c r="AZ183" s="63"/>
      <c r="BA183" s="100">
        <f t="shared" ca="1" si="35"/>
        <v>0</v>
      </c>
      <c r="BB183" s="64" t="str">
        <f t="shared" ca="1" si="36"/>
        <v/>
      </c>
      <c r="BC183" s="101" t="str">
        <f t="shared" ca="1" si="37"/>
        <v/>
      </c>
    </row>
    <row r="184" spans="1:55" x14ac:dyDescent="0.2">
      <c r="A184" s="21"/>
      <c r="B184" s="22"/>
      <c r="C184" s="22"/>
      <c r="D184" s="23"/>
      <c r="E184" s="24"/>
      <c r="F184" s="34"/>
      <c r="H184" s="89" t="str">
        <f>IF(OR(D184="",F184="",A184=""),"",IF(E184="oui",0,IF(D184=OBJECTIFS!$C$45,VLOOKUP(F184,OBJECTIFS!$C$9:$D$11,2,FALSE),IF(D184=OBJECTIFS!$C$46,VLOOKUP(F184,OBJECTIFS!$C$16:$D$18,2,FALSE),IF(D184=OBJECTIFS!$C$47,VLOOKUP(F184,OBJECTIFS!$C$23:$D$25,2,FALSE),IF(D184=OBJECTIFS!$C$48,VLOOKUP(F184,OBJECTIFS!$C$30:$D$32,2,FALSE),IF(D184=OBJECTIFS!$C$49,VLOOKUP(F184,OBJECTIFS!$C$37:$D$39,2,FALSE))))))))</f>
        <v/>
      </c>
      <c r="J184" s="25"/>
      <c r="K184" s="90" t="str">
        <f>IF(OR($A184="",$D184="",J184=""),"",SUMIFS(OBJECTIFS!E$9:E$39,OBJECTIFS!$A$9:$A$39,$D184,OBJECTIFS!$C$9:$C$39,$F184))</f>
        <v/>
      </c>
      <c r="L184" s="90" t="str">
        <f>IF(OR(AND($D184=OBJECTIFS!$B$6,OBJECTIFS!E$8="dmt"),AND($D184=OBJECTIFS!$B$13,OBJECTIFS!$E$15="dmt"),AND($D184=OBJECTIFS!$B$20,OBJECTIFS!$E$22="dmt"),AND($D184=OBJECTIFS!$B$27,OBJECTIFS!$E$29="dmt"),AND($D184=OBJECTIFS!$B$34,OBJECTIFS!$E$36="dmt"),AND($D184=OBJECTIFS!$B$6,OBJECTIFS!$E$8="taux de chute"),AND($D184=OBJECTIFS!$B$13,OBJECTIFS!$E$15="taux de chute"),AND($D184=OBJECTIFS!$B$20,OBJECTIFS!$E$22="taux de chute"),AND($D184=OBJECTIFS!$B$27,OBJECTIFS!$E$29="taux de chute"),AND($D184=OBJECTIFS!$B$34,OBJECTIFS!$E$36="taux de chute")),IFERROR(K184/J184,""),IFERROR(J184/K184,""))</f>
        <v/>
      </c>
      <c r="M184" s="91">
        <f>IFERROR(IF(OR(J184="",K184="",L184=""),0,IF(L184&lt;OBJECTIFS!$E$56,0,IF(L184&lt;OBJECTIFS!$G$56,M$8*OBJECTIFS!$F$60,IF(L184&lt;OBJECTIFS!$I$56,M$8*OBJECTIFS!$H$60,M$8)))),0)</f>
        <v>0</v>
      </c>
      <c r="N184" s="161"/>
      <c r="O184" s="92" t="str">
        <f>IF(OR($A184="",$D184="",N184=""),"",SUMIFS(OBJECTIFS!F$9:F$39,OBJECTIFS!$A$9:$A$39,$D184,OBJECTIFS!$C$9:$C$39,$F184))</f>
        <v/>
      </c>
      <c r="P184" s="90" t="str">
        <f>IF(OR(AND($D184=OBJECTIFS!$B$6,OBJECTIFS!$F$8="dmt"),AND($D184=OBJECTIFS!$B$13,OBJECTIFS!$F$15="dmt"),AND($D184=OBJECTIFS!$B$20,OBJECTIFS!$F$22="dmt"),AND($D184=OBJECTIFS!$B$27,OBJECTIFS!$F$29="dmt"),AND($D184=OBJECTIFS!$B$34,OBJECTIFS!$F$36="dmt"),AND($D184=OBJECTIFS!$B$6,OBJECTIFS!$F$8="taux de chute"),AND($D184=OBJECTIFS!$B$13,OBJECTIFS!$F$15="taux de chute"),AND($D184=OBJECTIFS!$B$20,OBJECTIFS!$F$22="taux de chute"),AND($D184=OBJECTIFS!$B$27,OBJECTIFS!$F$29="taux de chute"),AND($D184=OBJECTIFS!$B$34,OBJECTIFS!$F$36="taux de chute")),IFERROR(O184/N184,""),IFERROR(N184/O184,""))</f>
        <v/>
      </c>
      <c r="Q184" s="91">
        <f>IFERROR(IF(OR(N184="",O184="",P184=""),0,IF(P184&lt;OBJECTIFS!$E$56,0,IF(P184&lt;OBJECTIFS!$G$56,Q$8*OBJECTIFS!$F$60,IF(P184&lt;OBJECTIFS!$I$56,Q$8*OBJECTIFS!$H$60,Q$8)))),0)</f>
        <v>0</v>
      </c>
      <c r="R184" s="164"/>
      <c r="S184" s="93" t="str">
        <f>IF(OR($A184="",$D184="",R184=""),"",SUMIFS(OBJECTIFS!G$9:G$39,OBJECTIFS!$A$9:$A$39,$D184,OBJECTIFS!$C$9:$C$39,$F184))</f>
        <v/>
      </c>
      <c r="T184" s="90" t="str">
        <f>IF(OR(AND($D184=OBJECTIFS!$B$6,OBJECTIFS!G$8="dmt"),AND($D184=OBJECTIFS!$B$13,OBJECTIFS!$G$15="dmt"),AND($D184=OBJECTIFS!$B$20,OBJECTIFS!$G$22="dmt"),AND($D184=OBJECTIFS!$B$27,OBJECTIFS!$G$29="dmt"),AND($D184=OBJECTIFS!$B$34,OBJECTIFS!$G$36="dmt"),AND($D184=OBJECTIFS!$B$6,OBJECTIFS!$G$8="taux de chute"),AND($D184=OBJECTIFS!$B$13,OBJECTIFS!$G$15="taux de chute"),AND($D184=OBJECTIFS!$B$20,OBJECTIFS!$G$22="taux de chute"),AND($D184=OBJECTIFS!$B$27,OBJECTIFS!$G$29="taux de chute"),AND($D184=OBJECTIFS!$B$34,OBJECTIFS!$G$36="taux de chute")),IFERROR(S184/R184,""),IFERROR(R184/S184,""))</f>
        <v/>
      </c>
      <c r="U184" s="94">
        <f>IFERROR(IF(OR(R184="",S184="",T184=""),0,IF(T184&lt;OBJECTIFS!$E$56,0,IF(T184&lt;OBJECTIFS!$G$56,U$8*OBJECTIFS!$F$60,IF(T184&lt;OBJECTIFS!$I$56,U$8*OBJECTIFS!$H$60,U$8)))),0)</f>
        <v>0</v>
      </c>
      <c r="V184" s="25"/>
      <c r="W184" s="90" t="str">
        <f>IF(OR($A184="",$D184="",V184=""),"",SUMIFS(OBJECTIFS!H$9:H$39,OBJECTIFS!$A$9:$A$39,$D184,OBJECTIFS!$C$9:$C$39,$F184))</f>
        <v/>
      </c>
      <c r="X184" s="90" t="str">
        <f>IF(OR(AND($D184=OBJECTIFS!$B$6,OBJECTIFS!H$8="dmt"),AND($D184=OBJECTIFS!$B$13,OBJECTIFS!$H$15="dmt"),AND($D184=OBJECTIFS!$B$20,OBJECTIFS!$H$22="dmt"),AND($D184=OBJECTIFS!$B$27,OBJECTIFS!$H$29="dmt"),AND($D184=OBJECTIFS!$B$34,OBJECTIFS!$H$36="dmt"),AND($D184=OBJECTIFS!$B$6,OBJECTIFS!$H$8="taux de chute"),AND($D184=OBJECTIFS!$B$13,OBJECTIFS!$H$15="taux de chute"),AND($D184=OBJECTIFS!$B$20,OBJECTIFS!$H$22="taux de chute"),AND($D184=OBJECTIFS!$B$27,OBJECTIFS!$H$29="taux de chute"),AND($D184=OBJECTIFS!$B$34,OBJECTIFS!$H$36="taux de chute")),IFERROR(W184/V184,""),IFERROR(V184/W184,""))</f>
        <v/>
      </c>
      <c r="Y184" s="91">
        <f>IFERROR(IF(OR(V184="",W184="",X184=""),0,IF(X184&lt;OBJECTIFS!$E$56,0,IF(X184&lt;OBJECTIFS!$G$56,Y$8*OBJECTIFS!$F$60,IF(X184&lt;OBJECTIFS!$I$56,Y$8*OBJECTIFS!$H$60,Y$8)))),0)</f>
        <v>0</v>
      </c>
      <c r="Z184" s="167"/>
      <c r="AA184" s="90" t="str">
        <f>IF(OR($A184="",$D184="",Z184=""),"",SUMIFS(OBJECTIFS!I$9:I$39,OBJECTIFS!$A$9:$A$39,$D184,OBJECTIFS!$C$9:$C$39,$F184))</f>
        <v/>
      </c>
      <c r="AB184" s="90" t="str">
        <f>IF(OR(AND($D184=OBJECTIFS!$B$6,OBJECTIFS!I$8="dmt"),AND($D184=OBJECTIFS!$B$13,OBJECTIFS!$I$15="dmt"),AND($D184=OBJECTIFS!$B$20,OBJECTIFS!$I$22="dmt"),AND($D184=OBJECTIFS!$B$27,OBJECTIFS!$I$29="dmt"),AND($D184=OBJECTIFS!$B$34,OBJECTIFS!$I$36="dmt"),AND($D184=OBJECTIFS!$B$6,OBJECTIFS!$I$8="taux de chute"),AND($D184=OBJECTIFS!$B$13,OBJECTIFS!$I$15="taux de chute"),AND($D184=OBJECTIFS!$B$20,OBJECTIFS!$I$22="taux de chute"),AND($D184=OBJECTIFS!$B$27,OBJECTIFS!$I$29="taux de chute"),AND($D184=OBJECTIFS!$B$34,OBJECTIFS!$I$36="taux de chute")),IFERROR(AA184/Z184,""),IFERROR(Z184/AA184,""))</f>
        <v/>
      </c>
      <c r="AC184" s="95">
        <f>IFERROR(IF(OR(Z184="",AA184="",AB184=""),0,IF(AB184&lt;OBJECTIFS!$E$56,0,IF(AB184&lt;OBJECTIFS!$G$56,AC$8*OBJECTIFS!$F$60,IF(AB184&lt;OBJECTIFS!$I$56,AC$8*OBJECTIFS!$H$60,AC$8)))),0)</f>
        <v>0</v>
      </c>
      <c r="AD184" s="281"/>
      <c r="AE184" s="282"/>
      <c r="AF184" s="96">
        <f t="shared" ca="1" si="29"/>
        <v>0</v>
      </c>
      <c r="AG184" s="63"/>
      <c r="AH184" s="172"/>
      <c r="AI184" s="24"/>
      <c r="AJ184" s="24"/>
      <c r="AK184" s="24"/>
      <c r="AL184" s="24"/>
      <c r="AM184" s="79">
        <f t="shared" si="30"/>
        <v>0</v>
      </c>
      <c r="AN184" s="79">
        <v>22</v>
      </c>
      <c r="AO184" s="80">
        <f t="shared" si="31"/>
        <v>0</v>
      </c>
      <c r="AP184" s="81" t="str">
        <f t="shared" ca="1" si="32"/>
        <v/>
      </c>
      <c r="AQ184" s="82"/>
      <c r="AR184" s="97">
        <f>IFERROR(VLOOKUP(B184,OBJECTIFS!$C$76:$E$137,2,FALSE),0)</f>
        <v>0</v>
      </c>
      <c r="AS184" s="98">
        <f>IFERROR(VLOOKUP(B184,OBJECTIFS!$H$76:$J$137,2,FALSE),0)</f>
        <v>0</v>
      </c>
      <c r="AT184" s="98">
        <f>IFERROR(VLOOKUP(B184,OBJECTIFS!$C$142:$E$203,2,FALSE),0)</f>
        <v>0</v>
      </c>
      <c r="AU184" s="98">
        <f>IFERROR(VLOOKUP(B184,OBJECTIFS!$H$142:$J$203,2,FALSE),0)</f>
        <v>0</v>
      </c>
      <c r="AV184" s="98">
        <f>IFERROR(VLOOKUP(B184,OBJECTIFS!$F$208:$H$269,3,FALSE),0)</f>
        <v>0</v>
      </c>
      <c r="AW184" s="81">
        <f t="shared" si="33"/>
        <v>0</v>
      </c>
      <c r="AX184" s="82"/>
      <c r="AY184" s="99" t="str">
        <f t="shared" ca="1" si="34"/>
        <v/>
      </c>
      <c r="AZ184" s="63"/>
      <c r="BA184" s="100">
        <f t="shared" ca="1" si="35"/>
        <v>0</v>
      </c>
      <c r="BB184" s="64" t="str">
        <f t="shared" ca="1" si="36"/>
        <v/>
      </c>
      <c r="BC184" s="101" t="str">
        <f t="shared" ca="1" si="37"/>
        <v/>
      </c>
    </row>
    <row r="185" spans="1:55" x14ac:dyDescent="0.2">
      <c r="A185" s="21"/>
      <c r="B185" s="22"/>
      <c r="C185" s="22"/>
      <c r="D185" s="23"/>
      <c r="E185" s="24"/>
      <c r="F185" s="34"/>
      <c r="H185" s="89" t="str">
        <f>IF(OR(D185="",F185="",A185=""),"",IF(E185="oui",0,IF(D185=OBJECTIFS!$C$45,VLOOKUP(F185,OBJECTIFS!$C$9:$D$11,2,FALSE),IF(D185=OBJECTIFS!$C$46,VLOOKUP(F185,OBJECTIFS!$C$16:$D$18,2,FALSE),IF(D185=OBJECTIFS!$C$47,VLOOKUP(F185,OBJECTIFS!$C$23:$D$25,2,FALSE),IF(D185=OBJECTIFS!$C$48,VLOOKUP(F185,OBJECTIFS!$C$30:$D$32,2,FALSE),IF(D185=OBJECTIFS!$C$49,VLOOKUP(F185,OBJECTIFS!$C$37:$D$39,2,FALSE))))))))</f>
        <v/>
      </c>
      <c r="J185" s="25"/>
      <c r="K185" s="90" t="str">
        <f>IF(OR($A185="",$D185="",J185=""),"",SUMIFS(OBJECTIFS!E$9:E$39,OBJECTIFS!$A$9:$A$39,$D185,OBJECTIFS!$C$9:$C$39,$F185))</f>
        <v/>
      </c>
      <c r="L185" s="90" t="str">
        <f>IF(OR(AND($D185=OBJECTIFS!$B$6,OBJECTIFS!E$8="dmt"),AND($D185=OBJECTIFS!$B$13,OBJECTIFS!$E$15="dmt"),AND($D185=OBJECTIFS!$B$20,OBJECTIFS!$E$22="dmt"),AND($D185=OBJECTIFS!$B$27,OBJECTIFS!$E$29="dmt"),AND($D185=OBJECTIFS!$B$34,OBJECTIFS!$E$36="dmt"),AND($D185=OBJECTIFS!$B$6,OBJECTIFS!$E$8="taux de chute"),AND($D185=OBJECTIFS!$B$13,OBJECTIFS!$E$15="taux de chute"),AND($D185=OBJECTIFS!$B$20,OBJECTIFS!$E$22="taux de chute"),AND($D185=OBJECTIFS!$B$27,OBJECTIFS!$E$29="taux de chute"),AND($D185=OBJECTIFS!$B$34,OBJECTIFS!$E$36="taux de chute")),IFERROR(K185/J185,""),IFERROR(J185/K185,""))</f>
        <v/>
      </c>
      <c r="M185" s="91">
        <f>IFERROR(IF(OR(J185="",K185="",L185=""),0,IF(L185&lt;OBJECTIFS!$E$56,0,IF(L185&lt;OBJECTIFS!$G$56,M$8*OBJECTIFS!$F$60,IF(L185&lt;OBJECTIFS!$I$56,M$8*OBJECTIFS!$H$60,M$8)))),0)</f>
        <v>0</v>
      </c>
      <c r="N185" s="161"/>
      <c r="O185" s="92" t="str">
        <f>IF(OR($A185="",$D185="",N185=""),"",SUMIFS(OBJECTIFS!F$9:F$39,OBJECTIFS!$A$9:$A$39,$D185,OBJECTIFS!$C$9:$C$39,$F185))</f>
        <v/>
      </c>
      <c r="P185" s="90" t="str">
        <f>IF(OR(AND($D185=OBJECTIFS!$B$6,OBJECTIFS!$F$8="dmt"),AND($D185=OBJECTIFS!$B$13,OBJECTIFS!$F$15="dmt"),AND($D185=OBJECTIFS!$B$20,OBJECTIFS!$F$22="dmt"),AND($D185=OBJECTIFS!$B$27,OBJECTIFS!$F$29="dmt"),AND($D185=OBJECTIFS!$B$34,OBJECTIFS!$F$36="dmt"),AND($D185=OBJECTIFS!$B$6,OBJECTIFS!$F$8="taux de chute"),AND($D185=OBJECTIFS!$B$13,OBJECTIFS!$F$15="taux de chute"),AND($D185=OBJECTIFS!$B$20,OBJECTIFS!$F$22="taux de chute"),AND($D185=OBJECTIFS!$B$27,OBJECTIFS!$F$29="taux de chute"),AND($D185=OBJECTIFS!$B$34,OBJECTIFS!$F$36="taux de chute")),IFERROR(O185/N185,""),IFERROR(N185/O185,""))</f>
        <v/>
      </c>
      <c r="Q185" s="91">
        <f>IFERROR(IF(OR(N185="",O185="",P185=""),0,IF(P185&lt;OBJECTIFS!$E$56,0,IF(P185&lt;OBJECTIFS!$G$56,Q$8*OBJECTIFS!$F$60,IF(P185&lt;OBJECTIFS!$I$56,Q$8*OBJECTIFS!$H$60,Q$8)))),0)</f>
        <v>0</v>
      </c>
      <c r="R185" s="164"/>
      <c r="S185" s="93" t="str">
        <f>IF(OR($A185="",$D185="",R185=""),"",SUMIFS(OBJECTIFS!G$9:G$39,OBJECTIFS!$A$9:$A$39,$D185,OBJECTIFS!$C$9:$C$39,$F185))</f>
        <v/>
      </c>
      <c r="T185" s="90" t="str">
        <f>IF(OR(AND($D185=OBJECTIFS!$B$6,OBJECTIFS!G$8="dmt"),AND($D185=OBJECTIFS!$B$13,OBJECTIFS!$G$15="dmt"),AND($D185=OBJECTIFS!$B$20,OBJECTIFS!$G$22="dmt"),AND($D185=OBJECTIFS!$B$27,OBJECTIFS!$G$29="dmt"),AND($D185=OBJECTIFS!$B$34,OBJECTIFS!$G$36="dmt"),AND($D185=OBJECTIFS!$B$6,OBJECTIFS!$G$8="taux de chute"),AND($D185=OBJECTIFS!$B$13,OBJECTIFS!$G$15="taux de chute"),AND($D185=OBJECTIFS!$B$20,OBJECTIFS!$G$22="taux de chute"),AND($D185=OBJECTIFS!$B$27,OBJECTIFS!$G$29="taux de chute"),AND($D185=OBJECTIFS!$B$34,OBJECTIFS!$G$36="taux de chute")),IFERROR(S185/R185,""),IFERROR(R185/S185,""))</f>
        <v/>
      </c>
      <c r="U185" s="94">
        <f>IFERROR(IF(OR(R185="",S185="",T185=""),0,IF(T185&lt;OBJECTIFS!$E$56,0,IF(T185&lt;OBJECTIFS!$G$56,U$8*OBJECTIFS!$F$60,IF(T185&lt;OBJECTIFS!$I$56,U$8*OBJECTIFS!$H$60,U$8)))),0)</f>
        <v>0</v>
      </c>
      <c r="V185" s="25"/>
      <c r="W185" s="90" t="str">
        <f>IF(OR($A185="",$D185="",V185=""),"",SUMIFS(OBJECTIFS!H$9:H$39,OBJECTIFS!$A$9:$A$39,$D185,OBJECTIFS!$C$9:$C$39,$F185))</f>
        <v/>
      </c>
      <c r="X185" s="90" t="str">
        <f>IF(OR(AND($D185=OBJECTIFS!$B$6,OBJECTIFS!H$8="dmt"),AND($D185=OBJECTIFS!$B$13,OBJECTIFS!$H$15="dmt"),AND($D185=OBJECTIFS!$B$20,OBJECTIFS!$H$22="dmt"),AND($D185=OBJECTIFS!$B$27,OBJECTIFS!$H$29="dmt"),AND($D185=OBJECTIFS!$B$34,OBJECTIFS!$H$36="dmt"),AND($D185=OBJECTIFS!$B$6,OBJECTIFS!$H$8="taux de chute"),AND($D185=OBJECTIFS!$B$13,OBJECTIFS!$H$15="taux de chute"),AND($D185=OBJECTIFS!$B$20,OBJECTIFS!$H$22="taux de chute"),AND($D185=OBJECTIFS!$B$27,OBJECTIFS!$H$29="taux de chute"),AND($D185=OBJECTIFS!$B$34,OBJECTIFS!$H$36="taux de chute")),IFERROR(W185/V185,""),IFERROR(V185/W185,""))</f>
        <v/>
      </c>
      <c r="Y185" s="91">
        <f>IFERROR(IF(OR(V185="",W185="",X185=""),0,IF(X185&lt;OBJECTIFS!$E$56,0,IF(X185&lt;OBJECTIFS!$G$56,Y$8*OBJECTIFS!$F$60,IF(X185&lt;OBJECTIFS!$I$56,Y$8*OBJECTIFS!$H$60,Y$8)))),0)</f>
        <v>0</v>
      </c>
      <c r="Z185" s="167"/>
      <c r="AA185" s="90" t="str">
        <f>IF(OR($A185="",$D185="",Z185=""),"",SUMIFS(OBJECTIFS!I$9:I$39,OBJECTIFS!$A$9:$A$39,$D185,OBJECTIFS!$C$9:$C$39,$F185))</f>
        <v/>
      </c>
      <c r="AB185" s="90" t="str">
        <f>IF(OR(AND($D185=OBJECTIFS!$B$6,OBJECTIFS!I$8="dmt"),AND($D185=OBJECTIFS!$B$13,OBJECTIFS!$I$15="dmt"),AND($D185=OBJECTIFS!$B$20,OBJECTIFS!$I$22="dmt"),AND($D185=OBJECTIFS!$B$27,OBJECTIFS!$I$29="dmt"),AND($D185=OBJECTIFS!$B$34,OBJECTIFS!$I$36="dmt"),AND($D185=OBJECTIFS!$B$6,OBJECTIFS!$I$8="taux de chute"),AND($D185=OBJECTIFS!$B$13,OBJECTIFS!$I$15="taux de chute"),AND($D185=OBJECTIFS!$B$20,OBJECTIFS!$I$22="taux de chute"),AND($D185=OBJECTIFS!$B$27,OBJECTIFS!$I$29="taux de chute"),AND($D185=OBJECTIFS!$B$34,OBJECTIFS!$I$36="taux de chute")),IFERROR(AA185/Z185,""),IFERROR(Z185/AA185,""))</f>
        <v/>
      </c>
      <c r="AC185" s="95">
        <f>IFERROR(IF(OR(Z185="",AA185="",AB185=""),0,IF(AB185&lt;OBJECTIFS!$E$56,0,IF(AB185&lt;OBJECTIFS!$G$56,AC$8*OBJECTIFS!$F$60,IF(AB185&lt;OBJECTIFS!$I$56,AC$8*OBJECTIFS!$H$60,AC$8)))),0)</f>
        <v>0</v>
      </c>
      <c r="AD185" s="281"/>
      <c r="AE185" s="282"/>
      <c r="AF185" s="96">
        <f t="shared" ca="1" si="29"/>
        <v>0</v>
      </c>
      <c r="AG185" s="63"/>
      <c r="AH185" s="172"/>
      <c r="AI185" s="24"/>
      <c r="AJ185" s="24"/>
      <c r="AK185" s="24"/>
      <c r="AL185" s="24"/>
      <c r="AM185" s="79">
        <f t="shared" si="30"/>
        <v>0</v>
      </c>
      <c r="AN185" s="79">
        <v>22</v>
      </c>
      <c r="AO185" s="80">
        <f t="shared" si="31"/>
        <v>0</v>
      </c>
      <c r="AP185" s="81" t="str">
        <f t="shared" ca="1" si="32"/>
        <v/>
      </c>
      <c r="AQ185" s="82"/>
      <c r="AR185" s="97">
        <f>IFERROR(VLOOKUP(B185,OBJECTIFS!$C$76:$E$137,2,FALSE),0)</f>
        <v>0</v>
      </c>
      <c r="AS185" s="98">
        <f>IFERROR(VLOOKUP(B185,OBJECTIFS!$H$76:$J$137,2,FALSE),0)</f>
        <v>0</v>
      </c>
      <c r="AT185" s="98">
        <f>IFERROR(VLOOKUP(B185,OBJECTIFS!$C$142:$E$203,2,FALSE),0)</f>
        <v>0</v>
      </c>
      <c r="AU185" s="98">
        <f>IFERROR(VLOOKUP(B185,OBJECTIFS!$H$142:$J$203,2,FALSE),0)</f>
        <v>0</v>
      </c>
      <c r="AV185" s="98">
        <f>IFERROR(VLOOKUP(B185,OBJECTIFS!$F$208:$H$269,3,FALSE),0)</f>
        <v>0</v>
      </c>
      <c r="AW185" s="81">
        <f t="shared" si="33"/>
        <v>0</v>
      </c>
      <c r="AX185" s="82"/>
      <c r="AY185" s="99" t="str">
        <f t="shared" ca="1" si="34"/>
        <v/>
      </c>
      <c r="AZ185" s="63"/>
      <c r="BA185" s="100">
        <f t="shared" ca="1" si="35"/>
        <v>0</v>
      </c>
      <c r="BB185" s="64" t="str">
        <f t="shared" ca="1" si="36"/>
        <v/>
      </c>
      <c r="BC185" s="101" t="str">
        <f t="shared" ca="1" si="37"/>
        <v/>
      </c>
    </row>
    <row r="186" spans="1:55" x14ac:dyDescent="0.2">
      <c r="A186" s="21"/>
      <c r="B186" s="22"/>
      <c r="C186" s="22"/>
      <c r="D186" s="23"/>
      <c r="E186" s="24"/>
      <c r="F186" s="34"/>
      <c r="H186" s="89" t="str">
        <f>IF(OR(D186="",F186="",A186=""),"",IF(E186="oui",0,IF(D186=OBJECTIFS!$C$45,VLOOKUP(F186,OBJECTIFS!$C$9:$D$11,2,FALSE),IF(D186=OBJECTIFS!$C$46,VLOOKUP(F186,OBJECTIFS!$C$16:$D$18,2,FALSE),IF(D186=OBJECTIFS!$C$47,VLOOKUP(F186,OBJECTIFS!$C$23:$D$25,2,FALSE),IF(D186=OBJECTIFS!$C$48,VLOOKUP(F186,OBJECTIFS!$C$30:$D$32,2,FALSE),IF(D186=OBJECTIFS!$C$49,VLOOKUP(F186,OBJECTIFS!$C$37:$D$39,2,FALSE))))))))</f>
        <v/>
      </c>
      <c r="J186" s="25"/>
      <c r="K186" s="90" t="str">
        <f>IF(OR($A186="",$D186="",J186=""),"",SUMIFS(OBJECTIFS!E$9:E$39,OBJECTIFS!$A$9:$A$39,$D186,OBJECTIFS!$C$9:$C$39,$F186))</f>
        <v/>
      </c>
      <c r="L186" s="90" t="str">
        <f>IF(OR(AND($D186=OBJECTIFS!$B$6,OBJECTIFS!E$8="dmt"),AND($D186=OBJECTIFS!$B$13,OBJECTIFS!$E$15="dmt"),AND($D186=OBJECTIFS!$B$20,OBJECTIFS!$E$22="dmt"),AND($D186=OBJECTIFS!$B$27,OBJECTIFS!$E$29="dmt"),AND($D186=OBJECTIFS!$B$34,OBJECTIFS!$E$36="dmt"),AND($D186=OBJECTIFS!$B$6,OBJECTIFS!$E$8="taux de chute"),AND($D186=OBJECTIFS!$B$13,OBJECTIFS!$E$15="taux de chute"),AND($D186=OBJECTIFS!$B$20,OBJECTIFS!$E$22="taux de chute"),AND($D186=OBJECTIFS!$B$27,OBJECTIFS!$E$29="taux de chute"),AND($D186=OBJECTIFS!$B$34,OBJECTIFS!$E$36="taux de chute")),IFERROR(K186/J186,""),IFERROR(J186/K186,""))</f>
        <v/>
      </c>
      <c r="M186" s="91">
        <f>IFERROR(IF(OR(J186="",K186="",L186=""),0,IF(L186&lt;OBJECTIFS!$E$56,0,IF(L186&lt;OBJECTIFS!$G$56,M$8*OBJECTIFS!$F$60,IF(L186&lt;OBJECTIFS!$I$56,M$8*OBJECTIFS!$H$60,M$8)))),0)</f>
        <v>0</v>
      </c>
      <c r="N186" s="161"/>
      <c r="O186" s="92" t="str">
        <f>IF(OR($A186="",$D186="",N186=""),"",SUMIFS(OBJECTIFS!F$9:F$39,OBJECTIFS!$A$9:$A$39,$D186,OBJECTIFS!$C$9:$C$39,$F186))</f>
        <v/>
      </c>
      <c r="P186" s="90" t="str">
        <f>IF(OR(AND($D186=OBJECTIFS!$B$6,OBJECTIFS!$F$8="dmt"),AND($D186=OBJECTIFS!$B$13,OBJECTIFS!$F$15="dmt"),AND($D186=OBJECTIFS!$B$20,OBJECTIFS!$F$22="dmt"),AND($D186=OBJECTIFS!$B$27,OBJECTIFS!$F$29="dmt"),AND($D186=OBJECTIFS!$B$34,OBJECTIFS!$F$36="dmt"),AND($D186=OBJECTIFS!$B$6,OBJECTIFS!$F$8="taux de chute"),AND($D186=OBJECTIFS!$B$13,OBJECTIFS!$F$15="taux de chute"),AND($D186=OBJECTIFS!$B$20,OBJECTIFS!$F$22="taux de chute"),AND($D186=OBJECTIFS!$B$27,OBJECTIFS!$F$29="taux de chute"),AND($D186=OBJECTIFS!$B$34,OBJECTIFS!$F$36="taux de chute")),IFERROR(O186/N186,""),IFERROR(N186/O186,""))</f>
        <v/>
      </c>
      <c r="Q186" s="91">
        <f>IFERROR(IF(OR(N186="",O186="",P186=""),0,IF(P186&lt;OBJECTIFS!$E$56,0,IF(P186&lt;OBJECTIFS!$G$56,Q$8*OBJECTIFS!$F$60,IF(P186&lt;OBJECTIFS!$I$56,Q$8*OBJECTIFS!$H$60,Q$8)))),0)</f>
        <v>0</v>
      </c>
      <c r="R186" s="164"/>
      <c r="S186" s="93" t="str">
        <f>IF(OR($A186="",$D186="",R186=""),"",SUMIFS(OBJECTIFS!G$9:G$39,OBJECTIFS!$A$9:$A$39,$D186,OBJECTIFS!$C$9:$C$39,$F186))</f>
        <v/>
      </c>
      <c r="T186" s="90" t="str">
        <f>IF(OR(AND($D186=OBJECTIFS!$B$6,OBJECTIFS!G$8="dmt"),AND($D186=OBJECTIFS!$B$13,OBJECTIFS!$G$15="dmt"),AND($D186=OBJECTIFS!$B$20,OBJECTIFS!$G$22="dmt"),AND($D186=OBJECTIFS!$B$27,OBJECTIFS!$G$29="dmt"),AND($D186=OBJECTIFS!$B$34,OBJECTIFS!$G$36="dmt"),AND($D186=OBJECTIFS!$B$6,OBJECTIFS!$G$8="taux de chute"),AND($D186=OBJECTIFS!$B$13,OBJECTIFS!$G$15="taux de chute"),AND($D186=OBJECTIFS!$B$20,OBJECTIFS!$G$22="taux de chute"),AND($D186=OBJECTIFS!$B$27,OBJECTIFS!$G$29="taux de chute"),AND($D186=OBJECTIFS!$B$34,OBJECTIFS!$G$36="taux de chute")),IFERROR(S186/R186,""),IFERROR(R186/S186,""))</f>
        <v/>
      </c>
      <c r="U186" s="94">
        <f>IFERROR(IF(OR(R186="",S186="",T186=""),0,IF(T186&lt;OBJECTIFS!$E$56,0,IF(T186&lt;OBJECTIFS!$G$56,U$8*OBJECTIFS!$F$60,IF(T186&lt;OBJECTIFS!$I$56,U$8*OBJECTIFS!$H$60,U$8)))),0)</f>
        <v>0</v>
      </c>
      <c r="V186" s="25"/>
      <c r="W186" s="90" t="str">
        <f>IF(OR($A186="",$D186="",V186=""),"",SUMIFS(OBJECTIFS!H$9:H$39,OBJECTIFS!$A$9:$A$39,$D186,OBJECTIFS!$C$9:$C$39,$F186))</f>
        <v/>
      </c>
      <c r="X186" s="90" t="str">
        <f>IF(OR(AND($D186=OBJECTIFS!$B$6,OBJECTIFS!H$8="dmt"),AND($D186=OBJECTIFS!$B$13,OBJECTIFS!$H$15="dmt"),AND($D186=OBJECTIFS!$B$20,OBJECTIFS!$H$22="dmt"),AND($D186=OBJECTIFS!$B$27,OBJECTIFS!$H$29="dmt"),AND($D186=OBJECTIFS!$B$34,OBJECTIFS!$H$36="dmt"),AND($D186=OBJECTIFS!$B$6,OBJECTIFS!$H$8="taux de chute"),AND($D186=OBJECTIFS!$B$13,OBJECTIFS!$H$15="taux de chute"),AND($D186=OBJECTIFS!$B$20,OBJECTIFS!$H$22="taux de chute"),AND($D186=OBJECTIFS!$B$27,OBJECTIFS!$H$29="taux de chute"),AND($D186=OBJECTIFS!$B$34,OBJECTIFS!$H$36="taux de chute")),IFERROR(W186/V186,""),IFERROR(V186/W186,""))</f>
        <v/>
      </c>
      <c r="Y186" s="91">
        <f>IFERROR(IF(OR(V186="",W186="",X186=""),0,IF(X186&lt;OBJECTIFS!$E$56,0,IF(X186&lt;OBJECTIFS!$G$56,Y$8*OBJECTIFS!$F$60,IF(X186&lt;OBJECTIFS!$I$56,Y$8*OBJECTIFS!$H$60,Y$8)))),0)</f>
        <v>0</v>
      </c>
      <c r="Z186" s="167"/>
      <c r="AA186" s="90" t="str">
        <f>IF(OR($A186="",$D186="",Z186=""),"",SUMIFS(OBJECTIFS!I$9:I$39,OBJECTIFS!$A$9:$A$39,$D186,OBJECTIFS!$C$9:$C$39,$F186))</f>
        <v/>
      </c>
      <c r="AB186" s="90" t="str">
        <f>IF(OR(AND($D186=OBJECTIFS!$B$6,OBJECTIFS!I$8="dmt"),AND($D186=OBJECTIFS!$B$13,OBJECTIFS!$I$15="dmt"),AND($D186=OBJECTIFS!$B$20,OBJECTIFS!$I$22="dmt"),AND($D186=OBJECTIFS!$B$27,OBJECTIFS!$I$29="dmt"),AND($D186=OBJECTIFS!$B$34,OBJECTIFS!$I$36="dmt"),AND($D186=OBJECTIFS!$B$6,OBJECTIFS!$I$8="taux de chute"),AND($D186=OBJECTIFS!$B$13,OBJECTIFS!$I$15="taux de chute"),AND($D186=OBJECTIFS!$B$20,OBJECTIFS!$I$22="taux de chute"),AND($D186=OBJECTIFS!$B$27,OBJECTIFS!$I$29="taux de chute"),AND($D186=OBJECTIFS!$B$34,OBJECTIFS!$I$36="taux de chute")),IFERROR(AA186/Z186,""),IFERROR(Z186/AA186,""))</f>
        <v/>
      </c>
      <c r="AC186" s="95">
        <f>IFERROR(IF(OR(Z186="",AA186="",AB186=""),0,IF(AB186&lt;OBJECTIFS!$E$56,0,IF(AB186&lt;OBJECTIFS!$G$56,AC$8*OBJECTIFS!$F$60,IF(AB186&lt;OBJECTIFS!$I$56,AC$8*OBJECTIFS!$H$60,AC$8)))),0)</f>
        <v>0</v>
      </c>
      <c r="AD186" s="281"/>
      <c r="AE186" s="282"/>
      <c r="AF186" s="96">
        <f t="shared" ca="1" si="29"/>
        <v>0</v>
      </c>
      <c r="AG186" s="63"/>
      <c r="AH186" s="172"/>
      <c r="AI186" s="24"/>
      <c r="AJ186" s="24"/>
      <c r="AK186" s="24"/>
      <c r="AL186" s="24"/>
      <c r="AM186" s="79">
        <f t="shared" si="30"/>
        <v>0</v>
      </c>
      <c r="AN186" s="79">
        <v>22</v>
      </c>
      <c r="AO186" s="80">
        <f t="shared" si="31"/>
        <v>0</v>
      </c>
      <c r="AP186" s="81" t="str">
        <f t="shared" ca="1" si="32"/>
        <v/>
      </c>
      <c r="AQ186" s="82"/>
      <c r="AR186" s="97">
        <f>IFERROR(VLOOKUP(B186,OBJECTIFS!$C$76:$E$137,2,FALSE),0)</f>
        <v>0</v>
      </c>
      <c r="AS186" s="98">
        <f>IFERROR(VLOOKUP(B186,OBJECTIFS!$H$76:$J$137,2,FALSE),0)</f>
        <v>0</v>
      </c>
      <c r="AT186" s="98">
        <f>IFERROR(VLOOKUP(B186,OBJECTIFS!$C$142:$E$203,2,FALSE),0)</f>
        <v>0</v>
      </c>
      <c r="AU186" s="98">
        <f>IFERROR(VLOOKUP(B186,OBJECTIFS!$H$142:$J$203,2,FALSE),0)</f>
        <v>0</v>
      </c>
      <c r="AV186" s="98">
        <f>IFERROR(VLOOKUP(B186,OBJECTIFS!$F$208:$H$269,3,FALSE),0)</f>
        <v>0</v>
      </c>
      <c r="AW186" s="81">
        <f t="shared" si="33"/>
        <v>0</v>
      </c>
      <c r="AX186" s="82"/>
      <c r="AY186" s="99" t="str">
        <f t="shared" ca="1" si="34"/>
        <v/>
      </c>
      <c r="AZ186" s="63"/>
      <c r="BA186" s="100">
        <f t="shared" ca="1" si="35"/>
        <v>0</v>
      </c>
      <c r="BB186" s="64" t="str">
        <f t="shared" ca="1" si="36"/>
        <v/>
      </c>
      <c r="BC186" s="101" t="str">
        <f t="shared" ca="1" si="37"/>
        <v/>
      </c>
    </row>
    <row r="187" spans="1:55" x14ac:dyDescent="0.2">
      <c r="A187" s="21"/>
      <c r="B187" s="22"/>
      <c r="C187" s="22"/>
      <c r="D187" s="23"/>
      <c r="E187" s="24"/>
      <c r="F187" s="34"/>
      <c r="H187" s="89" t="str">
        <f>IF(OR(D187="",F187="",A187=""),"",IF(E187="oui",0,IF(D187=OBJECTIFS!$C$45,VLOOKUP(F187,OBJECTIFS!$C$9:$D$11,2,FALSE),IF(D187=OBJECTIFS!$C$46,VLOOKUP(F187,OBJECTIFS!$C$16:$D$18,2,FALSE),IF(D187=OBJECTIFS!$C$47,VLOOKUP(F187,OBJECTIFS!$C$23:$D$25,2,FALSE),IF(D187=OBJECTIFS!$C$48,VLOOKUP(F187,OBJECTIFS!$C$30:$D$32,2,FALSE),IF(D187=OBJECTIFS!$C$49,VLOOKUP(F187,OBJECTIFS!$C$37:$D$39,2,FALSE))))))))</f>
        <v/>
      </c>
      <c r="J187" s="25"/>
      <c r="K187" s="90" t="str">
        <f>IF(OR($A187="",$D187="",J187=""),"",SUMIFS(OBJECTIFS!E$9:E$39,OBJECTIFS!$A$9:$A$39,$D187,OBJECTIFS!$C$9:$C$39,$F187))</f>
        <v/>
      </c>
      <c r="L187" s="90" t="str">
        <f>IF(OR(AND($D187=OBJECTIFS!$B$6,OBJECTIFS!E$8="dmt"),AND($D187=OBJECTIFS!$B$13,OBJECTIFS!$E$15="dmt"),AND($D187=OBJECTIFS!$B$20,OBJECTIFS!$E$22="dmt"),AND($D187=OBJECTIFS!$B$27,OBJECTIFS!$E$29="dmt"),AND($D187=OBJECTIFS!$B$34,OBJECTIFS!$E$36="dmt"),AND($D187=OBJECTIFS!$B$6,OBJECTIFS!$E$8="taux de chute"),AND($D187=OBJECTIFS!$B$13,OBJECTIFS!$E$15="taux de chute"),AND($D187=OBJECTIFS!$B$20,OBJECTIFS!$E$22="taux de chute"),AND($D187=OBJECTIFS!$B$27,OBJECTIFS!$E$29="taux de chute"),AND($D187=OBJECTIFS!$B$34,OBJECTIFS!$E$36="taux de chute")),IFERROR(K187/J187,""),IFERROR(J187/K187,""))</f>
        <v/>
      </c>
      <c r="M187" s="91">
        <f>IFERROR(IF(OR(J187="",K187="",L187=""),0,IF(L187&lt;OBJECTIFS!$E$56,0,IF(L187&lt;OBJECTIFS!$G$56,M$8*OBJECTIFS!$F$60,IF(L187&lt;OBJECTIFS!$I$56,M$8*OBJECTIFS!$H$60,M$8)))),0)</f>
        <v>0</v>
      </c>
      <c r="N187" s="161"/>
      <c r="O187" s="92" t="str">
        <f>IF(OR($A187="",$D187="",N187=""),"",SUMIFS(OBJECTIFS!F$9:F$39,OBJECTIFS!$A$9:$A$39,$D187,OBJECTIFS!$C$9:$C$39,$F187))</f>
        <v/>
      </c>
      <c r="P187" s="90" t="str">
        <f>IF(OR(AND($D187=OBJECTIFS!$B$6,OBJECTIFS!$F$8="dmt"),AND($D187=OBJECTIFS!$B$13,OBJECTIFS!$F$15="dmt"),AND($D187=OBJECTIFS!$B$20,OBJECTIFS!$F$22="dmt"),AND($D187=OBJECTIFS!$B$27,OBJECTIFS!$F$29="dmt"),AND($D187=OBJECTIFS!$B$34,OBJECTIFS!$F$36="dmt"),AND($D187=OBJECTIFS!$B$6,OBJECTIFS!$F$8="taux de chute"),AND($D187=OBJECTIFS!$B$13,OBJECTIFS!$F$15="taux de chute"),AND($D187=OBJECTIFS!$B$20,OBJECTIFS!$F$22="taux de chute"),AND($D187=OBJECTIFS!$B$27,OBJECTIFS!$F$29="taux de chute"),AND($D187=OBJECTIFS!$B$34,OBJECTIFS!$F$36="taux de chute")),IFERROR(O187/N187,""),IFERROR(N187/O187,""))</f>
        <v/>
      </c>
      <c r="Q187" s="91">
        <f>IFERROR(IF(OR(N187="",O187="",P187=""),0,IF(P187&lt;OBJECTIFS!$E$56,0,IF(P187&lt;OBJECTIFS!$G$56,Q$8*OBJECTIFS!$F$60,IF(P187&lt;OBJECTIFS!$I$56,Q$8*OBJECTIFS!$H$60,Q$8)))),0)</f>
        <v>0</v>
      </c>
      <c r="R187" s="164"/>
      <c r="S187" s="93" t="str">
        <f>IF(OR($A187="",$D187="",R187=""),"",SUMIFS(OBJECTIFS!G$9:G$39,OBJECTIFS!$A$9:$A$39,$D187,OBJECTIFS!$C$9:$C$39,$F187))</f>
        <v/>
      </c>
      <c r="T187" s="90" t="str">
        <f>IF(OR(AND($D187=OBJECTIFS!$B$6,OBJECTIFS!G$8="dmt"),AND($D187=OBJECTIFS!$B$13,OBJECTIFS!$G$15="dmt"),AND($D187=OBJECTIFS!$B$20,OBJECTIFS!$G$22="dmt"),AND($D187=OBJECTIFS!$B$27,OBJECTIFS!$G$29="dmt"),AND($D187=OBJECTIFS!$B$34,OBJECTIFS!$G$36="dmt"),AND($D187=OBJECTIFS!$B$6,OBJECTIFS!$G$8="taux de chute"),AND($D187=OBJECTIFS!$B$13,OBJECTIFS!$G$15="taux de chute"),AND($D187=OBJECTIFS!$B$20,OBJECTIFS!$G$22="taux de chute"),AND($D187=OBJECTIFS!$B$27,OBJECTIFS!$G$29="taux de chute"),AND($D187=OBJECTIFS!$B$34,OBJECTIFS!$G$36="taux de chute")),IFERROR(S187/R187,""),IFERROR(R187/S187,""))</f>
        <v/>
      </c>
      <c r="U187" s="94">
        <f>IFERROR(IF(OR(R187="",S187="",T187=""),0,IF(T187&lt;OBJECTIFS!$E$56,0,IF(T187&lt;OBJECTIFS!$G$56,U$8*OBJECTIFS!$F$60,IF(T187&lt;OBJECTIFS!$I$56,U$8*OBJECTIFS!$H$60,U$8)))),0)</f>
        <v>0</v>
      </c>
      <c r="V187" s="25"/>
      <c r="W187" s="90" t="str">
        <f>IF(OR($A187="",$D187="",V187=""),"",SUMIFS(OBJECTIFS!H$9:H$39,OBJECTIFS!$A$9:$A$39,$D187,OBJECTIFS!$C$9:$C$39,$F187))</f>
        <v/>
      </c>
      <c r="X187" s="90" t="str">
        <f>IF(OR(AND($D187=OBJECTIFS!$B$6,OBJECTIFS!H$8="dmt"),AND($D187=OBJECTIFS!$B$13,OBJECTIFS!$H$15="dmt"),AND($D187=OBJECTIFS!$B$20,OBJECTIFS!$H$22="dmt"),AND($D187=OBJECTIFS!$B$27,OBJECTIFS!$H$29="dmt"),AND($D187=OBJECTIFS!$B$34,OBJECTIFS!$H$36="dmt"),AND($D187=OBJECTIFS!$B$6,OBJECTIFS!$H$8="taux de chute"),AND($D187=OBJECTIFS!$B$13,OBJECTIFS!$H$15="taux de chute"),AND($D187=OBJECTIFS!$B$20,OBJECTIFS!$H$22="taux de chute"),AND($D187=OBJECTIFS!$B$27,OBJECTIFS!$H$29="taux de chute"),AND($D187=OBJECTIFS!$B$34,OBJECTIFS!$H$36="taux de chute")),IFERROR(W187/V187,""),IFERROR(V187/W187,""))</f>
        <v/>
      </c>
      <c r="Y187" s="91">
        <f>IFERROR(IF(OR(V187="",W187="",X187=""),0,IF(X187&lt;OBJECTIFS!$E$56,0,IF(X187&lt;OBJECTIFS!$G$56,Y$8*OBJECTIFS!$F$60,IF(X187&lt;OBJECTIFS!$I$56,Y$8*OBJECTIFS!$H$60,Y$8)))),0)</f>
        <v>0</v>
      </c>
      <c r="Z187" s="167"/>
      <c r="AA187" s="90" t="str">
        <f>IF(OR($A187="",$D187="",Z187=""),"",SUMIFS(OBJECTIFS!I$9:I$39,OBJECTIFS!$A$9:$A$39,$D187,OBJECTIFS!$C$9:$C$39,$F187))</f>
        <v/>
      </c>
      <c r="AB187" s="90" t="str">
        <f>IF(OR(AND($D187=OBJECTIFS!$B$6,OBJECTIFS!I$8="dmt"),AND($D187=OBJECTIFS!$B$13,OBJECTIFS!$I$15="dmt"),AND($D187=OBJECTIFS!$B$20,OBJECTIFS!$I$22="dmt"),AND($D187=OBJECTIFS!$B$27,OBJECTIFS!$I$29="dmt"),AND($D187=OBJECTIFS!$B$34,OBJECTIFS!$I$36="dmt"),AND($D187=OBJECTIFS!$B$6,OBJECTIFS!$I$8="taux de chute"),AND($D187=OBJECTIFS!$B$13,OBJECTIFS!$I$15="taux de chute"),AND($D187=OBJECTIFS!$B$20,OBJECTIFS!$I$22="taux de chute"),AND($D187=OBJECTIFS!$B$27,OBJECTIFS!$I$29="taux de chute"),AND($D187=OBJECTIFS!$B$34,OBJECTIFS!$I$36="taux de chute")),IFERROR(AA187/Z187,""),IFERROR(Z187/AA187,""))</f>
        <v/>
      </c>
      <c r="AC187" s="95">
        <f>IFERROR(IF(OR(Z187="",AA187="",AB187=""),0,IF(AB187&lt;OBJECTIFS!$E$56,0,IF(AB187&lt;OBJECTIFS!$G$56,AC$8*OBJECTIFS!$F$60,IF(AB187&lt;OBJECTIFS!$I$56,AC$8*OBJECTIFS!$H$60,AC$8)))),0)</f>
        <v>0</v>
      </c>
      <c r="AD187" s="281"/>
      <c r="AE187" s="282"/>
      <c r="AF187" s="96">
        <f t="shared" ca="1" si="29"/>
        <v>0</v>
      </c>
      <c r="AG187" s="63"/>
      <c r="AH187" s="172"/>
      <c r="AI187" s="24"/>
      <c r="AJ187" s="24"/>
      <c r="AK187" s="24"/>
      <c r="AL187" s="24"/>
      <c r="AM187" s="79">
        <f t="shared" si="30"/>
        <v>0</v>
      </c>
      <c r="AN187" s="79">
        <v>22</v>
      </c>
      <c r="AO187" s="80">
        <f t="shared" si="31"/>
        <v>0</v>
      </c>
      <c r="AP187" s="81" t="str">
        <f t="shared" ca="1" si="32"/>
        <v/>
      </c>
      <c r="AQ187" s="82"/>
      <c r="AR187" s="97">
        <f>IFERROR(VLOOKUP(B187,OBJECTIFS!$C$76:$E$137,2,FALSE),0)</f>
        <v>0</v>
      </c>
      <c r="AS187" s="98">
        <f>IFERROR(VLOOKUP(B187,OBJECTIFS!$H$76:$J$137,2,FALSE),0)</f>
        <v>0</v>
      </c>
      <c r="AT187" s="98">
        <f>IFERROR(VLOOKUP(B187,OBJECTIFS!$C$142:$E$203,2,FALSE),0)</f>
        <v>0</v>
      </c>
      <c r="AU187" s="98">
        <f>IFERROR(VLOOKUP(B187,OBJECTIFS!$H$142:$J$203,2,FALSE),0)</f>
        <v>0</v>
      </c>
      <c r="AV187" s="98">
        <f>IFERROR(VLOOKUP(B187,OBJECTIFS!$F$208:$H$269,3,FALSE),0)</f>
        <v>0</v>
      </c>
      <c r="AW187" s="81">
        <f t="shared" si="33"/>
        <v>0</v>
      </c>
      <c r="AX187" s="82"/>
      <c r="AY187" s="99" t="str">
        <f t="shared" ca="1" si="34"/>
        <v/>
      </c>
      <c r="AZ187" s="63"/>
      <c r="BA187" s="100">
        <f t="shared" ca="1" si="35"/>
        <v>0</v>
      </c>
      <c r="BB187" s="64" t="str">
        <f t="shared" ca="1" si="36"/>
        <v/>
      </c>
      <c r="BC187" s="101" t="str">
        <f t="shared" ca="1" si="37"/>
        <v/>
      </c>
    </row>
    <row r="188" spans="1:55" x14ac:dyDescent="0.2">
      <c r="A188" s="21"/>
      <c r="B188" s="22"/>
      <c r="C188" s="22"/>
      <c r="D188" s="23"/>
      <c r="E188" s="24"/>
      <c r="F188" s="34"/>
      <c r="H188" s="89" t="str">
        <f>IF(OR(D188="",F188="",A188=""),"",IF(E188="oui",0,IF(D188=OBJECTIFS!$C$45,VLOOKUP(F188,OBJECTIFS!$C$9:$D$11,2,FALSE),IF(D188=OBJECTIFS!$C$46,VLOOKUP(F188,OBJECTIFS!$C$16:$D$18,2,FALSE),IF(D188=OBJECTIFS!$C$47,VLOOKUP(F188,OBJECTIFS!$C$23:$D$25,2,FALSE),IF(D188=OBJECTIFS!$C$48,VLOOKUP(F188,OBJECTIFS!$C$30:$D$32,2,FALSE),IF(D188=OBJECTIFS!$C$49,VLOOKUP(F188,OBJECTIFS!$C$37:$D$39,2,FALSE))))))))</f>
        <v/>
      </c>
      <c r="J188" s="25"/>
      <c r="K188" s="90" t="str">
        <f>IF(OR($A188="",$D188="",J188=""),"",SUMIFS(OBJECTIFS!E$9:E$39,OBJECTIFS!$A$9:$A$39,$D188,OBJECTIFS!$C$9:$C$39,$F188))</f>
        <v/>
      </c>
      <c r="L188" s="90" t="str">
        <f>IF(OR(AND($D188=OBJECTIFS!$B$6,OBJECTIFS!E$8="dmt"),AND($D188=OBJECTIFS!$B$13,OBJECTIFS!$E$15="dmt"),AND($D188=OBJECTIFS!$B$20,OBJECTIFS!$E$22="dmt"),AND($D188=OBJECTIFS!$B$27,OBJECTIFS!$E$29="dmt"),AND($D188=OBJECTIFS!$B$34,OBJECTIFS!$E$36="dmt"),AND($D188=OBJECTIFS!$B$6,OBJECTIFS!$E$8="taux de chute"),AND($D188=OBJECTIFS!$B$13,OBJECTIFS!$E$15="taux de chute"),AND($D188=OBJECTIFS!$B$20,OBJECTIFS!$E$22="taux de chute"),AND($D188=OBJECTIFS!$B$27,OBJECTIFS!$E$29="taux de chute"),AND($D188=OBJECTIFS!$B$34,OBJECTIFS!$E$36="taux de chute")),IFERROR(K188/J188,""),IFERROR(J188/K188,""))</f>
        <v/>
      </c>
      <c r="M188" s="91">
        <f>IFERROR(IF(OR(J188="",K188="",L188=""),0,IF(L188&lt;OBJECTIFS!$E$56,0,IF(L188&lt;OBJECTIFS!$G$56,M$8*OBJECTIFS!$F$60,IF(L188&lt;OBJECTIFS!$I$56,M$8*OBJECTIFS!$H$60,M$8)))),0)</f>
        <v>0</v>
      </c>
      <c r="N188" s="161"/>
      <c r="O188" s="92" t="str">
        <f>IF(OR($A188="",$D188="",N188=""),"",SUMIFS(OBJECTIFS!F$9:F$39,OBJECTIFS!$A$9:$A$39,$D188,OBJECTIFS!$C$9:$C$39,$F188))</f>
        <v/>
      </c>
      <c r="P188" s="90" t="str">
        <f>IF(OR(AND($D188=OBJECTIFS!$B$6,OBJECTIFS!$F$8="dmt"),AND($D188=OBJECTIFS!$B$13,OBJECTIFS!$F$15="dmt"),AND($D188=OBJECTIFS!$B$20,OBJECTIFS!$F$22="dmt"),AND($D188=OBJECTIFS!$B$27,OBJECTIFS!$F$29="dmt"),AND($D188=OBJECTIFS!$B$34,OBJECTIFS!$F$36="dmt"),AND($D188=OBJECTIFS!$B$6,OBJECTIFS!$F$8="taux de chute"),AND($D188=OBJECTIFS!$B$13,OBJECTIFS!$F$15="taux de chute"),AND($D188=OBJECTIFS!$B$20,OBJECTIFS!$F$22="taux de chute"),AND($D188=OBJECTIFS!$B$27,OBJECTIFS!$F$29="taux de chute"),AND($D188=OBJECTIFS!$B$34,OBJECTIFS!$F$36="taux de chute")),IFERROR(O188/N188,""),IFERROR(N188/O188,""))</f>
        <v/>
      </c>
      <c r="Q188" s="91">
        <f>IFERROR(IF(OR(N188="",O188="",P188=""),0,IF(P188&lt;OBJECTIFS!$E$56,0,IF(P188&lt;OBJECTIFS!$G$56,Q$8*OBJECTIFS!$F$60,IF(P188&lt;OBJECTIFS!$I$56,Q$8*OBJECTIFS!$H$60,Q$8)))),0)</f>
        <v>0</v>
      </c>
      <c r="R188" s="164"/>
      <c r="S188" s="93" t="str">
        <f>IF(OR($A188="",$D188="",R188=""),"",SUMIFS(OBJECTIFS!G$9:G$39,OBJECTIFS!$A$9:$A$39,$D188,OBJECTIFS!$C$9:$C$39,$F188))</f>
        <v/>
      </c>
      <c r="T188" s="90" t="str">
        <f>IF(OR(AND($D188=OBJECTIFS!$B$6,OBJECTIFS!G$8="dmt"),AND($D188=OBJECTIFS!$B$13,OBJECTIFS!$G$15="dmt"),AND($D188=OBJECTIFS!$B$20,OBJECTIFS!$G$22="dmt"),AND($D188=OBJECTIFS!$B$27,OBJECTIFS!$G$29="dmt"),AND($D188=OBJECTIFS!$B$34,OBJECTIFS!$G$36="dmt"),AND($D188=OBJECTIFS!$B$6,OBJECTIFS!$G$8="taux de chute"),AND($D188=OBJECTIFS!$B$13,OBJECTIFS!$G$15="taux de chute"),AND($D188=OBJECTIFS!$B$20,OBJECTIFS!$G$22="taux de chute"),AND($D188=OBJECTIFS!$B$27,OBJECTIFS!$G$29="taux de chute"),AND($D188=OBJECTIFS!$B$34,OBJECTIFS!$G$36="taux de chute")),IFERROR(S188/R188,""),IFERROR(R188/S188,""))</f>
        <v/>
      </c>
      <c r="U188" s="94">
        <f>IFERROR(IF(OR(R188="",S188="",T188=""),0,IF(T188&lt;OBJECTIFS!$E$56,0,IF(T188&lt;OBJECTIFS!$G$56,U$8*OBJECTIFS!$F$60,IF(T188&lt;OBJECTIFS!$I$56,U$8*OBJECTIFS!$H$60,U$8)))),0)</f>
        <v>0</v>
      </c>
      <c r="V188" s="25"/>
      <c r="W188" s="90" t="str">
        <f>IF(OR($A188="",$D188="",V188=""),"",SUMIFS(OBJECTIFS!H$9:H$39,OBJECTIFS!$A$9:$A$39,$D188,OBJECTIFS!$C$9:$C$39,$F188))</f>
        <v/>
      </c>
      <c r="X188" s="90" t="str">
        <f>IF(OR(AND($D188=OBJECTIFS!$B$6,OBJECTIFS!H$8="dmt"),AND($D188=OBJECTIFS!$B$13,OBJECTIFS!$H$15="dmt"),AND($D188=OBJECTIFS!$B$20,OBJECTIFS!$H$22="dmt"),AND($D188=OBJECTIFS!$B$27,OBJECTIFS!$H$29="dmt"),AND($D188=OBJECTIFS!$B$34,OBJECTIFS!$H$36="dmt"),AND($D188=OBJECTIFS!$B$6,OBJECTIFS!$H$8="taux de chute"),AND($D188=OBJECTIFS!$B$13,OBJECTIFS!$H$15="taux de chute"),AND($D188=OBJECTIFS!$B$20,OBJECTIFS!$H$22="taux de chute"),AND($D188=OBJECTIFS!$B$27,OBJECTIFS!$H$29="taux de chute"),AND($D188=OBJECTIFS!$B$34,OBJECTIFS!$H$36="taux de chute")),IFERROR(W188/V188,""),IFERROR(V188/W188,""))</f>
        <v/>
      </c>
      <c r="Y188" s="91">
        <f>IFERROR(IF(OR(V188="",W188="",X188=""),0,IF(X188&lt;OBJECTIFS!$E$56,0,IF(X188&lt;OBJECTIFS!$G$56,Y$8*OBJECTIFS!$F$60,IF(X188&lt;OBJECTIFS!$I$56,Y$8*OBJECTIFS!$H$60,Y$8)))),0)</f>
        <v>0</v>
      </c>
      <c r="Z188" s="167"/>
      <c r="AA188" s="90" t="str">
        <f>IF(OR($A188="",$D188="",Z188=""),"",SUMIFS(OBJECTIFS!I$9:I$39,OBJECTIFS!$A$9:$A$39,$D188,OBJECTIFS!$C$9:$C$39,$F188))</f>
        <v/>
      </c>
      <c r="AB188" s="90" t="str">
        <f>IF(OR(AND($D188=OBJECTIFS!$B$6,OBJECTIFS!I$8="dmt"),AND($D188=OBJECTIFS!$B$13,OBJECTIFS!$I$15="dmt"),AND($D188=OBJECTIFS!$B$20,OBJECTIFS!$I$22="dmt"),AND($D188=OBJECTIFS!$B$27,OBJECTIFS!$I$29="dmt"),AND($D188=OBJECTIFS!$B$34,OBJECTIFS!$I$36="dmt"),AND($D188=OBJECTIFS!$B$6,OBJECTIFS!$I$8="taux de chute"),AND($D188=OBJECTIFS!$B$13,OBJECTIFS!$I$15="taux de chute"),AND($D188=OBJECTIFS!$B$20,OBJECTIFS!$I$22="taux de chute"),AND($D188=OBJECTIFS!$B$27,OBJECTIFS!$I$29="taux de chute"),AND($D188=OBJECTIFS!$B$34,OBJECTIFS!$I$36="taux de chute")),IFERROR(AA188/Z188,""),IFERROR(Z188/AA188,""))</f>
        <v/>
      </c>
      <c r="AC188" s="95">
        <f>IFERROR(IF(OR(Z188="",AA188="",AB188=""),0,IF(AB188&lt;OBJECTIFS!$E$56,0,IF(AB188&lt;OBJECTIFS!$G$56,AC$8*OBJECTIFS!$F$60,IF(AB188&lt;OBJECTIFS!$I$56,AC$8*OBJECTIFS!$H$60,AC$8)))),0)</f>
        <v>0</v>
      </c>
      <c r="AD188" s="281"/>
      <c r="AE188" s="282"/>
      <c r="AF188" s="96">
        <f t="shared" ca="1" si="29"/>
        <v>0</v>
      </c>
      <c r="AG188" s="63"/>
      <c r="AH188" s="172"/>
      <c r="AI188" s="24"/>
      <c r="AJ188" s="24"/>
      <c r="AK188" s="24"/>
      <c r="AL188" s="24"/>
      <c r="AM188" s="79">
        <f t="shared" si="30"/>
        <v>0</v>
      </c>
      <c r="AN188" s="79">
        <v>22</v>
      </c>
      <c r="AO188" s="80">
        <f t="shared" si="31"/>
        <v>0</v>
      </c>
      <c r="AP188" s="81" t="str">
        <f t="shared" ca="1" si="32"/>
        <v/>
      </c>
      <c r="AQ188" s="82"/>
      <c r="AR188" s="97">
        <f>IFERROR(VLOOKUP(B188,OBJECTIFS!$C$76:$E$137,2,FALSE),0)</f>
        <v>0</v>
      </c>
      <c r="AS188" s="98">
        <f>IFERROR(VLOOKUP(B188,OBJECTIFS!$H$76:$J$137,2,FALSE),0)</f>
        <v>0</v>
      </c>
      <c r="AT188" s="98">
        <f>IFERROR(VLOOKUP(B188,OBJECTIFS!$C$142:$E$203,2,FALSE),0)</f>
        <v>0</v>
      </c>
      <c r="AU188" s="98">
        <f>IFERROR(VLOOKUP(B188,OBJECTIFS!$H$142:$J$203,2,FALSE),0)</f>
        <v>0</v>
      </c>
      <c r="AV188" s="98">
        <f>IFERROR(VLOOKUP(B188,OBJECTIFS!$F$208:$H$269,3,FALSE),0)</f>
        <v>0</v>
      </c>
      <c r="AW188" s="81">
        <f t="shared" si="33"/>
        <v>0</v>
      </c>
      <c r="AX188" s="82"/>
      <c r="AY188" s="99" t="str">
        <f t="shared" ca="1" si="34"/>
        <v/>
      </c>
      <c r="AZ188" s="63"/>
      <c r="BA188" s="100">
        <f t="shared" ca="1" si="35"/>
        <v>0</v>
      </c>
      <c r="BB188" s="64" t="str">
        <f t="shared" ca="1" si="36"/>
        <v/>
      </c>
      <c r="BC188" s="101" t="str">
        <f t="shared" ca="1" si="37"/>
        <v/>
      </c>
    </row>
    <row r="189" spans="1:55" x14ac:dyDescent="0.2">
      <c r="A189" s="21"/>
      <c r="B189" s="22"/>
      <c r="C189" s="22"/>
      <c r="D189" s="23"/>
      <c r="E189" s="24"/>
      <c r="F189" s="34"/>
      <c r="H189" s="89" t="str">
        <f>IF(OR(D189="",F189="",A189=""),"",IF(E189="oui",0,IF(D189=OBJECTIFS!$C$45,VLOOKUP(F189,OBJECTIFS!$C$9:$D$11,2,FALSE),IF(D189=OBJECTIFS!$C$46,VLOOKUP(F189,OBJECTIFS!$C$16:$D$18,2,FALSE),IF(D189=OBJECTIFS!$C$47,VLOOKUP(F189,OBJECTIFS!$C$23:$D$25,2,FALSE),IF(D189=OBJECTIFS!$C$48,VLOOKUP(F189,OBJECTIFS!$C$30:$D$32,2,FALSE),IF(D189=OBJECTIFS!$C$49,VLOOKUP(F189,OBJECTIFS!$C$37:$D$39,2,FALSE))))))))</f>
        <v/>
      </c>
      <c r="J189" s="25"/>
      <c r="K189" s="90" t="str">
        <f>IF(OR($A189="",$D189="",J189=""),"",SUMIFS(OBJECTIFS!E$9:E$39,OBJECTIFS!$A$9:$A$39,$D189,OBJECTIFS!$C$9:$C$39,$F189))</f>
        <v/>
      </c>
      <c r="L189" s="90" t="str">
        <f>IF(OR(AND($D189=OBJECTIFS!$B$6,OBJECTIFS!E$8="dmt"),AND($D189=OBJECTIFS!$B$13,OBJECTIFS!$E$15="dmt"),AND($D189=OBJECTIFS!$B$20,OBJECTIFS!$E$22="dmt"),AND($D189=OBJECTIFS!$B$27,OBJECTIFS!$E$29="dmt"),AND($D189=OBJECTIFS!$B$34,OBJECTIFS!$E$36="dmt"),AND($D189=OBJECTIFS!$B$6,OBJECTIFS!$E$8="taux de chute"),AND($D189=OBJECTIFS!$B$13,OBJECTIFS!$E$15="taux de chute"),AND($D189=OBJECTIFS!$B$20,OBJECTIFS!$E$22="taux de chute"),AND($D189=OBJECTIFS!$B$27,OBJECTIFS!$E$29="taux de chute"),AND($D189=OBJECTIFS!$B$34,OBJECTIFS!$E$36="taux de chute")),IFERROR(K189/J189,""),IFERROR(J189/K189,""))</f>
        <v/>
      </c>
      <c r="M189" s="91">
        <f>IFERROR(IF(OR(J189="",K189="",L189=""),0,IF(L189&lt;OBJECTIFS!$E$56,0,IF(L189&lt;OBJECTIFS!$G$56,M$8*OBJECTIFS!$F$60,IF(L189&lt;OBJECTIFS!$I$56,M$8*OBJECTIFS!$H$60,M$8)))),0)</f>
        <v>0</v>
      </c>
      <c r="N189" s="161"/>
      <c r="O189" s="92" t="str">
        <f>IF(OR($A189="",$D189="",N189=""),"",SUMIFS(OBJECTIFS!F$9:F$39,OBJECTIFS!$A$9:$A$39,$D189,OBJECTIFS!$C$9:$C$39,$F189))</f>
        <v/>
      </c>
      <c r="P189" s="90" t="str">
        <f>IF(OR(AND($D189=OBJECTIFS!$B$6,OBJECTIFS!$F$8="dmt"),AND($D189=OBJECTIFS!$B$13,OBJECTIFS!$F$15="dmt"),AND($D189=OBJECTIFS!$B$20,OBJECTIFS!$F$22="dmt"),AND($D189=OBJECTIFS!$B$27,OBJECTIFS!$F$29="dmt"),AND($D189=OBJECTIFS!$B$34,OBJECTIFS!$F$36="dmt"),AND($D189=OBJECTIFS!$B$6,OBJECTIFS!$F$8="taux de chute"),AND($D189=OBJECTIFS!$B$13,OBJECTIFS!$F$15="taux de chute"),AND($D189=OBJECTIFS!$B$20,OBJECTIFS!$F$22="taux de chute"),AND($D189=OBJECTIFS!$B$27,OBJECTIFS!$F$29="taux de chute"),AND($D189=OBJECTIFS!$B$34,OBJECTIFS!$F$36="taux de chute")),IFERROR(O189/N189,""),IFERROR(N189/O189,""))</f>
        <v/>
      </c>
      <c r="Q189" s="91">
        <f>IFERROR(IF(OR(N189="",O189="",P189=""),0,IF(P189&lt;OBJECTIFS!$E$56,0,IF(P189&lt;OBJECTIFS!$G$56,Q$8*OBJECTIFS!$F$60,IF(P189&lt;OBJECTIFS!$I$56,Q$8*OBJECTIFS!$H$60,Q$8)))),0)</f>
        <v>0</v>
      </c>
      <c r="R189" s="164"/>
      <c r="S189" s="93" t="str">
        <f>IF(OR($A189="",$D189="",R189=""),"",SUMIFS(OBJECTIFS!G$9:G$39,OBJECTIFS!$A$9:$A$39,$D189,OBJECTIFS!$C$9:$C$39,$F189))</f>
        <v/>
      </c>
      <c r="T189" s="90" t="str">
        <f>IF(OR(AND($D189=OBJECTIFS!$B$6,OBJECTIFS!G$8="dmt"),AND($D189=OBJECTIFS!$B$13,OBJECTIFS!$G$15="dmt"),AND($D189=OBJECTIFS!$B$20,OBJECTIFS!$G$22="dmt"),AND($D189=OBJECTIFS!$B$27,OBJECTIFS!$G$29="dmt"),AND($D189=OBJECTIFS!$B$34,OBJECTIFS!$G$36="dmt"),AND($D189=OBJECTIFS!$B$6,OBJECTIFS!$G$8="taux de chute"),AND($D189=OBJECTIFS!$B$13,OBJECTIFS!$G$15="taux de chute"),AND($D189=OBJECTIFS!$B$20,OBJECTIFS!$G$22="taux de chute"),AND($D189=OBJECTIFS!$B$27,OBJECTIFS!$G$29="taux de chute"),AND($D189=OBJECTIFS!$B$34,OBJECTIFS!$G$36="taux de chute")),IFERROR(S189/R189,""),IFERROR(R189/S189,""))</f>
        <v/>
      </c>
      <c r="U189" s="94">
        <f>IFERROR(IF(OR(R189="",S189="",T189=""),0,IF(T189&lt;OBJECTIFS!$E$56,0,IF(T189&lt;OBJECTIFS!$G$56,U$8*OBJECTIFS!$F$60,IF(T189&lt;OBJECTIFS!$I$56,U$8*OBJECTIFS!$H$60,U$8)))),0)</f>
        <v>0</v>
      </c>
      <c r="V189" s="25"/>
      <c r="W189" s="90" t="str">
        <f>IF(OR($A189="",$D189="",V189=""),"",SUMIFS(OBJECTIFS!H$9:H$39,OBJECTIFS!$A$9:$A$39,$D189,OBJECTIFS!$C$9:$C$39,$F189))</f>
        <v/>
      </c>
      <c r="X189" s="90" t="str">
        <f>IF(OR(AND($D189=OBJECTIFS!$B$6,OBJECTIFS!H$8="dmt"),AND($D189=OBJECTIFS!$B$13,OBJECTIFS!$H$15="dmt"),AND($D189=OBJECTIFS!$B$20,OBJECTIFS!$H$22="dmt"),AND($D189=OBJECTIFS!$B$27,OBJECTIFS!$H$29="dmt"),AND($D189=OBJECTIFS!$B$34,OBJECTIFS!$H$36="dmt"),AND($D189=OBJECTIFS!$B$6,OBJECTIFS!$H$8="taux de chute"),AND($D189=OBJECTIFS!$B$13,OBJECTIFS!$H$15="taux de chute"),AND($D189=OBJECTIFS!$B$20,OBJECTIFS!$H$22="taux de chute"),AND($D189=OBJECTIFS!$B$27,OBJECTIFS!$H$29="taux de chute"),AND($D189=OBJECTIFS!$B$34,OBJECTIFS!$H$36="taux de chute")),IFERROR(W189/V189,""),IFERROR(V189/W189,""))</f>
        <v/>
      </c>
      <c r="Y189" s="91">
        <f>IFERROR(IF(OR(V189="",W189="",X189=""),0,IF(X189&lt;OBJECTIFS!$E$56,0,IF(X189&lt;OBJECTIFS!$G$56,Y$8*OBJECTIFS!$F$60,IF(X189&lt;OBJECTIFS!$I$56,Y$8*OBJECTIFS!$H$60,Y$8)))),0)</f>
        <v>0</v>
      </c>
      <c r="Z189" s="167"/>
      <c r="AA189" s="90" t="str">
        <f>IF(OR($A189="",$D189="",Z189=""),"",SUMIFS(OBJECTIFS!I$9:I$39,OBJECTIFS!$A$9:$A$39,$D189,OBJECTIFS!$C$9:$C$39,$F189))</f>
        <v/>
      </c>
      <c r="AB189" s="90" t="str">
        <f>IF(OR(AND($D189=OBJECTIFS!$B$6,OBJECTIFS!I$8="dmt"),AND($D189=OBJECTIFS!$B$13,OBJECTIFS!$I$15="dmt"),AND($D189=OBJECTIFS!$B$20,OBJECTIFS!$I$22="dmt"),AND($D189=OBJECTIFS!$B$27,OBJECTIFS!$I$29="dmt"),AND($D189=OBJECTIFS!$B$34,OBJECTIFS!$I$36="dmt"),AND($D189=OBJECTIFS!$B$6,OBJECTIFS!$I$8="taux de chute"),AND($D189=OBJECTIFS!$B$13,OBJECTIFS!$I$15="taux de chute"),AND($D189=OBJECTIFS!$B$20,OBJECTIFS!$I$22="taux de chute"),AND($D189=OBJECTIFS!$B$27,OBJECTIFS!$I$29="taux de chute"),AND($D189=OBJECTIFS!$B$34,OBJECTIFS!$I$36="taux de chute")),IFERROR(AA189/Z189,""),IFERROR(Z189/AA189,""))</f>
        <v/>
      </c>
      <c r="AC189" s="95">
        <f>IFERROR(IF(OR(Z189="",AA189="",AB189=""),0,IF(AB189&lt;OBJECTIFS!$E$56,0,IF(AB189&lt;OBJECTIFS!$G$56,AC$8*OBJECTIFS!$F$60,IF(AB189&lt;OBJECTIFS!$I$56,AC$8*OBJECTIFS!$H$60,AC$8)))),0)</f>
        <v>0</v>
      </c>
      <c r="AD189" s="281"/>
      <c r="AE189" s="282"/>
      <c r="AF189" s="96">
        <f t="shared" ca="1" si="29"/>
        <v>0</v>
      </c>
      <c r="AG189" s="63"/>
      <c r="AH189" s="172"/>
      <c r="AI189" s="24"/>
      <c r="AJ189" s="24"/>
      <c r="AK189" s="24"/>
      <c r="AL189" s="24"/>
      <c r="AM189" s="79">
        <f t="shared" si="30"/>
        <v>0</v>
      </c>
      <c r="AN189" s="79">
        <v>22</v>
      </c>
      <c r="AO189" s="80">
        <f t="shared" si="31"/>
        <v>0</v>
      </c>
      <c r="AP189" s="81" t="str">
        <f t="shared" ca="1" si="32"/>
        <v/>
      </c>
      <c r="AQ189" s="82"/>
      <c r="AR189" s="97">
        <f>IFERROR(VLOOKUP(B189,OBJECTIFS!$C$76:$E$137,2,FALSE),0)</f>
        <v>0</v>
      </c>
      <c r="AS189" s="98">
        <f>IFERROR(VLOOKUP(B189,OBJECTIFS!$H$76:$J$137,2,FALSE),0)</f>
        <v>0</v>
      </c>
      <c r="AT189" s="98">
        <f>IFERROR(VLOOKUP(B189,OBJECTIFS!$C$142:$E$203,2,FALSE),0)</f>
        <v>0</v>
      </c>
      <c r="AU189" s="98">
        <f>IFERROR(VLOOKUP(B189,OBJECTIFS!$H$142:$J$203,2,FALSE),0)</f>
        <v>0</v>
      </c>
      <c r="AV189" s="98">
        <f>IFERROR(VLOOKUP(B189,OBJECTIFS!$F$208:$H$269,3,FALSE),0)</f>
        <v>0</v>
      </c>
      <c r="AW189" s="81">
        <f t="shared" si="33"/>
        <v>0</v>
      </c>
      <c r="AX189" s="82"/>
      <c r="AY189" s="99" t="str">
        <f t="shared" ca="1" si="34"/>
        <v/>
      </c>
      <c r="AZ189" s="63"/>
      <c r="BA189" s="100">
        <f t="shared" ca="1" si="35"/>
        <v>0</v>
      </c>
      <c r="BB189" s="64" t="str">
        <f t="shared" ca="1" si="36"/>
        <v/>
      </c>
      <c r="BC189" s="101" t="str">
        <f t="shared" ca="1" si="37"/>
        <v/>
      </c>
    </row>
    <row r="190" spans="1:55" x14ac:dyDescent="0.2">
      <c r="A190" s="21"/>
      <c r="B190" s="22"/>
      <c r="C190" s="22"/>
      <c r="D190" s="23"/>
      <c r="E190" s="24"/>
      <c r="F190" s="34"/>
      <c r="H190" s="89" t="str">
        <f>IF(OR(D190="",F190="",A190=""),"",IF(E190="oui",0,IF(D190=OBJECTIFS!$C$45,VLOOKUP(F190,OBJECTIFS!$C$9:$D$11,2,FALSE),IF(D190=OBJECTIFS!$C$46,VLOOKUP(F190,OBJECTIFS!$C$16:$D$18,2,FALSE),IF(D190=OBJECTIFS!$C$47,VLOOKUP(F190,OBJECTIFS!$C$23:$D$25,2,FALSE),IF(D190=OBJECTIFS!$C$48,VLOOKUP(F190,OBJECTIFS!$C$30:$D$32,2,FALSE),IF(D190=OBJECTIFS!$C$49,VLOOKUP(F190,OBJECTIFS!$C$37:$D$39,2,FALSE))))))))</f>
        <v/>
      </c>
      <c r="J190" s="25"/>
      <c r="K190" s="90" t="str">
        <f>IF(OR($A190="",$D190="",J190=""),"",SUMIFS(OBJECTIFS!E$9:E$39,OBJECTIFS!$A$9:$A$39,$D190,OBJECTIFS!$C$9:$C$39,$F190))</f>
        <v/>
      </c>
      <c r="L190" s="90" t="str">
        <f>IF(OR(AND($D190=OBJECTIFS!$B$6,OBJECTIFS!E$8="dmt"),AND($D190=OBJECTIFS!$B$13,OBJECTIFS!$E$15="dmt"),AND($D190=OBJECTIFS!$B$20,OBJECTIFS!$E$22="dmt"),AND($D190=OBJECTIFS!$B$27,OBJECTIFS!$E$29="dmt"),AND($D190=OBJECTIFS!$B$34,OBJECTIFS!$E$36="dmt"),AND($D190=OBJECTIFS!$B$6,OBJECTIFS!$E$8="taux de chute"),AND($D190=OBJECTIFS!$B$13,OBJECTIFS!$E$15="taux de chute"),AND($D190=OBJECTIFS!$B$20,OBJECTIFS!$E$22="taux de chute"),AND($D190=OBJECTIFS!$B$27,OBJECTIFS!$E$29="taux de chute"),AND($D190=OBJECTIFS!$B$34,OBJECTIFS!$E$36="taux de chute")),IFERROR(K190/J190,""),IFERROR(J190/K190,""))</f>
        <v/>
      </c>
      <c r="M190" s="91">
        <f>IFERROR(IF(OR(J190="",K190="",L190=""),0,IF(L190&lt;OBJECTIFS!$E$56,0,IF(L190&lt;OBJECTIFS!$G$56,M$8*OBJECTIFS!$F$60,IF(L190&lt;OBJECTIFS!$I$56,M$8*OBJECTIFS!$H$60,M$8)))),0)</f>
        <v>0</v>
      </c>
      <c r="N190" s="161"/>
      <c r="O190" s="92" t="str">
        <f>IF(OR($A190="",$D190="",N190=""),"",SUMIFS(OBJECTIFS!F$9:F$39,OBJECTIFS!$A$9:$A$39,$D190,OBJECTIFS!$C$9:$C$39,$F190))</f>
        <v/>
      </c>
      <c r="P190" s="90" t="str">
        <f>IF(OR(AND($D190=OBJECTIFS!$B$6,OBJECTIFS!$F$8="dmt"),AND($D190=OBJECTIFS!$B$13,OBJECTIFS!$F$15="dmt"),AND($D190=OBJECTIFS!$B$20,OBJECTIFS!$F$22="dmt"),AND($D190=OBJECTIFS!$B$27,OBJECTIFS!$F$29="dmt"),AND($D190=OBJECTIFS!$B$34,OBJECTIFS!$F$36="dmt"),AND($D190=OBJECTIFS!$B$6,OBJECTIFS!$F$8="taux de chute"),AND($D190=OBJECTIFS!$B$13,OBJECTIFS!$F$15="taux de chute"),AND($D190=OBJECTIFS!$B$20,OBJECTIFS!$F$22="taux de chute"),AND($D190=OBJECTIFS!$B$27,OBJECTIFS!$F$29="taux de chute"),AND($D190=OBJECTIFS!$B$34,OBJECTIFS!$F$36="taux de chute")),IFERROR(O190/N190,""),IFERROR(N190/O190,""))</f>
        <v/>
      </c>
      <c r="Q190" s="91">
        <f>IFERROR(IF(OR(N190="",O190="",P190=""),0,IF(P190&lt;OBJECTIFS!$E$56,0,IF(P190&lt;OBJECTIFS!$G$56,Q$8*OBJECTIFS!$F$60,IF(P190&lt;OBJECTIFS!$I$56,Q$8*OBJECTIFS!$H$60,Q$8)))),0)</f>
        <v>0</v>
      </c>
      <c r="R190" s="164"/>
      <c r="S190" s="93" t="str">
        <f>IF(OR($A190="",$D190="",R190=""),"",SUMIFS(OBJECTIFS!G$9:G$39,OBJECTIFS!$A$9:$A$39,$D190,OBJECTIFS!$C$9:$C$39,$F190))</f>
        <v/>
      </c>
      <c r="T190" s="90" t="str">
        <f>IF(OR(AND($D190=OBJECTIFS!$B$6,OBJECTIFS!G$8="dmt"),AND($D190=OBJECTIFS!$B$13,OBJECTIFS!$G$15="dmt"),AND($D190=OBJECTIFS!$B$20,OBJECTIFS!$G$22="dmt"),AND($D190=OBJECTIFS!$B$27,OBJECTIFS!$G$29="dmt"),AND($D190=OBJECTIFS!$B$34,OBJECTIFS!$G$36="dmt"),AND($D190=OBJECTIFS!$B$6,OBJECTIFS!$G$8="taux de chute"),AND($D190=OBJECTIFS!$B$13,OBJECTIFS!$G$15="taux de chute"),AND($D190=OBJECTIFS!$B$20,OBJECTIFS!$G$22="taux de chute"),AND($D190=OBJECTIFS!$B$27,OBJECTIFS!$G$29="taux de chute"),AND($D190=OBJECTIFS!$B$34,OBJECTIFS!$G$36="taux de chute")),IFERROR(S190/R190,""),IFERROR(R190/S190,""))</f>
        <v/>
      </c>
      <c r="U190" s="94">
        <f>IFERROR(IF(OR(R190="",S190="",T190=""),0,IF(T190&lt;OBJECTIFS!$E$56,0,IF(T190&lt;OBJECTIFS!$G$56,U$8*OBJECTIFS!$F$60,IF(T190&lt;OBJECTIFS!$I$56,U$8*OBJECTIFS!$H$60,U$8)))),0)</f>
        <v>0</v>
      </c>
      <c r="V190" s="25"/>
      <c r="W190" s="90" t="str">
        <f>IF(OR($A190="",$D190="",V190=""),"",SUMIFS(OBJECTIFS!H$9:H$39,OBJECTIFS!$A$9:$A$39,$D190,OBJECTIFS!$C$9:$C$39,$F190))</f>
        <v/>
      </c>
      <c r="X190" s="90" t="str">
        <f>IF(OR(AND($D190=OBJECTIFS!$B$6,OBJECTIFS!H$8="dmt"),AND($D190=OBJECTIFS!$B$13,OBJECTIFS!$H$15="dmt"),AND($D190=OBJECTIFS!$B$20,OBJECTIFS!$H$22="dmt"),AND($D190=OBJECTIFS!$B$27,OBJECTIFS!$H$29="dmt"),AND($D190=OBJECTIFS!$B$34,OBJECTIFS!$H$36="dmt"),AND($D190=OBJECTIFS!$B$6,OBJECTIFS!$H$8="taux de chute"),AND($D190=OBJECTIFS!$B$13,OBJECTIFS!$H$15="taux de chute"),AND($D190=OBJECTIFS!$B$20,OBJECTIFS!$H$22="taux de chute"),AND($D190=OBJECTIFS!$B$27,OBJECTIFS!$H$29="taux de chute"),AND($D190=OBJECTIFS!$B$34,OBJECTIFS!$H$36="taux de chute")),IFERROR(W190/V190,""),IFERROR(V190/W190,""))</f>
        <v/>
      </c>
      <c r="Y190" s="91">
        <f>IFERROR(IF(OR(V190="",W190="",X190=""),0,IF(X190&lt;OBJECTIFS!$E$56,0,IF(X190&lt;OBJECTIFS!$G$56,Y$8*OBJECTIFS!$F$60,IF(X190&lt;OBJECTIFS!$I$56,Y$8*OBJECTIFS!$H$60,Y$8)))),0)</f>
        <v>0</v>
      </c>
      <c r="Z190" s="167"/>
      <c r="AA190" s="90" t="str">
        <f>IF(OR($A190="",$D190="",Z190=""),"",SUMIFS(OBJECTIFS!I$9:I$39,OBJECTIFS!$A$9:$A$39,$D190,OBJECTIFS!$C$9:$C$39,$F190))</f>
        <v/>
      </c>
      <c r="AB190" s="90" t="str">
        <f>IF(OR(AND($D190=OBJECTIFS!$B$6,OBJECTIFS!I$8="dmt"),AND($D190=OBJECTIFS!$B$13,OBJECTIFS!$I$15="dmt"),AND($D190=OBJECTIFS!$B$20,OBJECTIFS!$I$22="dmt"),AND($D190=OBJECTIFS!$B$27,OBJECTIFS!$I$29="dmt"),AND($D190=OBJECTIFS!$B$34,OBJECTIFS!$I$36="dmt"),AND($D190=OBJECTIFS!$B$6,OBJECTIFS!$I$8="taux de chute"),AND($D190=OBJECTIFS!$B$13,OBJECTIFS!$I$15="taux de chute"),AND($D190=OBJECTIFS!$B$20,OBJECTIFS!$I$22="taux de chute"),AND($D190=OBJECTIFS!$B$27,OBJECTIFS!$I$29="taux de chute"),AND($D190=OBJECTIFS!$B$34,OBJECTIFS!$I$36="taux de chute")),IFERROR(AA190/Z190,""),IFERROR(Z190/AA190,""))</f>
        <v/>
      </c>
      <c r="AC190" s="95">
        <f>IFERROR(IF(OR(Z190="",AA190="",AB190=""),0,IF(AB190&lt;OBJECTIFS!$E$56,0,IF(AB190&lt;OBJECTIFS!$G$56,AC$8*OBJECTIFS!$F$60,IF(AB190&lt;OBJECTIFS!$I$56,AC$8*OBJECTIFS!$H$60,AC$8)))),0)</f>
        <v>0</v>
      </c>
      <c r="AD190" s="281"/>
      <c r="AE190" s="282"/>
      <c r="AF190" s="96">
        <f t="shared" ca="1" si="29"/>
        <v>0</v>
      </c>
      <c r="AG190" s="63"/>
      <c r="AH190" s="172"/>
      <c r="AI190" s="24"/>
      <c r="AJ190" s="24"/>
      <c r="AK190" s="24"/>
      <c r="AL190" s="24"/>
      <c r="AM190" s="79">
        <f t="shared" si="30"/>
        <v>0</v>
      </c>
      <c r="AN190" s="79">
        <v>22</v>
      </c>
      <c r="AO190" s="80">
        <f t="shared" si="31"/>
        <v>0</v>
      </c>
      <c r="AP190" s="81" t="str">
        <f t="shared" ca="1" si="32"/>
        <v/>
      </c>
      <c r="AQ190" s="82"/>
      <c r="AR190" s="97">
        <f>IFERROR(VLOOKUP(B190,OBJECTIFS!$C$76:$E$137,2,FALSE),0)</f>
        <v>0</v>
      </c>
      <c r="AS190" s="98">
        <f>IFERROR(VLOOKUP(B190,OBJECTIFS!$H$76:$J$137,2,FALSE),0)</f>
        <v>0</v>
      </c>
      <c r="AT190" s="98">
        <f>IFERROR(VLOOKUP(B190,OBJECTIFS!$C$142:$E$203,2,FALSE),0)</f>
        <v>0</v>
      </c>
      <c r="AU190" s="98">
        <f>IFERROR(VLOOKUP(B190,OBJECTIFS!$H$142:$J$203,2,FALSE),0)</f>
        <v>0</v>
      </c>
      <c r="AV190" s="98">
        <f>IFERROR(VLOOKUP(B190,OBJECTIFS!$F$208:$H$269,3,FALSE),0)</f>
        <v>0</v>
      </c>
      <c r="AW190" s="81">
        <f t="shared" si="33"/>
        <v>0</v>
      </c>
      <c r="AX190" s="82"/>
      <c r="AY190" s="99" t="str">
        <f t="shared" ca="1" si="34"/>
        <v/>
      </c>
      <c r="AZ190" s="63"/>
      <c r="BA190" s="100">
        <f t="shared" ca="1" si="35"/>
        <v>0</v>
      </c>
      <c r="BB190" s="64" t="str">
        <f t="shared" ca="1" si="36"/>
        <v/>
      </c>
      <c r="BC190" s="101" t="str">
        <f t="shared" ca="1" si="37"/>
        <v/>
      </c>
    </row>
    <row r="191" spans="1:55" x14ac:dyDescent="0.2">
      <c r="A191" s="21"/>
      <c r="B191" s="22"/>
      <c r="C191" s="22"/>
      <c r="D191" s="23"/>
      <c r="E191" s="24"/>
      <c r="F191" s="34"/>
      <c r="H191" s="89" t="str">
        <f>IF(OR(D191="",F191="",A191=""),"",IF(E191="oui",0,IF(D191=OBJECTIFS!$C$45,VLOOKUP(F191,OBJECTIFS!$C$9:$D$11,2,FALSE),IF(D191=OBJECTIFS!$C$46,VLOOKUP(F191,OBJECTIFS!$C$16:$D$18,2,FALSE),IF(D191=OBJECTIFS!$C$47,VLOOKUP(F191,OBJECTIFS!$C$23:$D$25,2,FALSE),IF(D191=OBJECTIFS!$C$48,VLOOKUP(F191,OBJECTIFS!$C$30:$D$32,2,FALSE),IF(D191=OBJECTIFS!$C$49,VLOOKUP(F191,OBJECTIFS!$C$37:$D$39,2,FALSE))))))))</f>
        <v/>
      </c>
      <c r="J191" s="25"/>
      <c r="K191" s="90" t="str">
        <f>IF(OR($A191="",$D191="",J191=""),"",SUMIFS(OBJECTIFS!E$9:E$39,OBJECTIFS!$A$9:$A$39,$D191,OBJECTIFS!$C$9:$C$39,$F191))</f>
        <v/>
      </c>
      <c r="L191" s="90" t="str">
        <f>IF(OR(AND($D191=OBJECTIFS!$B$6,OBJECTIFS!E$8="dmt"),AND($D191=OBJECTIFS!$B$13,OBJECTIFS!$E$15="dmt"),AND($D191=OBJECTIFS!$B$20,OBJECTIFS!$E$22="dmt"),AND($D191=OBJECTIFS!$B$27,OBJECTIFS!$E$29="dmt"),AND($D191=OBJECTIFS!$B$34,OBJECTIFS!$E$36="dmt"),AND($D191=OBJECTIFS!$B$6,OBJECTIFS!$E$8="taux de chute"),AND($D191=OBJECTIFS!$B$13,OBJECTIFS!$E$15="taux de chute"),AND($D191=OBJECTIFS!$B$20,OBJECTIFS!$E$22="taux de chute"),AND($D191=OBJECTIFS!$B$27,OBJECTIFS!$E$29="taux de chute"),AND($D191=OBJECTIFS!$B$34,OBJECTIFS!$E$36="taux de chute")),IFERROR(K191/J191,""),IFERROR(J191/K191,""))</f>
        <v/>
      </c>
      <c r="M191" s="91">
        <f>IFERROR(IF(OR(J191="",K191="",L191=""),0,IF(L191&lt;OBJECTIFS!$E$56,0,IF(L191&lt;OBJECTIFS!$G$56,M$8*OBJECTIFS!$F$60,IF(L191&lt;OBJECTIFS!$I$56,M$8*OBJECTIFS!$H$60,M$8)))),0)</f>
        <v>0</v>
      </c>
      <c r="N191" s="161"/>
      <c r="O191" s="92" t="str">
        <f>IF(OR($A191="",$D191="",N191=""),"",SUMIFS(OBJECTIFS!F$9:F$39,OBJECTIFS!$A$9:$A$39,$D191,OBJECTIFS!$C$9:$C$39,$F191))</f>
        <v/>
      </c>
      <c r="P191" s="90" t="str">
        <f>IF(OR(AND($D191=OBJECTIFS!$B$6,OBJECTIFS!$F$8="dmt"),AND($D191=OBJECTIFS!$B$13,OBJECTIFS!$F$15="dmt"),AND($D191=OBJECTIFS!$B$20,OBJECTIFS!$F$22="dmt"),AND($D191=OBJECTIFS!$B$27,OBJECTIFS!$F$29="dmt"),AND($D191=OBJECTIFS!$B$34,OBJECTIFS!$F$36="dmt"),AND($D191=OBJECTIFS!$B$6,OBJECTIFS!$F$8="taux de chute"),AND($D191=OBJECTIFS!$B$13,OBJECTIFS!$F$15="taux de chute"),AND($D191=OBJECTIFS!$B$20,OBJECTIFS!$F$22="taux de chute"),AND($D191=OBJECTIFS!$B$27,OBJECTIFS!$F$29="taux de chute"),AND($D191=OBJECTIFS!$B$34,OBJECTIFS!$F$36="taux de chute")),IFERROR(O191/N191,""),IFERROR(N191/O191,""))</f>
        <v/>
      </c>
      <c r="Q191" s="91">
        <f>IFERROR(IF(OR(N191="",O191="",P191=""),0,IF(P191&lt;OBJECTIFS!$E$56,0,IF(P191&lt;OBJECTIFS!$G$56,Q$8*OBJECTIFS!$F$60,IF(P191&lt;OBJECTIFS!$I$56,Q$8*OBJECTIFS!$H$60,Q$8)))),0)</f>
        <v>0</v>
      </c>
      <c r="R191" s="164"/>
      <c r="S191" s="93" t="str">
        <f>IF(OR($A191="",$D191="",R191=""),"",SUMIFS(OBJECTIFS!G$9:G$39,OBJECTIFS!$A$9:$A$39,$D191,OBJECTIFS!$C$9:$C$39,$F191))</f>
        <v/>
      </c>
      <c r="T191" s="90" t="str">
        <f>IF(OR(AND($D191=OBJECTIFS!$B$6,OBJECTIFS!G$8="dmt"),AND($D191=OBJECTIFS!$B$13,OBJECTIFS!$G$15="dmt"),AND($D191=OBJECTIFS!$B$20,OBJECTIFS!$G$22="dmt"),AND($D191=OBJECTIFS!$B$27,OBJECTIFS!$G$29="dmt"),AND($D191=OBJECTIFS!$B$34,OBJECTIFS!$G$36="dmt"),AND($D191=OBJECTIFS!$B$6,OBJECTIFS!$G$8="taux de chute"),AND($D191=OBJECTIFS!$B$13,OBJECTIFS!$G$15="taux de chute"),AND($D191=OBJECTIFS!$B$20,OBJECTIFS!$G$22="taux de chute"),AND($D191=OBJECTIFS!$B$27,OBJECTIFS!$G$29="taux de chute"),AND($D191=OBJECTIFS!$B$34,OBJECTIFS!$G$36="taux de chute")),IFERROR(S191/R191,""),IFERROR(R191/S191,""))</f>
        <v/>
      </c>
      <c r="U191" s="94">
        <f>IFERROR(IF(OR(R191="",S191="",T191=""),0,IF(T191&lt;OBJECTIFS!$E$56,0,IF(T191&lt;OBJECTIFS!$G$56,U$8*OBJECTIFS!$F$60,IF(T191&lt;OBJECTIFS!$I$56,U$8*OBJECTIFS!$H$60,U$8)))),0)</f>
        <v>0</v>
      </c>
      <c r="V191" s="25"/>
      <c r="W191" s="90" t="str">
        <f>IF(OR($A191="",$D191="",V191=""),"",SUMIFS(OBJECTIFS!H$9:H$39,OBJECTIFS!$A$9:$A$39,$D191,OBJECTIFS!$C$9:$C$39,$F191))</f>
        <v/>
      </c>
      <c r="X191" s="90" t="str">
        <f>IF(OR(AND($D191=OBJECTIFS!$B$6,OBJECTIFS!H$8="dmt"),AND($D191=OBJECTIFS!$B$13,OBJECTIFS!$H$15="dmt"),AND($D191=OBJECTIFS!$B$20,OBJECTIFS!$H$22="dmt"),AND($D191=OBJECTIFS!$B$27,OBJECTIFS!$H$29="dmt"),AND($D191=OBJECTIFS!$B$34,OBJECTIFS!$H$36="dmt"),AND($D191=OBJECTIFS!$B$6,OBJECTIFS!$H$8="taux de chute"),AND($D191=OBJECTIFS!$B$13,OBJECTIFS!$H$15="taux de chute"),AND($D191=OBJECTIFS!$B$20,OBJECTIFS!$H$22="taux de chute"),AND($D191=OBJECTIFS!$B$27,OBJECTIFS!$H$29="taux de chute"),AND($D191=OBJECTIFS!$B$34,OBJECTIFS!$H$36="taux de chute")),IFERROR(W191/V191,""),IFERROR(V191/W191,""))</f>
        <v/>
      </c>
      <c r="Y191" s="91">
        <f>IFERROR(IF(OR(V191="",W191="",X191=""),0,IF(X191&lt;OBJECTIFS!$E$56,0,IF(X191&lt;OBJECTIFS!$G$56,Y$8*OBJECTIFS!$F$60,IF(X191&lt;OBJECTIFS!$I$56,Y$8*OBJECTIFS!$H$60,Y$8)))),0)</f>
        <v>0</v>
      </c>
      <c r="Z191" s="167"/>
      <c r="AA191" s="90" t="str">
        <f>IF(OR($A191="",$D191="",Z191=""),"",SUMIFS(OBJECTIFS!I$9:I$39,OBJECTIFS!$A$9:$A$39,$D191,OBJECTIFS!$C$9:$C$39,$F191))</f>
        <v/>
      </c>
      <c r="AB191" s="90" t="str">
        <f>IF(OR(AND($D191=OBJECTIFS!$B$6,OBJECTIFS!I$8="dmt"),AND($D191=OBJECTIFS!$B$13,OBJECTIFS!$I$15="dmt"),AND($D191=OBJECTIFS!$B$20,OBJECTIFS!$I$22="dmt"),AND($D191=OBJECTIFS!$B$27,OBJECTIFS!$I$29="dmt"),AND($D191=OBJECTIFS!$B$34,OBJECTIFS!$I$36="dmt"),AND($D191=OBJECTIFS!$B$6,OBJECTIFS!$I$8="taux de chute"),AND($D191=OBJECTIFS!$B$13,OBJECTIFS!$I$15="taux de chute"),AND($D191=OBJECTIFS!$B$20,OBJECTIFS!$I$22="taux de chute"),AND($D191=OBJECTIFS!$B$27,OBJECTIFS!$I$29="taux de chute"),AND($D191=OBJECTIFS!$B$34,OBJECTIFS!$I$36="taux de chute")),IFERROR(AA191/Z191,""),IFERROR(Z191/AA191,""))</f>
        <v/>
      </c>
      <c r="AC191" s="95">
        <f>IFERROR(IF(OR(Z191="",AA191="",AB191=""),0,IF(AB191&lt;OBJECTIFS!$E$56,0,IF(AB191&lt;OBJECTIFS!$G$56,AC$8*OBJECTIFS!$F$60,IF(AB191&lt;OBJECTIFS!$I$56,AC$8*OBJECTIFS!$H$60,AC$8)))),0)</f>
        <v>0</v>
      </c>
      <c r="AD191" s="281"/>
      <c r="AE191" s="282"/>
      <c r="AF191" s="96">
        <f t="shared" ca="1" si="29"/>
        <v>0</v>
      </c>
      <c r="AG191" s="63"/>
      <c r="AH191" s="172"/>
      <c r="AI191" s="24"/>
      <c r="AJ191" s="24"/>
      <c r="AK191" s="24"/>
      <c r="AL191" s="24"/>
      <c r="AM191" s="79">
        <f t="shared" si="30"/>
        <v>0</v>
      </c>
      <c r="AN191" s="79">
        <v>22</v>
      </c>
      <c r="AO191" s="80">
        <f t="shared" si="31"/>
        <v>0</v>
      </c>
      <c r="AP191" s="81" t="str">
        <f t="shared" ca="1" si="32"/>
        <v/>
      </c>
      <c r="AQ191" s="82"/>
      <c r="AR191" s="97">
        <f>IFERROR(VLOOKUP(B191,OBJECTIFS!$C$76:$E$137,2,FALSE),0)</f>
        <v>0</v>
      </c>
      <c r="AS191" s="98">
        <f>IFERROR(VLOOKUP(B191,OBJECTIFS!$H$76:$J$137,2,FALSE),0)</f>
        <v>0</v>
      </c>
      <c r="AT191" s="98">
        <f>IFERROR(VLOOKUP(B191,OBJECTIFS!$C$142:$E$203,2,FALSE),0)</f>
        <v>0</v>
      </c>
      <c r="AU191" s="98">
        <f>IFERROR(VLOOKUP(B191,OBJECTIFS!$H$142:$J$203,2,FALSE),0)</f>
        <v>0</v>
      </c>
      <c r="AV191" s="98">
        <f>IFERROR(VLOOKUP(B191,OBJECTIFS!$F$208:$H$269,3,FALSE),0)</f>
        <v>0</v>
      </c>
      <c r="AW191" s="81">
        <f t="shared" si="33"/>
        <v>0</v>
      </c>
      <c r="AX191" s="82"/>
      <c r="AY191" s="99" t="str">
        <f t="shared" ca="1" si="34"/>
        <v/>
      </c>
      <c r="AZ191" s="63"/>
      <c r="BA191" s="100">
        <f t="shared" ca="1" si="35"/>
        <v>0</v>
      </c>
      <c r="BB191" s="64" t="str">
        <f t="shared" ca="1" si="36"/>
        <v/>
      </c>
      <c r="BC191" s="101" t="str">
        <f t="shared" ca="1" si="37"/>
        <v/>
      </c>
    </row>
    <row r="192" spans="1:55" x14ac:dyDescent="0.2">
      <c r="A192" s="21"/>
      <c r="B192" s="22"/>
      <c r="C192" s="22"/>
      <c r="D192" s="23"/>
      <c r="E192" s="24"/>
      <c r="F192" s="34"/>
      <c r="H192" s="89" t="str">
        <f>IF(OR(D192="",F192="",A192=""),"",IF(E192="oui",0,IF(D192=OBJECTIFS!$C$45,VLOOKUP(F192,OBJECTIFS!$C$9:$D$11,2,FALSE),IF(D192=OBJECTIFS!$C$46,VLOOKUP(F192,OBJECTIFS!$C$16:$D$18,2,FALSE),IF(D192=OBJECTIFS!$C$47,VLOOKUP(F192,OBJECTIFS!$C$23:$D$25,2,FALSE),IF(D192=OBJECTIFS!$C$48,VLOOKUP(F192,OBJECTIFS!$C$30:$D$32,2,FALSE),IF(D192=OBJECTIFS!$C$49,VLOOKUP(F192,OBJECTIFS!$C$37:$D$39,2,FALSE))))))))</f>
        <v/>
      </c>
      <c r="J192" s="25"/>
      <c r="K192" s="90" t="str">
        <f>IF(OR($A192="",$D192="",J192=""),"",SUMIFS(OBJECTIFS!E$9:E$39,OBJECTIFS!$A$9:$A$39,$D192,OBJECTIFS!$C$9:$C$39,$F192))</f>
        <v/>
      </c>
      <c r="L192" s="90" t="str">
        <f>IF(OR(AND($D192=OBJECTIFS!$B$6,OBJECTIFS!E$8="dmt"),AND($D192=OBJECTIFS!$B$13,OBJECTIFS!$E$15="dmt"),AND($D192=OBJECTIFS!$B$20,OBJECTIFS!$E$22="dmt"),AND($D192=OBJECTIFS!$B$27,OBJECTIFS!$E$29="dmt"),AND($D192=OBJECTIFS!$B$34,OBJECTIFS!$E$36="dmt"),AND($D192=OBJECTIFS!$B$6,OBJECTIFS!$E$8="taux de chute"),AND($D192=OBJECTIFS!$B$13,OBJECTIFS!$E$15="taux de chute"),AND($D192=OBJECTIFS!$B$20,OBJECTIFS!$E$22="taux de chute"),AND($D192=OBJECTIFS!$B$27,OBJECTIFS!$E$29="taux de chute"),AND($D192=OBJECTIFS!$B$34,OBJECTIFS!$E$36="taux de chute")),IFERROR(K192/J192,""),IFERROR(J192/K192,""))</f>
        <v/>
      </c>
      <c r="M192" s="91">
        <f>IFERROR(IF(OR(J192="",K192="",L192=""),0,IF(L192&lt;OBJECTIFS!$E$56,0,IF(L192&lt;OBJECTIFS!$G$56,M$8*OBJECTIFS!$F$60,IF(L192&lt;OBJECTIFS!$I$56,M$8*OBJECTIFS!$H$60,M$8)))),0)</f>
        <v>0</v>
      </c>
      <c r="N192" s="161"/>
      <c r="O192" s="92" t="str">
        <f>IF(OR($A192="",$D192="",N192=""),"",SUMIFS(OBJECTIFS!F$9:F$39,OBJECTIFS!$A$9:$A$39,$D192,OBJECTIFS!$C$9:$C$39,$F192))</f>
        <v/>
      </c>
      <c r="P192" s="90" t="str">
        <f>IF(OR(AND($D192=OBJECTIFS!$B$6,OBJECTIFS!$F$8="dmt"),AND($D192=OBJECTIFS!$B$13,OBJECTIFS!$F$15="dmt"),AND($D192=OBJECTIFS!$B$20,OBJECTIFS!$F$22="dmt"),AND($D192=OBJECTIFS!$B$27,OBJECTIFS!$F$29="dmt"),AND($D192=OBJECTIFS!$B$34,OBJECTIFS!$F$36="dmt"),AND($D192=OBJECTIFS!$B$6,OBJECTIFS!$F$8="taux de chute"),AND($D192=OBJECTIFS!$B$13,OBJECTIFS!$F$15="taux de chute"),AND($D192=OBJECTIFS!$B$20,OBJECTIFS!$F$22="taux de chute"),AND($D192=OBJECTIFS!$B$27,OBJECTIFS!$F$29="taux de chute"),AND($D192=OBJECTIFS!$B$34,OBJECTIFS!$F$36="taux de chute")),IFERROR(O192/N192,""),IFERROR(N192/O192,""))</f>
        <v/>
      </c>
      <c r="Q192" s="91">
        <f>IFERROR(IF(OR(N192="",O192="",P192=""),0,IF(P192&lt;OBJECTIFS!$E$56,0,IF(P192&lt;OBJECTIFS!$G$56,Q$8*OBJECTIFS!$F$60,IF(P192&lt;OBJECTIFS!$I$56,Q$8*OBJECTIFS!$H$60,Q$8)))),0)</f>
        <v>0</v>
      </c>
      <c r="R192" s="164"/>
      <c r="S192" s="93" t="str">
        <f>IF(OR($A192="",$D192="",R192=""),"",SUMIFS(OBJECTIFS!G$9:G$39,OBJECTIFS!$A$9:$A$39,$D192,OBJECTIFS!$C$9:$C$39,$F192))</f>
        <v/>
      </c>
      <c r="T192" s="90" t="str">
        <f>IF(OR(AND($D192=OBJECTIFS!$B$6,OBJECTIFS!G$8="dmt"),AND($D192=OBJECTIFS!$B$13,OBJECTIFS!$G$15="dmt"),AND($D192=OBJECTIFS!$B$20,OBJECTIFS!$G$22="dmt"),AND($D192=OBJECTIFS!$B$27,OBJECTIFS!$G$29="dmt"),AND($D192=OBJECTIFS!$B$34,OBJECTIFS!$G$36="dmt"),AND($D192=OBJECTIFS!$B$6,OBJECTIFS!$G$8="taux de chute"),AND($D192=OBJECTIFS!$B$13,OBJECTIFS!$G$15="taux de chute"),AND($D192=OBJECTIFS!$B$20,OBJECTIFS!$G$22="taux de chute"),AND($D192=OBJECTIFS!$B$27,OBJECTIFS!$G$29="taux de chute"),AND($D192=OBJECTIFS!$B$34,OBJECTIFS!$G$36="taux de chute")),IFERROR(S192/R192,""),IFERROR(R192/S192,""))</f>
        <v/>
      </c>
      <c r="U192" s="94">
        <f>IFERROR(IF(OR(R192="",S192="",T192=""),0,IF(T192&lt;OBJECTIFS!$E$56,0,IF(T192&lt;OBJECTIFS!$G$56,U$8*OBJECTIFS!$F$60,IF(T192&lt;OBJECTIFS!$I$56,U$8*OBJECTIFS!$H$60,U$8)))),0)</f>
        <v>0</v>
      </c>
      <c r="V192" s="25"/>
      <c r="W192" s="90" t="str">
        <f>IF(OR($A192="",$D192="",V192=""),"",SUMIFS(OBJECTIFS!H$9:H$39,OBJECTIFS!$A$9:$A$39,$D192,OBJECTIFS!$C$9:$C$39,$F192))</f>
        <v/>
      </c>
      <c r="X192" s="90" t="str">
        <f>IF(OR(AND($D192=OBJECTIFS!$B$6,OBJECTIFS!H$8="dmt"),AND($D192=OBJECTIFS!$B$13,OBJECTIFS!$H$15="dmt"),AND($D192=OBJECTIFS!$B$20,OBJECTIFS!$H$22="dmt"),AND($D192=OBJECTIFS!$B$27,OBJECTIFS!$H$29="dmt"),AND($D192=OBJECTIFS!$B$34,OBJECTIFS!$H$36="dmt"),AND($D192=OBJECTIFS!$B$6,OBJECTIFS!$H$8="taux de chute"),AND($D192=OBJECTIFS!$B$13,OBJECTIFS!$H$15="taux de chute"),AND($D192=OBJECTIFS!$B$20,OBJECTIFS!$H$22="taux de chute"),AND($D192=OBJECTIFS!$B$27,OBJECTIFS!$H$29="taux de chute"),AND($D192=OBJECTIFS!$B$34,OBJECTIFS!$H$36="taux de chute")),IFERROR(W192/V192,""),IFERROR(V192/W192,""))</f>
        <v/>
      </c>
      <c r="Y192" s="91">
        <f>IFERROR(IF(OR(V192="",W192="",X192=""),0,IF(X192&lt;OBJECTIFS!$E$56,0,IF(X192&lt;OBJECTIFS!$G$56,Y$8*OBJECTIFS!$F$60,IF(X192&lt;OBJECTIFS!$I$56,Y$8*OBJECTIFS!$H$60,Y$8)))),0)</f>
        <v>0</v>
      </c>
      <c r="Z192" s="167"/>
      <c r="AA192" s="90" t="str">
        <f>IF(OR($A192="",$D192="",Z192=""),"",SUMIFS(OBJECTIFS!I$9:I$39,OBJECTIFS!$A$9:$A$39,$D192,OBJECTIFS!$C$9:$C$39,$F192))</f>
        <v/>
      </c>
      <c r="AB192" s="90" t="str">
        <f>IF(OR(AND($D192=OBJECTIFS!$B$6,OBJECTIFS!I$8="dmt"),AND($D192=OBJECTIFS!$B$13,OBJECTIFS!$I$15="dmt"),AND($D192=OBJECTIFS!$B$20,OBJECTIFS!$I$22="dmt"),AND($D192=OBJECTIFS!$B$27,OBJECTIFS!$I$29="dmt"),AND($D192=OBJECTIFS!$B$34,OBJECTIFS!$I$36="dmt"),AND($D192=OBJECTIFS!$B$6,OBJECTIFS!$I$8="taux de chute"),AND($D192=OBJECTIFS!$B$13,OBJECTIFS!$I$15="taux de chute"),AND($D192=OBJECTIFS!$B$20,OBJECTIFS!$I$22="taux de chute"),AND($D192=OBJECTIFS!$B$27,OBJECTIFS!$I$29="taux de chute"),AND($D192=OBJECTIFS!$B$34,OBJECTIFS!$I$36="taux de chute")),IFERROR(AA192/Z192,""),IFERROR(Z192/AA192,""))</f>
        <v/>
      </c>
      <c r="AC192" s="95">
        <f>IFERROR(IF(OR(Z192="",AA192="",AB192=""),0,IF(AB192&lt;OBJECTIFS!$E$56,0,IF(AB192&lt;OBJECTIFS!$G$56,AC$8*OBJECTIFS!$F$60,IF(AB192&lt;OBJECTIFS!$I$56,AC$8*OBJECTIFS!$H$60,AC$8)))),0)</f>
        <v>0</v>
      </c>
      <c r="AD192" s="281"/>
      <c r="AE192" s="282"/>
      <c r="AF192" s="96">
        <f t="shared" ca="1" si="29"/>
        <v>0</v>
      </c>
      <c r="AG192" s="63"/>
      <c r="AH192" s="172"/>
      <c r="AI192" s="24"/>
      <c r="AJ192" s="24"/>
      <c r="AK192" s="24"/>
      <c r="AL192" s="24"/>
      <c r="AM192" s="79">
        <f t="shared" si="30"/>
        <v>0</v>
      </c>
      <c r="AN192" s="79">
        <v>22</v>
      </c>
      <c r="AO192" s="80">
        <f t="shared" si="31"/>
        <v>0</v>
      </c>
      <c r="AP192" s="81" t="str">
        <f t="shared" ca="1" si="32"/>
        <v/>
      </c>
      <c r="AQ192" s="82"/>
      <c r="AR192" s="97">
        <f>IFERROR(VLOOKUP(B192,OBJECTIFS!$C$76:$E$137,2,FALSE),0)</f>
        <v>0</v>
      </c>
      <c r="AS192" s="98">
        <f>IFERROR(VLOOKUP(B192,OBJECTIFS!$H$76:$J$137,2,FALSE),0)</f>
        <v>0</v>
      </c>
      <c r="AT192" s="98">
        <f>IFERROR(VLOOKUP(B192,OBJECTIFS!$C$142:$E$203,2,FALSE),0)</f>
        <v>0</v>
      </c>
      <c r="AU192" s="98">
        <f>IFERROR(VLOOKUP(B192,OBJECTIFS!$H$142:$J$203,2,FALSE),0)</f>
        <v>0</v>
      </c>
      <c r="AV192" s="98">
        <f>IFERROR(VLOOKUP(B192,OBJECTIFS!$F$208:$H$269,3,FALSE),0)</f>
        <v>0</v>
      </c>
      <c r="AW192" s="81">
        <f t="shared" si="33"/>
        <v>0</v>
      </c>
      <c r="AX192" s="82"/>
      <c r="AY192" s="99" t="str">
        <f t="shared" ca="1" si="34"/>
        <v/>
      </c>
      <c r="AZ192" s="63"/>
      <c r="BA192" s="100">
        <f t="shared" ca="1" si="35"/>
        <v>0</v>
      </c>
      <c r="BB192" s="64" t="str">
        <f t="shared" ca="1" si="36"/>
        <v/>
      </c>
      <c r="BC192" s="101" t="str">
        <f t="shared" ca="1" si="37"/>
        <v/>
      </c>
    </row>
    <row r="193" spans="1:55" x14ac:dyDescent="0.2">
      <c r="A193" s="21"/>
      <c r="B193" s="22"/>
      <c r="C193" s="22"/>
      <c r="D193" s="23"/>
      <c r="E193" s="24"/>
      <c r="F193" s="34"/>
      <c r="H193" s="89" t="str">
        <f>IF(OR(D193="",F193="",A193=""),"",IF(E193="oui",0,IF(D193=OBJECTIFS!$C$45,VLOOKUP(F193,OBJECTIFS!$C$9:$D$11,2,FALSE),IF(D193=OBJECTIFS!$C$46,VLOOKUP(F193,OBJECTIFS!$C$16:$D$18,2,FALSE),IF(D193=OBJECTIFS!$C$47,VLOOKUP(F193,OBJECTIFS!$C$23:$D$25,2,FALSE),IF(D193=OBJECTIFS!$C$48,VLOOKUP(F193,OBJECTIFS!$C$30:$D$32,2,FALSE),IF(D193=OBJECTIFS!$C$49,VLOOKUP(F193,OBJECTIFS!$C$37:$D$39,2,FALSE))))))))</f>
        <v/>
      </c>
      <c r="J193" s="25"/>
      <c r="K193" s="90" t="str">
        <f>IF(OR($A193="",$D193="",J193=""),"",SUMIFS(OBJECTIFS!E$9:E$39,OBJECTIFS!$A$9:$A$39,$D193,OBJECTIFS!$C$9:$C$39,$F193))</f>
        <v/>
      </c>
      <c r="L193" s="90" t="str">
        <f>IF(OR(AND($D193=OBJECTIFS!$B$6,OBJECTIFS!E$8="dmt"),AND($D193=OBJECTIFS!$B$13,OBJECTIFS!$E$15="dmt"),AND($D193=OBJECTIFS!$B$20,OBJECTIFS!$E$22="dmt"),AND($D193=OBJECTIFS!$B$27,OBJECTIFS!$E$29="dmt"),AND($D193=OBJECTIFS!$B$34,OBJECTIFS!$E$36="dmt"),AND($D193=OBJECTIFS!$B$6,OBJECTIFS!$E$8="taux de chute"),AND($D193=OBJECTIFS!$B$13,OBJECTIFS!$E$15="taux de chute"),AND($D193=OBJECTIFS!$B$20,OBJECTIFS!$E$22="taux de chute"),AND($D193=OBJECTIFS!$B$27,OBJECTIFS!$E$29="taux de chute"),AND($D193=OBJECTIFS!$B$34,OBJECTIFS!$E$36="taux de chute")),IFERROR(K193/J193,""),IFERROR(J193/K193,""))</f>
        <v/>
      </c>
      <c r="M193" s="91">
        <f>IFERROR(IF(OR(J193="",K193="",L193=""),0,IF(L193&lt;OBJECTIFS!$E$56,0,IF(L193&lt;OBJECTIFS!$G$56,M$8*OBJECTIFS!$F$60,IF(L193&lt;OBJECTIFS!$I$56,M$8*OBJECTIFS!$H$60,M$8)))),0)</f>
        <v>0</v>
      </c>
      <c r="N193" s="161"/>
      <c r="O193" s="92" t="str">
        <f>IF(OR($A193="",$D193="",N193=""),"",SUMIFS(OBJECTIFS!F$9:F$39,OBJECTIFS!$A$9:$A$39,$D193,OBJECTIFS!$C$9:$C$39,$F193))</f>
        <v/>
      </c>
      <c r="P193" s="90" t="str">
        <f>IF(OR(AND($D193=OBJECTIFS!$B$6,OBJECTIFS!$F$8="dmt"),AND($D193=OBJECTIFS!$B$13,OBJECTIFS!$F$15="dmt"),AND($D193=OBJECTIFS!$B$20,OBJECTIFS!$F$22="dmt"),AND($D193=OBJECTIFS!$B$27,OBJECTIFS!$F$29="dmt"),AND($D193=OBJECTIFS!$B$34,OBJECTIFS!$F$36="dmt"),AND($D193=OBJECTIFS!$B$6,OBJECTIFS!$F$8="taux de chute"),AND($D193=OBJECTIFS!$B$13,OBJECTIFS!$F$15="taux de chute"),AND($D193=OBJECTIFS!$B$20,OBJECTIFS!$F$22="taux de chute"),AND($D193=OBJECTIFS!$B$27,OBJECTIFS!$F$29="taux de chute"),AND($D193=OBJECTIFS!$B$34,OBJECTIFS!$F$36="taux de chute")),IFERROR(O193/N193,""),IFERROR(N193/O193,""))</f>
        <v/>
      </c>
      <c r="Q193" s="91">
        <f>IFERROR(IF(OR(N193="",O193="",P193=""),0,IF(P193&lt;OBJECTIFS!$E$56,0,IF(P193&lt;OBJECTIFS!$G$56,Q$8*OBJECTIFS!$F$60,IF(P193&lt;OBJECTIFS!$I$56,Q$8*OBJECTIFS!$H$60,Q$8)))),0)</f>
        <v>0</v>
      </c>
      <c r="R193" s="164"/>
      <c r="S193" s="93" t="str">
        <f>IF(OR($A193="",$D193="",R193=""),"",SUMIFS(OBJECTIFS!G$9:G$39,OBJECTIFS!$A$9:$A$39,$D193,OBJECTIFS!$C$9:$C$39,$F193))</f>
        <v/>
      </c>
      <c r="T193" s="90" t="str">
        <f>IF(OR(AND($D193=OBJECTIFS!$B$6,OBJECTIFS!G$8="dmt"),AND($D193=OBJECTIFS!$B$13,OBJECTIFS!$G$15="dmt"),AND($D193=OBJECTIFS!$B$20,OBJECTIFS!$G$22="dmt"),AND($D193=OBJECTIFS!$B$27,OBJECTIFS!$G$29="dmt"),AND($D193=OBJECTIFS!$B$34,OBJECTIFS!$G$36="dmt"),AND($D193=OBJECTIFS!$B$6,OBJECTIFS!$G$8="taux de chute"),AND($D193=OBJECTIFS!$B$13,OBJECTIFS!$G$15="taux de chute"),AND($D193=OBJECTIFS!$B$20,OBJECTIFS!$G$22="taux de chute"),AND($D193=OBJECTIFS!$B$27,OBJECTIFS!$G$29="taux de chute"),AND($D193=OBJECTIFS!$B$34,OBJECTIFS!$G$36="taux de chute")),IFERROR(S193/R193,""),IFERROR(R193/S193,""))</f>
        <v/>
      </c>
      <c r="U193" s="94">
        <f>IFERROR(IF(OR(R193="",S193="",T193=""),0,IF(T193&lt;OBJECTIFS!$E$56,0,IF(T193&lt;OBJECTIFS!$G$56,U$8*OBJECTIFS!$F$60,IF(T193&lt;OBJECTIFS!$I$56,U$8*OBJECTIFS!$H$60,U$8)))),0)</f>
        <v>0</v>
      </c>
      <c r="V193" s="25"/>
      <c r="W193" s="90" t="str">
        <f>IF(OR($A193="",$D193="",V193=""),"",SUMIFS(OBJECTIFS!H$9:H$39,OBJECTIFS!$A$9:$A$39,$D193,OBJECTIFS!$C$9:$C$39,$F193))</f>
        <v/>
      </c>
      <c r="X193" s="90" t="str">
        <f>IF(OR(AND($D193=OBJECTIFS!$B$6,OBJECTIFS!H$8="dmt"),AND($D193=OBJECTIFS!$B$13,OBJECTIFS!$H$15="dmt"),AND($D193=OBJECTIFS!$B$20,OBJECTIFS!$H$22="dmt"),AND($D193=OBJECTIFS!$B$27,OBJECTIFS!$H$29="dmt"),AND($D193=OBJECTIFS!$B$34,OBJECTIFS!$H$36="dmt"),AND($D193=OBJECTIFS!$B$6,OBJECTIFS!$H$8="taux de chute"),AND($D193=OBJECTIFS!$B$13,OBJECTIFS!$H$15="taux de chute"),AND($D193=OBJECTIFS!$B$20,OBJECTIFS!$H$22="taux de chute"),AND($D193=OBJECTIFS!$B$27,OBJECTIFS!$H$29="taux de chute"),AND($D193=OBJECTIFS!$B$34,OBJECTIFS!$H$36="taux de chute")),IFERROR(W193/V193,""),IFERROR(V193/W193,""))</f>
        <v/>
      </c>
      <c r="Y193" s="91">
        <f>IFERROR(IF(OR(V193="",W193="",X193=""),0,IF(X193&lt;OBJECTIFS!$E$56,0,IF(X193&lt;OBJECTIFS!$G$56,Y$8*OBJECTIFS!$F$60,IF(X193&lt;OBJECTIFS!$I$56,Y$8*OBJECTIFS!$H$60,Y$8)))),0)</f>
        <v>0</v>
      </c>
      <c r="Z193" s="167"/>
      <c r="AA193" s="90" t="str">
        <f>IF(OR($A193="",$D193="",Z193=""),"",SUMIFS(OBJECTIFS!I$9:I$39,OBJECTIFS!$A$9:$A$39,$D193,OBJECTIFS!$C$9:$C$39,$F193))</f>
        <v/>
      </c>
      <c r="AB193" s="90" t="str">
        <f>IF(OR(AND($D193=OBJECTIFS!$B$6,OBJECTIFS!I$8="dmt"),AND($D193=OBJECTIFS!$B$13,OBJECTIFS!$I$15="dmt"),AND($D193=OBJECTIFS!$B$20,OBJECTIFS!$I$22="dmt"),AND($D193=OBJECTIFS!$B$27,OBJECTIFS!$I$29="dmt"),AND($D193=OBJECTIFS!$B$34,OBJECTIFS!$I$36="dmt"),AND($D193=OBJECTIFS!$B$6,OBJECTIFS!$I$8="taux de chute"),AND($D193=OBJECTIFS!$B$13,OBJECTIFS!$I$15="taux de chute"),AND($D193=OBJECTIFS!$B$20,OBJECTIFS!$I$22="taux de chute"),AND($D193=OBJECTIFS!$B$27,OBJECTIFS!$I$29="taux de chute"),AND($D193=OBJECTIFS!$B$34,OBJECTIFS!$I$36="taux de chute")),IFERROR(AA193/Z193,""),IFERROR(Z193/AA193,""))</f>
        <v/>
      </c>
      <c r="AC193" s="95">
        <f>IFERROR(IF(OR(Z193="",AA193="",AB193=""),0,IF(AB193&lt;OBJECTIFS!$E$56,0,IF(AB193&lt;OBJECTIFS!$G$56,AC$8*OBJECTIFS!$F$60,IF(AB193&lt;OBJECTIFS!$I$56,AC$8*OBJECTIFS!$H$60,AC$8)))),0)</f>
        <v>0</v>
      </c>
      <c r="AD193" s="281"/>
      <c r="AE193" s="282"/>
      <c r="AF193" s="96">
        <f t="shared" ca="1" si="29"/>
        <v>0</v>
      </c>
      <c r="AG193" s="63"/>
      <c r="AH193" s="172"/>
      <c r="AI193" s="24"/>
      <c r="AJ193" s="24"/>
      <c r="AK193" s="24"/>
      <c r="AL193" s="24"/>
      <c r="AM193" s="79">
        <f t="shared" si="30"/>
        <v>0</v>
      </c>
      <c r="AN193" s="79">
        <v>22</v>
      </c>
      <c r="AO193" s="80">
        <f t="shared" si="31"/>
        <v>0</v>
      </c>
      <c r="AP193" s="81" t="str">
        <f t="shared" ca="1" si="32"/>
        <v/>
      </c>
      <c r="AQ193" s="82"/>
      <c r="AR193" s="97">
        <f>IFERROR(VLOOKUP(B193,OBJECTIFS!$C$76:$E$137,2,FALSE),0)</f>
        <v>0</v>
      </c>
      <c r="AS193" s="98">
        <f>IFERROR(VLOOKUP(B193,OBJECTIFS!$H$76:$J$137,2,FALSE),0)</f>
        <v>0</v>
      </c>
      <c r="AT193" s="98">
        <f>IFERROR(VLOOKUP(B193,OBJECTIFS!$C$142:$E$203,2,FALSE),0)</f>
        <v>0</v>
      </c>
      <c r="AU193" s="98">
        <f>IFERROR(VLOOKUP(B193,OBJECTIFS!$H$142:$J$203,2,FALSE),0)</f>
        <v>0</v>
      </c>
      <c r="AV193" s="98">
        <f>IFERROR(VLOOKUP(B193,OBJECTIFS!$F$208:$H$269,3,FALSE),0)</f>
        <v>0</v>
      </c>
      <c r="AW193" s="81">
        <f t="shared" si="33"/>
        <v>0</v>
      </c>
      <c r="AX193" s="82"/>
      <c r="AY193" s="99" t="str">
        <f t="shared" ca="1" si="34"/>
        <v/>
      </c>
      <c r="AZ193" s="63"/>
      <c r="BA193" s="100">
        <f t="shared" ca="1" si="35"/>
        <v>0</v>
      </c>
      <c r="BB193" s="64" t="str">
        <f t="shared" ca="1" si="36"/>
        <v/>
      </c>
      <c r="BC193" s="101" t="str">
        <f t="shared" ca="1" si="37"/>
        <v/>
      </c>
    </row>
    <row r="194" spans="1:55" x14ac:dyDescent="0.2">
      <c r="A194" s="21"/>
      <c r="B194" s="22"/>
      <c r="C194" s="22"/>
      <c r="D194" s="23"/>
      <c r="E194" s="24"/>
      <c r="F194" s="34"/>
      <c r="H194" s="89" t="str">
        <f>IF(OR(D194="",F194="",A194=""),"",IF(E194="oui",0,IF(D194=OBJECTIFS!$C$45,VLOOKUP(F194,OBJECTIFS!$C$9:$D$11,2,FALSE),IF(D194=OBJECTIFS!$C$46,VLOOKUP(F194,OBJECTIFS!$C$16:$D$18,2,FALSE),IF(D194=OBJECTIFS!$C$47,VLOOKUP(F194,OBJECTIFS!$C$23:$D$25,2,FALSE),IF(D194=OBJECTIFS!$C$48,VLOOKUP(F194,OBJECTIFS!$C$30:$D$32,2,FALSE),IF(D194=OBJECTIFS!$C$49,VLOOKUP(F194,OBJECTIFS!$C$37:$D$39,2,FALSE))))))))</f>
        <v/>
      </c>
      <c r="J194" s="25"/>
      <c r="K194" s="90" t="str">
        <f>IF(OR($A194="",$D194="",J194=""),"",SUMIFS(OBJECTIFS!E$9:E$39,OBJECTIFS!$A$9:$A$39,$D194,OBJECTIFS!$C$9:$C$39,$F194))</f>
        <v/>
      </c>
      <c r="L194" s="90" t="str">
        <f>IF(OR(AND($D194=OBJECTIFS!$B$6,OBJECTIFS!E$8="dmt"),AND($D194=OBJECTIFS!$B$13,OBJECTIFS!$E$15="dmt"),AND($D194=OBJECTIFS!$B$20,OBJECTIFS!$E$22="dmt"),AND($D194=OBJECTIFS!$B$27,OBJECTIFS!$E$29="dmt"),AND($D194=OBJECTIFS!$B$34,OBJECTIFS!$E$36="dmt"),AND($D194=OBJECTIFS!$B$6,OBJECTIFS!$E$8="taux de chute"),AND($D194=OBJECTIFS!$B$13,OBJECTIFS!$E$15="taux de chute"),AND($D194=OBJECTIFS!$B$20,OBJECTIFS!$E$22="taux de chute"),AND($D194=OBJECTIFS!$B$27,OBJECTIFS!$E$29="taux de chute"),AND($D194=OBJECTIFS!$B$34,OBJECTIFS!$E$36="taux de chute")),IFERROR(K194/J194,""),IFERROR(J194/K194,""))</f>
        <v/>
      </c>
      <c r="M194" s="91">
        <f>IFERROR(IF(OR(J194="",K194="",L194=""),0,IF(L194&lt;OBJECTIFS!$E$56,0,IF(L194&lt;OBJECTIFS!$G$56,M$8*OBJECTIFS!$F$60,IF(L194&lt;OBJECTIFS!$I$56,M$8*OBJECTIFS!$H$60,M$8)))),0)</f>
        <v>0</v>
      </c>
      <c r="N194" s="161"/>
      <c r="O194" s="92" t="str">
        <f>IF(OR($A194="",$D194="",N194=""),"",SUMIFS(OBJECTIFS!F$9:F$39,OBJECTIFS!$A$9:$A$39,$D194,OBJECTIFS!$C$9:$C$39,$F194))</f>
        <v/>
      </c>
      <c r="P194" s="90" t="str">
        <f>IF(OR(AND($D194=OBJECTIFS!$B$6,OBJECTIFS!$F$8="dmt"),AND($D194=OBJECTIFS!$B$13,OBJECTIFS!$F$15="dmt"),AND($D194=OBJECTIFS!$B$20,OBJECTIFS!$F$22="dmt"),AND($D194=OBJECTIFS!$B$27,OBJECTIFS!$F$29="dmt"),AND($D194=OBJECTIFS!$B$34,OBJECTIFS!$F$36="dmt"),AND($D194=OBJECTIFS!$B$6,OBJECTIFS!$F$8="taux de chute"),AND($D194=OBJECTIFS!$B$13,OBJECTIFS!$F$15="taux de chute"),AND($D194=OBJECTIFS!$B$20,OBJECTIFS!$F$22="taux de chute"),AND($D194=OBJECTIFS!$B$27,OBJECTIFS!$F$29="taux de chute"),AND($D194=OBJECTIFS!$B$34,OBJECTIFS!$F$36="taux de chute")),IFERROR(O194/N194,""),IFERROR(N194/O194,""))</f>
        <v/>
      </c>
      <c r="Q194" s="91">
        <f>IFERROR(IF(OR(N194="",O194="",P194=""),0,IF(P194&lt;OBJECTIFS!$E$56,0,IF(P194&lt;OBJECTIFS!$G$56,Q$8*OBJECTIFS!$F$60,IF(P194&lt;OBJECTIFS!$I$56,Q$8*OBJECTIFS!$H$60,Q$8)))),0)</f>
        <v>0</v>
      </c>
      <c r="R194" s="164"/>
      <c r="S194" s="93" t="str">
        <f>IF(OR($A194="",$D194="",R194=""),"",SUMIFS(OBJECTIFS!G$9:G$39,OBJECTIFS!$A$9:$A$39,$D194,OBJECTIFS!$C$9:$C$39,$F194))</f>
        <v/>
      </c>
      <c r="T194" s="90" t="str">
        <f>IF(OR(AND($D194=OBJECTIFS!$B$6,OBJECTIFS!G$8="dmt"),AND($D194=OBJECTIFS!$B$13,OBJECTIFS!$G$15="dmt"),AND($D194=OBJECTIFS!$B$20,OBJECTIFS!$G$22="dmt"),AND($D194=OBJECTIFS!$B$27,OBJECTIFS!$G$29="dmt"),AND($D194=OBJECTIFS!$B$34,OBJECTIFS!$G$36="dmt"),AND($D194=OBJECTIFS!$B$6,OBJECTIFS!$G$8="taux de chute"),AND($D194=OBJECTIFS!$B$13,OBJECTIFS!$G$15="taux de chute"),AND($D194=OBJECTIFS!$B$20,OBJECTIFS!$G$22="taux de chute"),AND($D194=OBJECTIFS!$B$27,OBJECTIFS!$G$29="taux de chute"),AND($D194=OBJECTIFS!$B$34,OBJECTIFS!$G$36="taux de chute")),IFERROR(S194/R194,""),IFERROR(R194/S194,""))</f>
        <v/>
      </c>
      <c r="U194" s="94">
        <f>IFERROR(IF(OR(R194="",S194="",T194=""),0,IF(T194&lt;OBJECTIFS!$E$56,0,IF(T194&lt;OBJECTIFS!$G$56,U$8*OBJECTIFS!$F$60,IF(T194&lt;OBJECTIFS!$I$56,U$8*OBJECTIFS!$H$60,U$8)))),0)</f>
        <v>0</v>
      </c>
      <c r="V194" s="25"/>
      <c r="W194" s="90" t="str">
        <f>IF(OR($A194="",$D194="",V194=""),"",SUMIFS(OBJECTIFS!H$9:H$39,OBJECTIFS!$A$9:$A$39,$D194,OBJECTIFS!$C$9:$C$39,$F194))</f>
        <v/>
      </c>
      <c r="X194" s="90" t="str">
        <f>IF(OR(AND($D194=OBJECTIFS!$B$6,OBJECTIFS!H$8="dmt"),AND($D194=OBJECTIFS!$B$13,OBJECTIFS!$H$15="dmt"),AND($D194=OBJECTIFS!$B$20,OBJECTIFS!$H$22="dmt"),AND($D194=OBJECTIFS!$B$27,OBJECTIFS!$H$29="dmt"),AND($D194=OBJECTIFS!$B$34,OBJECTIFS!$H$36="dmt"),AND($D194=OBJECTIFS!$B$6,OBJECTIFS!$H$8="taux de chute"),AND($D194=OBJECTIFS!$B$13,OBJECTIFS!$H$15="taux de chute"),AND($D194=OBJECTIFS!$B$20,OBJECTIFS!$H$22="taux de chute"),AND($D194=OBJECTIFS!$B$27,OBJECTIFS!$H$29="taux de chute"),AND($D194=OBJECTIFS!$B$34,OBJECTIFS!$H$36="taux de chute")),IFERROR(W194/V194,""),IFERROR(V194/W194,""))</f>
        <v/>
      </c>
      <c r="Y194" s="91">
        <f>IFERROR(IF(OR(V194="",W194="",X194=""),0,IF(X194&lt;OBJECTIFS!$E$56,0,IF(X194&lt;OBJECTIFS!$G$56,Y$8*OBJECTIFS!$F$60,IF(X194&lt;OBJECTIFS!$I$56,Y$8*OBJECTIFS!$H$60,Y$8)))),0)</f>
        <v>0</v>
      </c>
      <c r="Z194" s="167"/>
      <c r="AA194" s="90" t="str">
        <f>IF(OR($A194="",$D194="",Z194=""),"",SUMIFS(OBJECTIFS!I$9:I$39,OBJECTIFS!$A$9:$A$39,$D194,OBJECTIFS!$C$9:$C$39,$F194))</f>
        <v/>
      </c>
      <c r="AB194" s="90" t="str">
        <f>IF(OR(AND($D194=OBJECTIFS!$B$6,OBJECTIFS!I$8="dmt"),AND($D194=OBJECTIFS!$B$13,OBJECTIFS!$I$15="dmt"),AND($D194=OBJECTIFS!$B$20,OBJECTIFS!$I$22="dmt"),AND($D194=OBJECTIFS!$B$27,OBJECTIFS!$I$29="dmt"),AND($D194=OBJECTIFS!$B$34,OBJECTIFS!$I$36="dmt"),AND($D194=OBJECTIFS!$B$6,OBJECTIFS!$I$8="taux de chute"),AND($D194=OBJECTIFS!$B$13,OBJECTIFS!$I$15="taux de chute"),AND($D194=OBJECTIFS!$B$20,OBJECTIFS!$I$22="taux de chute"),AND($D194=OBJECTIFS!$B$27,OBJECTIFS!$I$29="taux de chute"),AND($D194=OBJECTIFS!$B$34,OBJECTIFS!$I$36="taux de chute")),IFERROR(AA194/Z194,""),IFERROR(Z194/AA194,""))</f>
        <v/>
      </c>
      <c r="AC194" s="95">
        <f>IFERROR(IF(OR(Z194="",AA194="",AB194=""),0,IF(AB194&lt;OBJECTIFS!$E$56,0,IF(AB194&lt;OBJECTIFS!$G$56,AC$8*OBJECTIFS!$F$60,IF(AB194&lt;OBJECTIFS!$I$56,AC$8*OBJECTIFS!$H$60,AC$8)))),0)</f>
        <v>0</v>
      </c>
      <c r="AD194" s="281"/>
      <c r="AE194" s="282"/>
      <c r="AF194" s="96">
        <f t="shared" ca="1" si="29"/>
        <v>0</v>
      </c>
      <c r="AG194" s="63"/>
      <c r="AH194" s="172"/>
      <c r="AI194" s="24"/>
      <c r="AJ194" s="24"/>
      <c r="AK194" s="24"/>
      <c r="AL194" s="24"/>
      <c r="AM194" s="79">
        <f t="shared" si="30"/>
        <v>0</v>
      </c>
      <c r="AN194" s="79">
        <v>22</v>
      </c>
      <c r="AO194" s="80">
        <f t="shared" si="31"/>
        <v>0</v>
      </c>
      <c r="AP194" s="81" t="str">
        <f t="shared" ca="1" si="32"/>
        <v/>
      </c>
      <c r="AQ194" s="82"/>
      <c r="AR194" s="97">
        <f>IFERROR(VLOOKUP(B194,OBJECTIFS!$C$76:$E$137,2,FALSE),0)</f>
        <v>0</v>
      </c>
      <c r="AS194" s="98">
        <f>IFERROR(VLOOKUP(B194,OBJECTIFS!$H$76:$J$137,2,FALSE),0)</f>
        <v>0</v>
      </c>
      <c r="AT194" s="98">
        <f>IFERROR(VLOOKUP(B194,OBJECTIFS!$C$142:$E$203,2,FALSE),0)</f>
        <v>0</v>
      </c>
      <c r="AU194" s="98">
        <f>IFERROR(VLOOKUP(B194,OBJECTIFS!$H$142:$J$203,2,FALSE),0)</f>
        <v>0</v>
      </c>
      <c r="AV194" s="98">
        <f>IFERROR(VLOOKUP(B194,OBJECTIFS!$F$208:$H$269,3,FALSE),0)</f>
        <v>0</v>
      </c>
      <c r="AW194" s="81">
        <f t="shared" si="33"/>
        <v>0</v>
      </c>
      <c r="AX194" s="82"/>
      <c r="AY194" s="99" t="str">
        <f t="shared" ca="1" si="34"/>
        <v/>
      </c>
      <c r="AZ194" s="63"/>
      <c r="BA194" s="100">
        <f t="shared" ca="1" si="35"/>
        <v>0</v>
      </c>
      <c r="BB194" s="64" t="str">
        <f t="shared" ca="1" si="36"/>
        <v/>
      </c>
      <c r="BC194" s="101" t="str">
        <f t="shared" ca="1" si="37"/>
        <v/>
      </c>
    </row>
    <row r="195" spans="1:55" x14ac:dyDescent="0.2">
      <c r="A195" s="21"/>
      <c r="B195" s="22"/>
      <c r="C195" s="22"/>
      <c r="D195" s="23"/>
      <c r="E195" s="24"/>
      <c r="F195" s="34"/>
      <c r="H195" s="89" t="str">
        <f>IF(OR(D195="",F195="",A195=""),"",IF(E195="oui",0,IF(D195=OBJECTIFS!$C$45,VLOOKUP(F195,OBJECTIFS!$C$9:$D$11,2,FALSE),IF(D195=OBJECTIFS!$C$46,VLOOKUP(F195,OBJECTIFS!$C$16:$D$18,2,FALSE),IF(D195=OBJECTIFS!$C$47,VLOOKUP(F195,OBJECTIFS!$C$23:$D$25,2,FALSE),IF(D195=OBJECTIFS!$C$48,VLOOKUP(F195,OBJECTIFS!$C$30:$D$32,2,FALSE),IF(D195=OBJECTIFS!$C$49,VLOOKUP(F195,OBJECTIFS!$C$37:$D$39,2,FALSE))))))))</f>
        <v/>
      </c>
      <c r="J195" s="25"/>
      <c r="K195" s="90" t="str">
        <f>IF(OR($A195="",$D195="",J195=""),"",SUMIFS(OBJECTIFS!E$9:E$39,OBJECTIFS!$A$9:$A$39,$D195,OBJECTIFS!$C$9:$C$39,$F195))</f>
        <v/>
      </c>
      <c r="L195" s="90" t="str">
        <f>IF(OR(AND($D195=OBJECTIFS!$B$6,OBJECTIFS!E$8="dmt"),AND($D195=OBJECTIFS!$B$13,OBJECTIFS!$E$15="dmt"),AND($D195=OBJECTIFS!$B$20,OBJECTIFS!$E$22="dmt"),AND($D195=OBJECTIFS!$B$27,OBJECTIFS!$E$29="dmt"),AND($D195=OBJECTIFS!$B$34,OBJECTIFS!$E$36="dmt"),AND($D195=OBJECTIFS!$B$6,OBJECTIFS!$E$8="taux de chute"),AND($D195=OBJECTIFS!$B$13,OBJECTIFS!$E$15="taux de chute"),AND($D195=OBJECTIFS!$B$20,OBJECTIFS!$E$22="taux de chute"),AND($D195=OBJECTIFS!$B$27,OBJECTIFS!$E$29="taux de chute"),AND($D195=OBJECTIFS!$B$34,OBJECTIFS!$E$36="taux de chute")),IFERROR(K195/J195,""),IFERROR(J195/K195,""))</f>
        <v/>
      </c>
      <c r="M195" s="91">
        <f>IFERROR(IF(OR(J195="",K195="",L195=""),0,IF(L195&lt;OBJECTIFS!$E$56,0,IF(L195&lt;OBJECTIFS!$G$56,M$8*OBJECTIFS!$F$60,IF(L195&lt;OBJECTIFS!$I$56,M$8*OBJECTIFS!$H$60,M$8)))),0)</f>
        <v>0</v>
      </c>
      <c r="N195" s="161"/>
      <c r="O195" s="92" t="str">
        <f>IF(OR($A195="",$D195="",N195=""),"",SUMIFS(OBJECTIFS!F$9:F$39,OBJECTIFS!$A$9:$A$39,$D195,OBJECTIFS!$C$9:$C$39,$F195))</f>
        <v/>
      </c>
      <c r="P195" s="90" t="str">
        <f>IF(OR(AND($D195=OBJECTIFS!$B$6,OBJECTIFS!$F$8="dmt"),AND($D195=OBJECTIFS!$B$13,OBJECTIFS!$F$15="dmt"),AND($D195=OBJECTIFS!$B$20,OBJECTIFS!$F$22="dmt"),AND($D195=OBJECTIFS!$B$27,OBJECTIFS!$F$29="dmt"),AND($D195=OBJECTIFS!$B$34,OBJECTIFS!$F$36="dmt"),AND($D195=OBJECTIFS!$B$6,OBJECTIFS!$F$8="taux de chute"),AND($D195=OBJECTIFS!$B$13,OBJECTIFS!$F$15="taux de chute"),AND($D195=OBJECTIFS!$B$20,OBJECTIFS!$F$22="taux de chute"),AND($D195=OBJECTIFS!$B$27,OBJECTIFS!$F$29="taux de chute"),AND($D195=OBJECTIFS!$B$34,OBJECTIFS!$F$36="taux de chute")),IFERROR(O195/N195,""),IFERROR(N195/O195,""))</f>
        <v/>
      </c>
      <c r="Q195" s="91">
        <f>IFERROR(IF(OR(N195="",O195="",P195=""),0,IF(P195&lt;OBJECTIFS!$E$56,0,IF(P195&lt;OBJECTIFS!$G$56,Q$8*OBJECTIFS!$F$60,IF(P195&lt;OBJECTIFS!$I$56,Q$8*OBJECTIFS!$H$60,Q$8)))),0)</f>
        <v>0</v>
      </c>
      <c r="R195" s="164"/>
      <c r="S195" s="93" t="str">
        <f>IF(OR($A195="",$D195="",R195=""),"",SUMIFS(OBJECTIFS!G$9:G$39,OBJECTIFS!$A$9:$A$39,$D195,OBJECTIFS!$C$9:$C$39,$F195))</f>
        <v/>
      </c>
      <c r="T195" s="90" t="str">
        <f>IF(OR(AND($D195=OBJECTIFS!$B$6,OBJECTIFS!G$8="dmt"),AND($D195=OBJECTIFS!$B$13,OBJECTIFS!$G$15="dmt"),AND($D195=OBJECTIFS!$B$20,OBJECTIFS!$G$22="dmt"),AND($D195=OBJECTIFS!$B$27,OBJECTIFS!$G$29="dmt"),AND($D195=OBJECTIFS!$B$34,OBJECTIFS!$G$36="dmt"),AND($D195=OBJECTIFS!$B$6,OBJECTIFS!$G$8="taux de chute"),AND($D195=OBJECTIFS!$B$13,OBJECTIFS!$G$15="taux de chute"),AND($D195=OBJECTIFS!$B$20,OBJECTIFS!$G$22="taux de chute"),AND($D195=OBJECTIFS!$B$27,OBJECTIFS!$G$29="taux de chute"),AND($D195=OBJECTIFS!$B$34,OBJECTIFS!$G$36="taux de chute")),IFERROR(S195/R195,""),IFERROR(R195/S195,""))</f>
        <v/>
      </c>
      <c r="U195" s="94">
        <f>IFERROR(IF(OR(R195="",S195="",T195=""),0,IF(T195&lt;OBJECTIFS!$E$56,0,IF(T195&lt;OBJECTIFS!$G$56,U$8*OBJECTIFS!$F$60,IF(T195&lt;OBJECTIFS!$I$56,U$8*OBJECTIFS!$H$60,U$8)))),0)</f>
        <v>0</v>
      </c>
      <c r="V195" s="25"/>
      <c r="W195" s="90" t="str">
        <f>IF(OR($A195="",$D195="",V195=""),"",SUMIFS(OBJECTIFS!H$9:H$39,OBJECTIFS!$A$9:$A$39,$D195,OBJECTIFS!$C$9:$C$39,$F195))</f>
        <v/>
      </c>
      <c r="X195" s="90" t="str">
        <f>IF(OR(AND($D195=OBJECTIFS!$B$6,OBJECTIFS!H$8="dmt"),AND($D195=OBJECTIFS!$B$13,OBJECTIFS!$H$15="dmt"),AND($D195=OBJECTIFS!$B$20,OBJECTIFS!$H$22="dmt"),AND($D195=OBJECTIFS!$B$27,OBJECTIFS!$H$29="dmt"),AND($D195=OBJECTIFS!$B$34,OBJECTIFS!$H$36="dmt"),AND($D195=OBJECTIFS!$B$6,OBJECTIFS!$H$8="taux de chute"),AND($D195=OBJECTIFS!$B$13,OBJECTIFS!$H$15="taux de chute"),AND($D195=OBJECTIFS!$B$20,OBJECTIFS!$H$22="taux de chute"),AND($D195=OBJECTIFS!$B$27,OBJECTIFS!$H$29="taux de chute"),AND($D195=OBJECTIFS!$B$34,OBJECTIFS!$H$36="taux de chute")),IFERROR(W195/V195,""),IFERROR(V195/W195,""))</f>
        <v/>
      </c>
      <c r="Y195" s="91">
        <f>IFERROR(IF(OR(V195="",W195="",X195=""),0,IF(X195&lt;OBJECTIFS!$E$56,0,IF(X195&lt;OBJECTIFS!$G$56,Y$8*OBJECTIFS!$F$60,IF(X195&lt;OBJECTIFS!$I$56,Y$8*OBJECTIFS!$H$60,Y$8)))),0)</f>
        <v>0</v>
      </c>
      <c r="Z195" s="167"/>
      <c r="AA195" s="90" t="str">
        <f>IF(OR($A195="",$D195="",Z195=""),"",SUMIFS(OBJECTIFS!I$9:I$39,OBJECTIFS!$A$9:$A$39,$D195,OBJECTIFS!$C$9:$C$39,$F195))</f>
        <v/>
      </c>
      <c r="AB195" s="90" t="str">
        <f>IF(OR(AND($D195=OBJECTIFS!$B$6,OBJECTIFS!I$8="dmt"),AND($D195=OBJECTIFS!$B$13,OBJECTIFS!$I$15="dmt"),AND($D195=OBJECTIFS!$B$20,OBJECTIFS!$I$22="dmt"),AND($D195=OBJECTIFS!$B$27,OBJECTIFS!$I$29="dmt"),AND($D195=OBJECTIFS!$B$34,OBJECTIFS!$I$36="dmt"),AND($D195=OBJECTIFS!$B$6,OBJECTIFS!$I$8="taux de chute"),AND($D195=OBJECTIFS!$B$13,OBJECTIFS!$I$15="taux de chute"),AND($D195=OBJECTIFS!$B$20,OBJECTIFS!$I$22="taux de chute"),AND($D195=OBJECTIFS!$B$27,OBJECTIFS!$I$29="taux de chute"),AND($D195=OBJECTIFS!$B$34,OBJECTIFS!$I$36="taux de chute")),IFERROR(AA195/Z195,""),IFERROR(Z195/AA195,""))</f>
        <v/>
      </c>
      <c r="AC195" s="95">
        <f>IFERROR(IF(OR(Z195="",AA195="",AB195=""),0,IF(AB195&lt;OBJECTIFS!$E$56,0,IF(AB195&lt;OBJECTIFS!$G$56,AC$8*OBJECTIFS!$F$60,IF(AB195&lt;OBJECTIFS!$I$56,AC$8*OBJECTIFS!$H$60,AC$8)))),0)</f>
        <v>0</v>
      </c>
      <c r="AD195" s="281"/>
      <c r="AE195" s="282"/>
      <c r="AF195" s="96">
        <f t="shared" ca="1" si="29"/>
        <v>0</v>
      </c>
      <c r="AG195" s="63"/>
      <c r="AH195" s="172"/>
      <c r="AI195" s="24"/>
      <c r="AJ195" s="24"/>
      <c r="AK195" s="24"/>
      <c r="AL195" s="24"/>
      <c r="AM195" s="79">
        <f t="shared" si="30"/>
        <v>0</v>
      </c>
      <c r="AN195" s="79">
        <v>22</v>
      </c>
      <c r="AO195" s="80">
        <f t="shared" si="31"/>
        <v>0</v>
      </c>
      <c r="AP195" s="81" t="str">
        <f t="shared" ca="1" si="32"/>
        <v/>
      </c>
      <c r="AQ195" s="82"/>
      <c r="AR195" s="97">
        <f>IFERROR(VLOOKUP(B195,OBJECTIFS!$C$76:$E$137,2,FALSE),0)</f>
        <v>0</v>
      </c>
      <c r="AS195" s="98">
        <f>IFERROR(VLOOKUP(B195,OBJECTIFS!$H$76:$J$137,2,FALSE),0)</f>
        <v>0</v>
      </c>
      <c r="AT195" s="98">
        <f>IFERROR(VLOOKUP(B195,OBJECTIFS!$C$142:$E$203,2,FALSE),0)</f>
        <v>0</v>
      </c>
      <c r="AU195" s="98">
        <f>IFERROR(VLOOKUP(B195,OBJECTIFS!$H$142:$J$203,2,FALSE),0)</f>
        <v>0</v>
      </c>
      <c r="AV195" s="98">
        <f>IFERROR(VLOOKUP(B195,OBJECTIFS!$F$208:$H$269,3,FALSE),0)</f>
        <v>0</v>
      </c>
      <c r="AW195" s="81">
        <f t="shared" si="33"/>
        <v>0</v>
      </c>
      <c r="AX195" s="82"/>
      <c r="AY195" s="99" t="str">
        <f t="shared" ca="1" si="34"/>
        <v/>
      </c>
      <c r="AZ195" s="63"/>
      <c r="BA195" s="100">
        <f t="shared" ca="1" si="35"/>
        <v>0</v>
      </c>
      <c r="BB195" s="64" t="str">
        <f t="shared" ca="1" si="36"/>
        <v/>
      </c>
      <c r="BC195" s="101" t="str">
        <f t="shared" ca="1" si="37"/>
        <v/>
      </c>
    </row>
    <row r="196" spans="1:55" x14ac:dyDescent="0.2">
      <c r="A196" s="21"/>
      <c r="B196" s="22"/>
      <c r="C196" s="22"/>
      <c r="D196" s="23"/>
      <c r="E196" s="24"/>
      <c r="F196" s="34"/>
      <c r="H196" s="89" t="str">
        <f>IF(OR(D196="",F196="",A196=""),"",IF(E196="oui",0,IF(D196=OBJECTIFS!$C$45,VLOOKUP(F196,OBJECTIFS!$C$9:$D$11,2,FALSE),IF(D196=OBJECTIFS!$C$46,VLOOKUP(F196,OBJECTIFS!$C$16:$D$18,2,FALSE),IF(D196=OBJECTIFS!$C$47,VLOOKUP(F196,OBJECTIFS!$C$23:$D$25,2,FALSE),IF(D196=OBJECTIFS!$C$48,VLOOKUP(F196,OBJECTIFS!$C$30:$D$32,2,FALSE),IF(D196=OBJECTIFS!$C$49,VLOOKUP(F196,OBJECTIFS!$C$37:$D$39,2,FALSE))))))))</f>
        <v/>
      </c>
      <c r="J196" s="25"/>
      <c r="K196" s="90" t="str">
        <f>IF(OR($A196="",$D196="",J196=""),"",SUMIFS(OBJECTIFS!E$9:E$39,OBJECTIFS!$A$9:$A$39,$D196,OBJECTIFS!$C$9:$C$39,$F196))</f>
        <v/>
      </c>
      <c r="L196" s="90" t="str">
        <f>IF(OR(AND($D196=OBJECTIFS!$B$6,OBJECTIFS!E$8="dmt"),AND($D196=OBJECTIFS!$B$13,OBJECTIFS!$E$15="dmt"),AND($D196=OBJECTIFS!$B$20,OBJECTIFS!$E$22="dmt"),AND($D196=OBJECTIFS!$B$27,OBJECTIFS!$E$29="dmt"),AND($D196=OBJECTIFS!$B$34,OBJECTIFS!$E$36="dmt"),AND($D196=OBJECTIFS!$B$6,OBJECTIFS!$E$8="taux de chute"),AND($D196=OBJECTIFS!$B$13,OBJECTIFS!$E$15="taux de chute"),AND($D196=OBJECTIFS!$B$20,OBJECTIFS!$E$22="taux de chute"),AND($D196=OBJECTIFS!$B$27,OBJECTIFS!$E$29="taux de chute"),AND($D196=OBJECTIFS!$B$34,OBJECTIFS!$E$36="taux de chute")),IFERROR(K196/J196,""),IFERROR(J196/K196,""))</f>
        <v/>
      </c>
      <c r="M196" s="91">
        <f>IFERROR(IF(OR(J196="",K196="",L196=""),0,IF(L196&lt;OBJECTIFS!$E$56,0,IF(L196&lt;OBJECTIFS!$G$56,M$8*OBJECTIFS!$F$60,IF(L196&lt;OBJECTIFS!$I$56,M$8*OBJECTIFS!$H$60,M$8)))),0)</f>
        <v>0</v>
      </c>
      <c r="N196" s="161"/>
      <c r="O196" s="92" t="str">
        <f>IF(OR($A196="",$D196="",N196=""),"",SUMIFS(OBJECTIFS!F$9:F$39,OBJECTIFS!$A$9:$A$39,$D196,OBJECTIFS!$C$9:$C$39,$F196))</f>
        <v/>
      </c>
      <c r="P196" s="90" t="str">
        <f>IF(OR(AND($D196=OBJECTIFS!$B$6,OBJECTIFS!$F$8="dmt"),AND($D196=OBJECTIFS!$B$13,OBJECTIFS!$F$15="dmt"),AND($D196=OBJECTIFS!$B$20,OBJECTIFS!$F$22="dmt"),AND($D196=OBJECTIFS!$B$27,OBJECTIFS!$F$29="dmt"),AND($D196=OBJECTIFS!$B$34,OBJECTIFS!$F$36="dmt"),AND($D196=OBJECTIFS!$B$6,OBJECTIFS!$F$8="taux de chute"),AND($D196=OBJECTIFS!$B$13,OBJECTIFS!$F$15="taux de chute"),AND($D196=OBJECTIFS!$B$20,OBJECTIFS!$F$22="taux de chute"),AND($D196=OBJECTIFS!$B$27,OBJECTIFS!$F$29="taux de chute"),AND($D196=OBJECTIFS!$B$34,OBJECTIFS!$F$36="taux de chute")),IFERROR(O196/N196,""),IFERROR(N196/O196,""))</f>
        <v/>
      </c>
      <c r="Q196" s="91">
        <f>IFERROR(IF(OR(N196="",O196="",P196=""),0,IF(P196&lt;OBJECTIFS!$E$56,0,IF(P196&lt;OBJECTIFS!$G$56,Q$8*OBJECTIFS!$F$60,IF(P196&lt;OBJECTIFS!$I$56,Q$8*OBJECTIFS!$H$60,Q$8)))),0)</f>
        <v>0</v>
      </c>
      <c r="R196" s="164"/>
      <c r="S196" s="93" t="str">
        <f>IF(OR($A196="",$D196="",R196=""),"",SUMIFS(OBJECTIFS!G$9:G$39,OBJECTIFS!$A$9:$A$39,$D196,OBJECTIFS!$C$9:$C$39,$F196))</f>
        <v/>
      </c>
      <c r="T196" s="90" t="str">
        <f>IF(OR(AND($D196=OBJECTIFS!$B$6,OBJECTIFS!G$8="dmt"),AND($D196=OBJECTIFS!$B$13,OBJECTIFS!$G$15="dmt"),AND($D196=OBJECTIFS!$B$20,OBJECTIFS!$G$22="dmt"),AND($D196=OBJECTIFS!$B$27,OBJECTIFS!$G$29="dmt"),AND($D196=OBJECTIFS!$B$34,OBJECTIFS!$G$36="dmt"),AND($D196=OBJECTIFS!$B$6,OBJECTIFS!$G$8="taux de chute"),AND($D196=OBJECTIFS!$B$13,OBJECTIFS!$G$15="taux de chute"),AND($D196=OBJECTIFS!$B$20,OBJECTIFS!$G$22="taux de chute"),AND($D196=OBJECTIFS!$B$27,OBJECTIFS!$G$29="taux de chute"),AND($D196=OBJECTIFS!$B$34,OBJECTIFS!$G$36="taux de chute")),IFERROR(S196/R196,""),IFERROR(R196/S196,""))</f>
        <v/>
      </c>
      <c r="U196" s="94">
        <f>IFERROR(IF(OR(R196="",S196="",T196=""),0,IF(T196&lt;OBJECTIFS!$E$56,0,IF(T196&lt;OBJECTIFS!$G$56,U$8*OBJECTIFS!$F$60,IF(T196&lt;OBJECTIFS!$I$56,U$8*OBJECTIFS!$H$60,U$8)))),0)</f>
        <v>0</v>
      </c>
      <c r="V196" s="25"/>
      <c r="W196" s="90" t="str">
        <f>IF(OR($A196="",$D196="",V196=""),"",SUMIFS(OBJECTIFS!H$9:H$39,OBJECTIFS!$A$9:$A$39,$D196,OBJECTIFS!$C$9:$C$39,$F196))</f>
        <v/>
      </c>
      <c r="X196" s="90" t="str">
        <f>IF(OR(AND($D196=OBJECTIFS!$B$6,OBJECTIFS!H$8="dmt"),AND($D196=OBJECTIFS!$B$13,OBJECTIFS!$H$15="dmt"),AND($D196=OBJECTIFS!$B$20,OBJECTIFS!$H$22="dmt"),AND($D196=OBJECTIFS!$B$27,OBJECTIFS!$H$29="dmt"),AND($D196=OBJECTIFS!$B$34,OBJECTIFS!$H$36="dmt"),AND($D196=OBJECTIFS!$B$6,OBJECTIFS!$H$8="taux de chute"),AND($D196=OBJECTIFS!$B$13,OBJECTIFS!$H$15="taux de chute"),AND($D196=OBJECTIFS!$B$20,OBJECTIFS!$H$22="taux de chute"),AND($D196=OBJECTIFS!$B$27,OBJECTIFS!$H$29="taux de chute"),AND($D196=OBJECTIFS!$B$34,OBJECTIFS!$H$36="taux de chute")),IFERROR(W196/V196,""),IFERROR(V196/W196,""))</f>
        <v/>
      </c>
      <c r="Y196" s="91">
        <f>IFERROR(IF(OR(V196="",W196="",X196=""),0,IF(X196&lt;OBJECTIFS!$E$56,0,IF(X196&lt;OBJECTIFS!$G$56,Y$8*OBJECTIFS!$F$60,IF(X196&lt;OBJECTIFS!$I$56,Y$8*OBJECTIFS!$H$60,Y$8)))),0)</f>
        <v>0</v>
      </c>
      <c r="Z196" s="167"/>
      <c r="AA196" s="90" t="str">
        <f>IF(OR($A196="",$D196="",Z196=""),"",SUMIFS(OBJECTIFS!I$9:I$39,OBJECTIFS!$A$9:$A$39,$D196,OBJECTIFS!$C$9:$C$39,$F196))</f>
        <v/>
      </c>
      <c r="AB196" s="90" t="str">
        <f>IF(OR(AND($D196=OBJECTIFS!$B$6,OBJECTIFS!I$8="dmt"),AND($D196=OBJECTIFS!$B$13,OBJECTIFS!$I$15="dmt"),AND($D196=OBJECTIFS!$B$20,OBJECTIFS!$I$22="dmt"),AND($D196=OBJECTIFS!$B$27,OBJECTIFS!$I$29="dmt"),AND($D196=OBJECTIFS!$B$34,OBJECTIFS!$I$36="dmt"),AND($D196=OBJECTIFS!$B$6,OBJECTIFS!$I$8="taux de chute"),AND($D196=OBJECTIFS!$B$13,OBJECTIFS!$I$15="taux de chute"),AND($D196=OBJECTIFS!$B$20,OBJECTIFS!$I$22="taux de chute"),AND($D196=OBJECTIFS!$B$27,OBJECTIFS!$I$29="taux de chute"),AND($D196=OBJECTIFS!$B$34,OBJECTIFS!$I$36="taux de chute")),IFERROR(AA196/Z196,""),IFERROR(Z196/AA196,""))</f>
        <v/>
      </c>
      <c r="AC196" s="95">
        <f>IFERROR(IF(OR(Z196="",AA196="",AB196=""),0,IF(AB196&lt;OBJECTIFS!$E$56,0,IF(AB196&lt;OBJECTIFS!$G$56,AC$8*OBJECTIFS!$F$60,IF(AB196&lt;OBJECTIFS!$I$56,AC$8*OBJECTIFS!$H$60,AC$8)))),0)</f>
        <v>0</v>
      </c>
      <c r="AD196" s="281"/>
      <c r="AE196" s="282"/>
      <c r="AF196" s="96">
        <f t="shared" ca="1" si="29"/>
        <v>0</v>
      </c>
      <c r="AG196" s="63"/>
      <c r="AH196" s="172"/>
      <c r="AI196" s="24"/>
      <c r="AJ196" s="24"/>
      <c r="AK196" s="24"/>
      <c r="AL196" s="24"/>
      <c r="AM196" s="79">
        <f t="shared" si="30"/>
        <v>0</v>
      </c>
      <c r="AN196" s="79">
        <v>22</v>
      </c>
      <c r="AO196" s="80">
        <f t="shared" si="31"/>
        <v>0</v>
      </c>
      <c r="AP196" s="81" t="str">
        <f t="shared" ca="1" si="32"/>
        <v/>
      </c>
      <c r="AQ196" s="82"/>
      <c r="AR196" s="97">
        <f>IFERROR(VLOOKUP(B196,OBJECTIFS!$C$76:$E$137,2,FALSE),0)</f>
        <v>0</v>
      </c>
      <c r="AS196" s="98">
        <f>IFERROR(VLOOKUP(B196,OBJECTIFS!$H$76:$J$137,2,FALSE),0)</f>
        <v>0</v>
      </c>
      <c r="AT196" s="98">
        <f>IFERROR(VLOOKUP(B196,OBJECTIFS!$C$142:$E$203,2,FALSE),0)</f>
        <v>0</v>
      </c>
      <c r="AU196" s="98">
        <f>IFERROR(VLOOKUP(B196,OBJECTIFS!$H$142:$J$203,2,FALSE),0)</f>
        <v>0</v>
      </c>
      <c r="AV196" s="98">
        <f>IFERROR(VLOOKUP(B196,OBJECTIFS!$F$208:$H$269,3,FALSE),0)</f>
        <v>0</v>
      </c>
      <c r="AW196" s="81">
        <f t="shared" si="33"/>
        <v>0</v>
      </c>
      <c r="AX196" s="82"/>
      <c r="AY196" s="99" t="str">
        <f t="shared" ca="1" si="34"/>
        <v/>
      </c>
      <c r="AZ196" s="63"/>
      <c r="BA196" s="100">
        <f t="shared" ca="1" si="35"/>
        <v>0</v>
      </c>
      <c r="BB196" s="64" t="str">
        <f t="shared" ca="1" si="36"/>
        <v/>
      </c>
      <c r="BC196" s="101" t="str">
        <f t="shared" ca="1" si="37"/>
        <v/>
      </c>
    </row>
    <row r="197" spans="1:55" x14ac:dyDescent="0.2">
      <c r="A197" s="21"/>
      <c r="B197" s="22"/>
      <c r="C197" s="22"/>
      <c r="D197" s="23"/>
      <c r="E197" s="24"/>
      <c r="F197" s="34"/>
      <c r="H197" s="89" t="str">
        <f>IF(OR(D197="",F197="",A197=""),"",IF(E197="oui",0,IF(D197=OBJECTIFS!$C$45,VLOOKUP(F197,OBJECTIFS!$C$9:$D$11,2,FALSE),IF(D197=OBJECTIFS!$C$46,VLOOKUP(F197,OBJECTIFS!$C$16:$D$18,2,FALSE),IF(D197=OBJECTIFS!$C$47,VLOOKUP(F197,OBJECTIFS!$C$23:$D$25,2,FALSE),IF(D197=OBJECTIFS!$C$48,VLOOKUP(F197,OBJECTIFS!$C$30:$D$32,2,FALSE),IF(D197=OBJECTIFS!$C$49,VLOOKUP(F197,OBJECTIFS!$C$37:$D$39,2,FALSE))))))))</f>
        <v/>
      </c>
      <c r="J197" s="25"/>
      <c r="K197" s="90" t="str">
        <f>IF(OR($A197="",$D197="",J197=""),"",SUMIFS(OBJECTIFS!E$9:E$39,OBJECTIFS!$A$9:$A$39,$D197,OBJECTIFS!$C$9:$C$39,$F197))</f>
        <v/>
      </c>
      <c r="L197" s="90" t="str">
        <f>IF(OR(AND($D197=OBJECTIFS!$B$6,OBJECTIFS!E$8="dmt"),AND($D197=OBJECTIFS!$B$13,OBJECTIFS!$E$15="dmt"),AND($D197=OBJECTIFS!$B$20,OBJECTIFS!$E$22="dmt"),AND($D197=OBJECTIFS!$B$27,OBJECTIFS!$E$29="dmt"),AND($D197=OBJECTIFS!$B$34,OBJECTIFS!$E$36="dmt"),AND($D197=OBJECTIFS!$B$6,OBJECTIFS!$E$8="taux de chute"),AND($D197=OBJECTIFS!$B$13,OBJECTIFS!$E$15="taux de chute"),AND($D197=OBJECTIFS!$B$20,OBJECTIFS!$E$22="taux de chute"),AND($D197=OBJECTIFS!$B$27,OBJECTIFS!$E$29="taux de chute"),AND($D197=OBJECTIFS!$B$34,OBJECTIFS!$E$36="taux de chute")),IFERROR(K197/J197,""),IFERROR(J197/K197,""))</f>
        <v/>
      </c>
      <c r="M197" s="91">
        <f>IFERROR(IF(OR(J197="",K197="",L197=""),0,IF(L197&lt;OBJECTIFS!$E$56,0,IF(L197&lt;OBJECTIFS!$G$56,M$8*OBJECTIFS!$F$60,IF(L197&lt;OBJECTIFS!$I$56,M$8*OBJECTIFS!$H$60,M$8)))),0)</f>
        <v>0</v>
      </c>
      <c r="N197" s="161"/>
      <c r="O197" s="92" t="str">
        <f>IF(OR($A197="",$D197="",N197=""),"",SUMIFS(OBJECTIFS!F$9:F$39,OBJECTIFS!$A$9:$A$39,$D197,OBJECTIFS!$C$9:$C$39,$F197))</f>
        <v/>
      </c>
      <c r="P197" s="90" t="str">
        <f>IF(OR(AND($D197=OBJECTIFS!$B$6,OBJECTIFS!$F$8="dmt"),AND($D197=OBJECTIFS!$B$13,OBJECTIFS!$F$15="dmt"),AND($D197=OBJECTIFS!$B$20,OBJECTIFS!$F$22="dmt"),AND($D197=OBJECTIFS!$B$27,OBJECTIFS!$F$29="dmt"),AND($D197=OBJECTIFS!$B$34,OBJECTIFS!$F$36="dmt"),AND($D197=OBJECTIFS!$B$6,OBJECTIFS!$F$8="taux de chute"),AND($D197=OBJECTIFS!$B$13,OBJECTIFS!$F$15="taux de chute"),AND($D197=OBJECTIFS!$B$20,OBJECTIFS!$F$22="taux de chute"),AND($D197=OBJECTIFS!$B$27,OBJECTIFS!$F$29="taux de chute"),AND($D197=OBJECTIFS!$B$34,OBJECTIFS!$F$36="taux de chute")),IFERROR(O197/N197,""),IFERROR(N197/O197,""))</f>
        <v/>
      </c>
      <c r="Q197" s="91">
        <f>IFERROR(IF(OR(N197="",O197="",P197=""),0,IF(P197&lt;OBJECTIFS!$E$56,0,IF(P197&lt;OBJECTIFS!$G$56,Q$8*OBJECTIFS!$F$60,IF(P197&lt;OBJECTIFS!$I$56,Q$8*OBJECTIFS!$H$60,Q$8)))),0)</f>
        <v>0</v>
      </c>
      <c r="R197" s="164"/>
      <c r="S197" s="93" t="str">
        <f>IF(OR($A197="",$D197="",R197=""),"",SUMIFS(OBJECTIFS!G$9:G$39,OBJECTIFS!$A$9:$A$39,$D197,OBJECTIFS!$C$9:$C$39,$F197))</f>
        <v/>
      </c>
      <c r="T197" s="90" t="str">
        <f>IF(OR(AND($D197=OBJECTIFS!$B$6,OBJECTIFS!G$8="dmt"),AND($D197=OBJECTIFS!$B$13,OBJECTIFS!$G$15="dmt"),AND($D197=OBJECTIFS!$B$20,OBJECTIFS!$G$22="dmt"),AND($D197=OBJECTIFS!$B$27,OBJECTIFS!$G$29="dmt"),AND($D197=OBJECTIFS!$B$34,OBJECTIFS!$G$36="dmt"),AND($D197=OBJECTIFS!$B$6,OBJECTIFS!$G$8="taux de chute"),AND($D197=OBJECTIFS!$B$13,OBJECTIFS!$G$15="taux de chute"),AND($D197=OBJECTIFS!$B$20,OBJECTIFS!$G$22="taux de chute"),AND($D197=OBJECTIFS!$B$27,OBJECTIFS!$G$29="taux de chute"),AND($D197=OBJECTIFS!$B$34,OBJECTIFS!$G$36="taux de chute")),IFERROR(S197/R197,""),IFERROR(R197/S197,""))</f>
        <v/>
      </c>
      <c r="U197" s="94">
        <f>IFERROR(IF(OR(R197="",S197="",T197=""),0,IF(T197&lt;OBJECTIFS!$E$56,0,IF(T197&lt;OBJECTIFS!$G$56,U$8*OBJECTIFS!$F$60,IF(T197&lt;OBJECTIFS!$I$56,U$8*OBJECTIFS!$H$60,U$8)))),0)</f>
        <v>0</v>
      </c>
      <c r="V197" s="25"/>
      <c r="W197" s="90" t="str">
        <f>IF(OR($A197="",$D197="",V197=""),"",SUMIFS(OBJECTIFS!H$9:H$39,OBJECTIFS!$A$9:$A$39,$D197,OBJECTIFS!$C$9:$C$39,$F197))</f>
        <v/>
      </c>
      <c r="X197" s="90" t="str">
        <f>IF(OR(AND($D197=OBJECTIFS!$B$6,OBJECTIFS!H$8="dmt"),AND($D197=OBJECTIFS!$B$13,OBJECTIFS!$H$15="dmt"),AND($D197=OBJECTIFS!$B$20,OBJECTIFS!$H$22="dmt"),AND($D197=OBJECTIFS!$B$27,OBJECTIFS!$H$29="dmt"),AND($D197=OBJECTIFS!$B$34,OBJECTIFS!$H$36="dmt"),AND($D197=OBJECTIFS!$B$6,OBJECTIFS!$H$8="taux de chute"),AND($D197=OBJECTIFS!$B$13,OBJECTIFS!$H$15="taux de chute"),AND($D197=OBJECTIFS!$B$20,OBJECTIFS!$H$22="taux de chute"),AND($D197=OBJECTIFS!$B$27,OBJECTIFS!$H$29="taux de chute"),AND($D197=OBJECTIFS!$B$34,OBJECTIFS!$H$36="taux de chute")),IFERROR(W197/V197,""),IFERROR(V197/W197,""))</f>
        <v/>
      </c>
      <c r="Y197" s="91">
        <f>IFERROR(IF(OR(V197="",W197="",X197=""),0,IF(X197&lt;OBJECTIFS!$E$56,0,IF(X197&lt;OBJECTIFS!$G$56,Y$8*OBJECTIFS!$F$60,IF(X197&lt;OBJECTIFS!$I$56,Y$8*OBJECTIFS!$H$60,Y$8)))),0)</f>
        <v>0</v>
      </c>
      <c r="Z197" s="167"/>
      <c r="AA197" s="90" t="str">
        <f>IF(OR($A197="",$D197="",Z197=""),"",SUMIFS(OBJECTIFS!I$9:I$39,OBJECTIFS!$A$9:$A$39,$D197,OBJECTIFS!$C$9:$C$39,$F197))</f>
        <v/>
      </c>
      <c r="AB197" s="90" t="str">
        <f>IF(OR(AND($D197=OBJECTIFS!$B$6,OBJECTIFS!I$8="dmt"),AND($D197=OBJECTIFS!$B$13,OBJECTIFS!$I$15="dmt"),AND($D197=OBJECTIFS!$B$20,OBJECTIFS!$I$22="dmt"),AND($D197=OBJECTIFS!$B$27,OBJECTIFS!$I$29="dmt"),AND($D197=OBJECTIFS!$B$34,OBJECTIFS!$I$36="dmt"),AND($D197=OBJECTIFS!$B$6,OBJECTIFS!$I$8="taux de chute"),AND($D197=OBJECTIFS!$B$13,OBJECTIFS!$I$15="taux de chute"),AND($D197=OBJECTIFS!$B$20,OBJECTIFS!$I$22="taux de chute"),AND($D197=OBJECTIFS!$B$27,OBJECTIFS!$I$29="taux de chute"),AND($D197=OBJECTIFS!$B$34,OBJECTIFS!$I$36="taux de chute")),IFERROR(AA197/Z197,""),IFERROR(Z197/AA197,""))</f>
        <v/>
      </c>
      <c r="AC197" s="95">
        <f>IFERROR(IF(OR(Z197="",AA197="",AB197=""),0,IF(AB197&lt;OBJECTIFS!$E$56,0,IF(AB197&lt;OBJECTIFS!$G$56,AC$8*OBJECTIFS!$F$60,IF(AB197&lt;OBJECTIFS!$I$56,AC$8*OBJECTIFS!$H$60,AC$8)))),0)</f>
        <v>0</v>
      </c>
      <c r="AD197" s="281"/>
      <c r="AE197" s="282"/>
      <c r="AF197" s="96">
        <f t="shared" ca="1" si="29"/>
        <v>0</v>
      </c>
      <c r="AG197" s="63"/>
      <c r="AH197" s="172"/>
      <c r="AI197" s="24"/>
      <c r="AJ197" s="24"/>
      <c r="AK197" s="24"/>
      <c r="AL197" s="24"/>
      <c r="AM197" s="79">
        <f t="shared" si="30"/>
        <v>0</v>
      </c>
      <c r="AN197" s="79">
        <v>22</v>
      </c>
      <c r="AO197" s="80">
        <f t="shared" si="31"/>
        <v>0</v>
      </c>
      <c r="AP197" s="81" t="str">
        <f t="shared" ca="1" si="32"/>
        <v/>
      </c>
      <c r="AQ197" s="82"/>
      <c r="AR197" s="97">
        <f>IFERROR(VLOOKUP(B197,OBJECTIFS!$C$76:$E$137,2,FALSE),0)</f>
        <v>0</v>
      </c>
      <c r="AS197" s="98">
        <f>IFERROR(VLOOKUP(B197,OBJECTIFS!$H$76:$J$137,2,FALSE),0)</f>
        <v>0</v>
      </c>
      <c r="AT197" s="98">
        <f>IFERROR(VLOOKUP(B197,OBJECTIFS!$C$142:$E$203,2,FALSE),0)</f>
        <v>0</v>
      </c>
      <c r="AU197" s="98">
        <f>IFERROR(VLOOKUP(B197,OBJECTIFS!$H$142:$J$203,2,FALSE),0)</f>
        <v>0</v>
      </c>
      <c r="AV197" s="98">
        <f>IFERROR(VLOOKUP(B197,OBJECTIFS!$F$208:$H$269,3,FALSE),0)</f>
        <v>0</v>
      </c>
      <c r="AW197" s="81">
        <f t="shared" si="33"/>
        <v>0</v>
      </c>
      <c r="AX197" s="82"/>
      <c r="AY197" s="99" t="str">
        <f t="shared" ca="1" si="34"/>
        <v/>
      </c>
      <c r="AZ197" s="63"/>
      <c r="BA197" s="100">
        <f t="shared" ca="1" si="35"/>
        <v>0</v>
      </c>
      <c r="BB197" s="64" t="str">
        <f t="shared" ca="1" si="36"/>
        <v/>
      </c>
      <c r="BC197" s="101" t="str">
        <f t="shared" ca="1" si="37"/>
        <v/>
      </c>
    </row>
    <row r="198" spans="1:55" x14ac:dyDescent="0.2">
      <c r="A198" s="21"/>
      <c r="B198" s="22"/>
      <c r="C198" s="22"/>
      <c r="D198" s="23"/>
      <c r="E198" s="24"/>
      <c r="F198" s="34"/>
      <c r="H198" s="89" t="str">
        <f>IF(OR(D198="",F198="",A198=""),"",IF(E198="oui",0,IF(D198=OBJECTIFS!$C$45,VLOOKUP(F198,OBJECTIFS!$C$9:$D$11,2,FALSE),IF(D198=OBJECTIFS!$C$46,VLOOKUP(F198,OBJECTIFS!$C$16:$D$18,2,FALSE),IF(D198=OBJECTIFS!$C$47,VLOOKUP(F198,OBJECTIFS!$C$23:$D$25,2,FALSE),IF(D198=OBJECTIFS!$C$48,VLOOKUP(F198,OBJECTIFS!$C$30:$D$32,2,FALSE),IF(D198=OBJECTIFS!$C$49,VLOOKUP(F198,OBJECTIFS!$C$37:$D$39,2,FALSE))))))))</f>
        <v/>
      </c>
      <c r="J198" s="25"/>
      <c r="K198" s="90" t="str">
        <f>IF(OR($A198="",$D198="",J198=""),"",SUMIFS(OBJECTIFS!E$9:E$39,OBJECTIFS!$A$9:$A$39,$D198,OBJECTIFS!$C$9:$C$39,$F198))</f>
        <v/>
      </c>
      <c r="L198" s="90" t="str">
        <f>IF(OR(AND($D198=OBJECTIFS!$B$6,OBJECTIFS!E$8="dmt"),AND($D198=OBJECTIFS!$B$13,OBJECTIFS!$E$15="dmt"),AND($D198=OBJECTIFS!$B$20,OBJECTIFS!$E$22="dmt"),AND($D198=OBJECTIFS!$B$27,OBJECTIFS!$E$29="dmt"),AND($D198=OBJECTIFS!$B$34,OBJECTIFS!$E$36="dmt"),AND($D198=OBJECTIFS!$B$6,OBJECTIFS!$E$8="taux de chute"),AND($D198=OBJECTIFS!$B$13,OBJECTIFS!$E$15="taux de chute"),AND($D198=OBJECTIFS!$B$20,OBJECTIFS!$E$22="taux de chute"),AND($D198=OBJECTIFS!$B$27,OBJECTIFS!$E$29="taux de chute"),AND($D198=OBJECTIFS!$B$34,OBJECTIFS!$E$36="taux de chute")),IFERROR(K198/J198,""),IFERROR(J198/K198,""))</f>
        <v/>
      </c>
      <c r="M198" s="91">
        <f>IFERROR(IF(OR(J198="",K198="",L198=""),0,IF(L198&lt;OBJECTIFS!$E$56,0,IF(L198&lt;OBJECTIFS!$G$56,M$8*OBJECTIFS!$F$60,IF(L198&lt;OBJECTIFS!$I$56,M$8*OBJECTIFS!$H$60,M$8)))),0)</f>
        <v>0</v>
      </c>
      <c r="N198" s="161"/>
      <c r="O198" s="92" t="str">
        <f>IF(OR($A198="",$D198="",N198=""),"",SUMIFS(OBJECTIFS!F$9:F$39,OBJECTIFS!$A$9:$A$39,$D198,OBJECTIFS!$C$9:$C$39,$F198))</f>
        <v/>
      </c>
      <c r="P198" s="90" t="str">
        <f>IF(OR(AND($D198=OBJECTIFS!$B$6,OBJECTIFS!$F$8="dmt"),AND($D198=OBJECTIFS!$B$13,OBJECTIFS!$F$15="dmt"),AND($D198=OBJECTIFS!$B$20,OBJECTIFS!$F$22="dmt"),AND($D198=OBJECTIFS!$B$27,OBJECTIFS!$F$29="dmt"),AND($D198=OBJECTIFS!$B$34,OBJECTIFS!$F$36="dmt"),AND($D198=OBJECTIFS!$B$6,OBJECTIFS!$F$8="taux de chute"),AND($D198=OBJECTIFS!$B$13,OBJECTIFS!$F$15="taux de chute"),AND($D198=OBJECTIFS!$B$20,OBJECTIFS!$F$22="taux de chute"),AND($D198=OBJECTIFS!$B$27,OBJECTIFS!$F$29="taux de chute"),AND($D198=OBJECTIFS!$B$34,OBJECTIFS!$F$36="taux de chute")),IFERROR(O198/N198,""),IFERROR(N198/O198,""))</f>
        <v/>
      </c>
      <c r="Q198" s="91">
        <f>IFERROR(IF(OR(N198="",O198="",P198=""),0,IF(P198&lt;OBJECTIFS!$E$56,0,IF(P198&lt;OBJECTIFS!$G$56,Q$8*OBJECTIFS!$F$60,IF(P198&lt;OBJECTIFS!$I$56,Q$8*OBJECTIFS!$H$60,Q$8)))),0)</f>
        <v>0</v>
      </c>
      <c r="R198" s="164"/>
      <c r="S198" s="93" t="str">
        <f>IF(OR($A198="",$D198="",R198=""),"",SUMIFS(OBJECTIFS!G$9:G$39,OBJECTIFS!$A$9:$A$39,$D198,OBJECTIFS!$C$9:$C$39,$F198))</f>
        <v/>
      </c>
      <c r="T198" s="90" t="str">
        <f>IF(OR(AND($D198=OBJECTIFS!$B$6,OBJECTIFS!G$8="dmt"),AND($D198=OBJECTIFS!$B$13,OBJECTIFS!$G$15="dmt"),AND($D198=OBJECTIFS!$B$20,OBJECTIFS!$G$22="dmt"),AND($D198=OBJECTIFS!$B$27,OBJECTIFS!$G$29="dmt"),AND($D198=OBJECTIFS!$B$34,OBJECTIFS!$G$36="dmt"),AND($D198=OBJECTIFS!$B$6,OBJECTIFS!$G$8="taux de chute"),AND($D198=OBJECTIFS!$B$13,OBJECTIFS!$G$15="taux de chute"),AND($D198=OBJECTIFS!$B$20,OBJECTIFS!$G$22="taux de chute"),AND($D198=OBJECTIFS!$B$27,OBJECTIFS!$G$29="taux de chute"),AND($D198=OBJECTIFS!$B$34,OBJECTIFS!$G$36="taux de chute")),IFERROR(S198/R198,""),IFERROR(R198/S198,""))</f>
        <v/>
      </c>
      <c r="U198" s="94">
        <f>IFERROR(IF(OR(R198="",S198="",T198=""),0,IF(T198&lt;OBJECTIFS!$E$56,0,IF(T198&lt;OBJECTIFS!$G$56,U$8*OBJECTIFS!$F$60,IF(T198&lt;OBJECTIFS!$I$56,U$8*OBJECTIFS!$H$60,U$8)))),0)</f>
        <v>0</v>
      </c>
      <c r="V198" s="25"/>
      <c r="W198" s="90" t="str">
        <f>IF(OR($A198="",$D198="",V198=""),"",SUMIFS(OBJECTIFS!H$9:H$39,OBJECTIFS!$A$9:$A$39,$D198,OBJECTIFS!$C$9:$C$39,$F198))</f>
        <v/>
      </c>
      <c r="X198" s="90" t="str">
        <f>IF(OR(AND($D198=OBJECTIFS!$B$6,OBJECTIFS!H$8="dmt"),AND($D198=OBJECTIFS!$B$13,OBJECTIFS!$H$15="dmt"),AND($D198=OBJECTIFS!$B$20,OBJECTIFS!$H$22="dmt"),AND($D198=OBJECTIFS!$B$27,OBJECTIFS!$H$29="dmt"),AND($D198=OBJECTIFS!$B$34,OBJECTIFS!$H$36="dmt"),AND($D198=OBJECTIFS!$B$6,OBJECTIFS!$H$8="taux de chute"),AND($D198=OBJECTIFS!$B$13,OBJECTIFS!$H$15="taux de chute"),AND($D198=OBJECTIFS!$B$20,OBJECTIFS!$H$22="taux de chute"),AND($D198=OBJECTIFS!$B$27,OBJECTIFS!$H$29="taux de chute"),AND($D198=OBJECTIFS!$B$34,OBJECTIFS!$H$36="taux de chute")),IFERROR(W198/V198,""),IFERROR(V198/W198,""))</f>
        <v/>
      </c>
      <c r="Y198" s="91">
        <f>IFERROR(IF(OR(V198="",W198="",X198=""),0,IF(X198&lt;OBJECTIFS!$E$56,0,IF(X198&lt;OBJECTIFS!$G$56,Y$8*OBJECTIFS!$F$60,IF(X198&lt;OBJECTIFS!$I$56,Y$8*OBJECTIFS!$H$60,Y$8)))),0)</f>
        <v>0</v>
      </c>
      <c r="Z198" s="167"/>
      <c r="AA198" s="90" t="str">
        <f>IF(OR($A198="",$D198="",Z198=""),"",SUMIFS(OBJECTIFS!I$9:I$39,OBJECTIFS!$A$9:$A$39,$D198,OBJECTIFS!$C$9:$C$39,$F198))</f>
        <v/>
      </c>
      <c r="AB198" s="90" t="str">
        <f>IF(OR(AND($D198=OBJECTIFS!$B$6,OBJECTIFS!I$8="dmt"),AND($D198=OBJECTIFS!$B$13,OBJECTIFS!$I$15="dmt"),AND($D198=OBJECTIFS!$B$20,OBJECTIFS!$I$22="dmt"),AND($D198=OBJECTIFS!$B$27,OBJECTIFS!$I$29="dmt"),AND($D198=OBJECTIFS!$B$34,OBJECTIFS!$I$36="dmt"),AND($D198=OBJECTIFS!$B$6,OBJECTIFS!$I$8="taux de chute"),AND($D198=OBJECTIFS!$B$13,OBJECTIFS!$I$15="taux de chute"),AND($D198=OBJECTIFS!$B$20,OBJECTIFS!$I$22="taux de chute"),AND($D198=OBJECTIFS!$B$27,OBJECTIFS!$I$29="taux de chute"),AND($D198=OBJECTIFS!$B$34,OBJECTIFS!$I$36="taux de chute")),IFERROR(AA198/Z198,""),IFERROR(Z198/AA198,""))</f>
        <v/>
      </c>
      <c r="AC198" s="95">
        <f>IFERROR(IF(OR(Z198="",AA198="",AB198=""),0,IF(AB198&lt;OBJECTIFS!$E$56,0,IF(AB198&lt;OBJECTIFS!$G$56,AC$8*OBJECTIFS!$F$60,IF(AB198&lt;OBJECTIFS!$I$56,AC$8*OBJECTIFS!$H$60,AC$8)))),0)</f>
        <v>0</v>
      </c>
      <c r="AD198" s="281"/>
      <c r="AE198" s="282"/>
      <c r="AF198" s="96">
        <f t="shared" ca="1" si="29"/>
        <v>0</v>
      </c>
      <c r="AG198" s="63"/>
      <c r="AH198" s="172"/>
      <c r="AI198" s="24"/>
      <c r="AJ198" s="24"/>
      <c r="AK198" s="24"/>
      <c r="AL198" s="24"/>
      <c r="AM198" s="79">
        <f t="shared" si="30"/>
        <v>0</v>
      </c>
      <c r="AN198" s="79">
        <v>22</v>
      </c>
      <c r="AO198" s="80">
        <f t="shared" si="31"/>
        <v>0</v>
      </c>
      <c r="AP198" s="81" t="str">
        <f t="shared" ca="1" si="32"/>
        <v/>
      </c>
      <c r="AQ198" s="82"/>
      <c r="AR198" s="97">
        <f>IFERROR(VLOOKUP(B198,OBJECTIFS!$C$76:$E$137,2,FALSE),0)</f>
        <v>0</v>
      </c>
      <c r="AS198" s="98">
        <f>IFERROR(VLOOKUP(B198,OBJECTIFS!$H$76:$J$137,2,FALSE),0)</f>
        <v>0</v>
      </c>
      <c r="AT198" s="98">
        <f>IFERROR(VLOOKUP(B198,OBJECTIFS!$C$142:$E$203,2,FALSE),0)</f>
        <v>0</v>
      </c>
      <c r="AU198" s="98">
        <f>IFERROR(VLOOKUP(B198,OBJECTIFS!$H$142:$J$203,2,FALSE),0)</f>
        <v>0</v>
      </c>
      <c r="AV198" s="98">
        <f>IFERROR(VLOOKUP(B198,OBJECTIFS!$F$208:$H$269,3,FALSE),0)</f>
        <v>0</v>
      </c>
      <c r="AW198" s="81">
        <f t="shared" si="33"/>
        <v>0</v>
      </c>
      <c r="AX198" s="82"/>
      <c r="AY198" s="99" t="str">
        <f t="shared" ca="1" si="34"/>
        <v/>
      </c>
      <c r="AZ198" s="63"/>
      <c r="BA198" s="100">
        <f t="shared" ca="1" si="35"/>
        <v>0</v>
      </c>
      <c r="BB198" s="64" t="str">
        <f t="shared" ca="1" si="36"/>
        <v/>
      </c>
      <c r="BC198" s="101" t="str">
        <f t="shared" ca="1" si="37"/>
        <v/>
      </c>
    </row>
    <row r="199" spans="1:55" x14ac:dyDescent="0.2">
      <c r="A199" s="21"/>
      <c r="B199" s="22"/>
      <c r="C199" s="22"/>
      <c r="D199" s="23"/>
      <c r="E199" s="24"/>
      <c r="F199" s="34"/>
      <c r="H199" s="89" t="str">
        <f>IF(OR(D199="",F199="",A199=""),"",IF(E199="oui",0,IF(D199=OBJECTIFS!$C$45,VLOOKUP(F199,OBJECTIFS!$C$9:$D$11,2,FALSE),IF(D199=OBJECTIFS!$C$46,VLOOKUP(F199,OBJECTIFS!$C$16:$D$18,2,FALSE),IF(D199=OBJECTIFS!$C$47,VLOOKUP(F199,OBJECTIFS!$C$23:$D$25,2,FALSE),IF(D199=OBJECTIFS!$C$48,VLOOKUP(F199,OBJECTIFS!$C$30:$D$32,2,FALSE),IF(D199=OBJECTIFS!$C$49,VLOOKUP(F199,OBJECTIFS!$C$37:$D$39,2,FALSE))))))))</f>
        <v/>
      </c>
      <c r="J199" s="25"/>
      <c r="K199" s="90" t="str">
        <f>IF(OR($A199="",$D199="",J199=""),"",SUMIFS(OBJECTIFS!E$9:E$39,OBJECTIFS!$A$9:$A$39,$D199,OBJECTIFS!$C$9:$C$39,$F199))</f>
        <v/>
      </c>
      <c r="L199" s="90" t="str">
        <f>IF(OR(AND($D199=OBJECTIFS!$B$6,OBJECTIFS!E$8="dmt"),AND($D199=OBJECTIFS!$B$13,OBJECTIFS!$E$15="dmt"),AND($D199=OBJECTIFS!$B$20,OBJECTIFS!$E$22="dmt"),AND($D199=OBJECTIFS!$B$27,OBJECTIFS!$E$29="dmt"),AND($D199=OBJECTIFS!$B$34,OBJECTIFS!$E$36="dmt"),AND($D199=OBJECTIFS!$B$6,OBJECTIFS!$E$8="taux de chute"),AND($D199=OBJECTIFS!$B$13,OBJECTIFS!$E$15="taux de chute"),AND($D199=OBJECTIFS!$B$20,OBJECTIFS!$E$22="taux de chute"),AND($D199=OBJECTIFS!$B$27,OBJECTIFS!$E$29="taux de chute"),AND($D199=OBJECTIFS!$B$34,OBJECTIFS!$E$36="taux de chute")),IFERROR(K199/J199,""),IFERROR(J199/K199,""))</f>
        <v/>
      </c>
      <c r="M199" s="91">
        <f>IFERROR(IF(OR(J199="",K199="",L199=""),0,IF(L199&lt;OBJECTIFS!$E$56,0,IF(L199&lt;OBJECTIFS!$G$56,M$8*OBJECTIFS!$F$60,IF(L199&lt;OBJECTIFS!$I$56,M$8*OBJECTIFS!$H$60,M$8)))),0)</f>
        <v>0</v>
      </c>
      <c r="N199" s="161"/>
      <c r="O199" s="92" t="str">
        <f>IF(OR($A199="",$D199="",N199=""),"",SUMIFS(OBJECTIFS!F$9:F$39,OBJECTIFS!$A$9:$A$39,$D199,OBJECTIFS!$C$9:$C$39,$F199))</f>
        <v/>
      </c>
      <c r="P199" s="90" t="str">
        <f>IF(OR(AND($D199=OBJECTIFS!$B$6,OBJECTIFS!$F$8="dmt"),AND($D199=OBJECTIFS!$B$13,OBJECTIFS!$F$15="dmt"),AND($D199=OBJECTIFS!$B$20,OBJECTIFS!$F$22="dmt"),AND($D199=OBJECTIFS!$B$27,OBJECTIFS!$F$29="dmt"),AND($D199=OBJECTIFS!$B$34,OBJECTIFS!$F$36="dmt"),AND($D199=OBJECTIFS!$B$6,OBJECTIFS!$F$8="taux de chute"),AND($D199=OBJECTIFS!$B$13,OBJECTIFS!$F$15="taux de chute"),AND($D199=OBJECTIFS!$B$20,OBJECTIFS!$F$22="taux de chute"),AND($D199=OBJECTIFS!$B$27,OBJECTIFS!$F$29="taux de chute"),AND($D199=OBJECTIFS!$B$34,OBJECTIFS!$F$36="taux de chute")),IFERROR(O199/N199,""),IFERROR(N199/O199,""))</f>
        <v/>
      </c>
      <c r="Q199" s="91">
        <f>IFERROR(IF(OR(N199="",O199="",P199=""),0,IF(P199&lt;OBJECTIFS!$E$56,0,IF(P199&lt;OBJECTIFS!$G$56,Q$8*OBJECTIFS!$F$60,IF(P199&lt;OBJECTIFS!$I$56,Q$8*OBJECTIFS!$H$60,Q$8)))),0)</f>
        <v>0</v>
      </c>
      <c r="R199" s="164"/>
      <c r="S199" s="93" t="str">
        <f>IF(OR($A199="",$D199="",R199=""),"",SUMIFS(OBJECTIFS!G$9:G$39,OBJECTIFS!$A$9:$A$39,$D199,OBJECTIFS!$C$9:$C$39,$F199))</f>
        <v/>
      </c>
      <c r="T199" s="90" t="str">
        <f>IF(OR(AND($D199=OBJECTIFS!$B$6,OBJECTIFS!G$8="dmt"),AND($D199=OBJECTIFS!$B$13,OBJECTIFS!$G$15="dmt"),AND($D199=OBJECTIFS!$B$20,OBJECTIFS!$G$22="dmt"),AND($D199=OBJECTIFS!$B$27,OBJECTIFS!$G$29="dmt"),AND($D199=OBJECTIFS!$B$34,OBJECTIFS!$G$36="dmt"),AND($D199=OBJECTIFS!$B$6,OBJECTIFS!$G$8="taux de chute"),AND($D199=OBJECTIFS!$B$13,OBJECTIFS!$G$15="taux de chute"),AND($D199=OBJECTIFS!$B$20,OBJECTIFS!$G$22="taux de chute"),AND($D199=OBJECTIFS!$B$27,OBJECTIFS!$G$29="taux de chute"),AND($D199=OBJECTIFS!$B$34,OBJECTIFS!$G$36="taux de chute")),IFERROR(S199/R199,""),IFERROR(R199/S199,""))</f>
        <v/>
      </c>
      <c r="U199" s="94">
        <f>IFERROR(IF(OR(R199="",S199="",T199=""),0,IF(T199&lt;OBJECTIFS!$E$56,0,IF(T199&lt;OBJECTIFS!$G$56,U$8*OBJECTIFS!$F$60,IF(T199&lt;OBJECTIFS!$I$56,U$8*OBJECTIFS!$H$60,U$8)))),0)</f>
        <v>0</v>
      </c>
      <c r="V199" s="25"/>
      <c r="W199" s="90" t="str">
        <f>IF(OR($A199="",$D199="",V199=""),"",SUMIFS(OBJECTIFS!H$9:H$39,OBJECTIFS!$A$9:$A$39,$D199,OBJECTIFS!$C$9:$C$39,$F199))</f>
        <v/>
      </c>
      <c r="X199" s="90" t="str">
        <f>IF(OR(AND($D199=OBJECTIFS!$B$6,OBJECTIFS!H$8="dmt"),AND($D199=OBJECTIFS!$B$13,OBJECTIFS!$H$15="dmt"),AND($D199=OBJECTIFS!$B$20,OBJECTIFS!$H$22="dmt"),AND($D199=OBJECTIFS!$B$27,OBJECTIFS!$H$29="dmt"),AND($D199=OBJECTIFS!$B$34,OBJECTIFS!$H$36="dmt"),AND($D199=OBJECTIFS!$B$6,OBJECTIFS!$H$8="taux de chute"),AND($D199=OBJECTIFS!$B$13,OBJECTIFS!$H$15="taux de chute"),AND($D199=OBJECTIFS!$B$20,OBJECTIFS!$H$22="taux de chute"),AND($D199=OBJECTIFS!$B$27,OBJECTIFS!$H$29="taux de chute"),AND($D199=OBJECTIFS!$B$34,OBJECTIFS!$H$36="taux de chute")),IFERROR(W199/V199,""),IFERROR(V199/W199,""))</f>
        <v/>
      </c>
      <c r="Y199" s="91">
        <f>IFERROR(IF(OR(V199="",W199="",X199=""),0,IF(X199&lt;OBJECTIFS!$E$56,0,IF(X199&lt;OBJECTIFS!$G$56,Y$8*OBJECTIFS!$F$60,IF(X199&lt;OBJECTIFS!$I$56,Y$8*OBJECTIFS!$H$60,Y$8)))),0)</f>
        <v>0</v>
      </c>
      <c r="Z199" s="167"/>
      <c r="AA199" s="90" t="str">
        <f>IF(OR($A199="",$D199="",Z199=""),"",SUMIFS(OBJECTIFS!I$9:I$39,OBJECTIFS!$A$9:$A$39,$D199,OBJECTIFS!$C$9:$C$39,$F199))</f>
        <v/>
      </c>
      <c r="AB199" s="90" t="str">
        <f>IF(OR(AND($D199=OBJECTIFS!$B$6,OBJECTIFS!I$8="dmt"),AND($D199=OBJECTIFS!$B$13,OBJECTIFS!$I$15="dmt"),AND($D199=OBJECTIFS!$B$20,OBJECTIFS!$I$22="dmt"),AND($D199=OBJECTIFS!$B$27,OBJECTIFS!$I$29="dmt"),AND($D199=OBJECTIFS!$B$34,OBJECTIFS!$I$36="dmt"),AND($D199=OBJECTIFS!$B$6,OBJECTIFS!$I$8="taux de chute"),AND($D199=OBJECTIFS!$B$13,OBJECTIFS!$I$15="taux de chute"),AND($D199=OBJECTIFS!$B$20,OBJECTIFS!$I$22="taux de chute"),AND($D199=OBJECTIFS!$B$27,OBJECTIFS!$I$29="taux de chute"),AND($D199=OBJECTIFS!$B$34,OBJECTIFS!$I$36="taux de chute")),IFERROR(AA199/Z199,""),IFERROR(Z199/AA199,""))</f>
        <v/>
      </c>
      <c r="AC199" s="95">
        <f>IFERROR(IF(OR(Z199="",AA199="",AB199=""),0,IF(AB199&lt;OBJECTIFS!$E$56,0,IF(AB199&lt;OBJECTIFS!$G$56,AC$8*OBJECTIFS!$F$60,IF(AB199&lt;OBJECTIFS!$I$56,AC$8*OBJECTIFS!$H$60,AC$8)))),0)</f>
        <v>0</v>
      </c>
      <c r="AD199" s="281"/>
      <c r="AE199" s="282"/>
      <c r="AF199" s="96">
        <f t="shared" ca="1" si="29"/>
        <v>0</v>
      </c>
      <c r="AG199" s="63"/>
      <c r="AH199" s="172"/>
      <c r="AI199" s="24"/>
      <c r="AJ199" s="24"/>
      <c r="AK199" s="24"/>
      <c r="AL199" s="24"/>
      <c r="AM199" s="79">
        <f t="shared" si="30"/>
        <v>0</v>
      </c>
      <c r="AN199" s="79">
        <v>22</v>
      </c>
      <c r="AO199" s="80">
        <f t="shared" si="31"/>
        <v>0</v>
      </c>
      <c r="AP199" s="81" t="str">
        <f t="shared" ca="1" si="32"/>
        <v/>
      </c>
      <c r="AQ199" s="82"/>
      <c r="AR199" s="97">
        <f>IFERROR(VLOOKUP(B199,OBJECTIFS!$C$76:$E$137,2,FALSE),0)</f>
        <v>0</v>
      </c>
      <c r="AS199" s="98">
        <f>IFERROR(VLOOKUP(B199,OBJECTIFS!$H$76:$J$137,2,FALSE),0)</f>
        <v>0</v>
      </c>
      <c r="AT199" s="98">
        <f>IFERROR(VLOOKUP(B199,OBJECTIFS!$C$142:$E$203,2,FALSE),0)</f>
        <v>0</v>
      </c>
      <c r="AU199" s="98">
        <f>IFERROR(VLOOKUP(B199,OBJECTIFS!$H$142:$J$203,2,FALSE),0)</f>
        <v>0</v>
      </c>
      <c r="AV199" s="98">
        <f>IFERROR(VLOOKUP(B199,OBJECTIFS!$F$208:$H$269,3,FALSE),0)</f>
        <v>0</v>
      </c>
      <c r="AW199" s="81">
        <f t="shared" si="33"/>
        <v>0</v>
      </c>
      <c r="AX199" s="82"/>
      <c r="AY199" s="99" t="str">
        <f t="shared" ca="1" si="34"/>
        <v/>
      </c>
      <c r="AZ199" s="63"/>
      <c r="BA199" s="100">
        <f t="shared" ca="1" si="35"/>
        <v>0</v>
      </c>
      <c r="BB199" s="64" t="str">
        <f t="shared" ca="1" si="36"/>
        <v/>
      </c>
      <c r="BC199" s="101" t="str">
        <f t="shared" ca="1" si="37"/>
        <v/>
      </c>
    </row>
    <row r="200" spans="1:55" x14ac:dyDescent="0.2">
      <c r="A200" s="21"/>
      <c r="B200" s="22"/>
      <c r="C200" s="22"/>
      <c r="D200" s="23"/>
      <c r="E200" s="24"/>
      <c r="F200" s="34"/>
      <c r="H200" s="89" t="str">
        <f>IF(OR(D200="",F200="",A200=""),"",IF(E200="oui",0,IF(D200=OBJECTIFS!$C$45,VLOOKUP(F200,OBJECTIFS!$C$9:$D$11,2,FALSE),IF(D200=OBJECTIFS!$C$46,VLOOKUP(F200,OBJECTIFS!$C$16:$D$18,2,FALSE),IF(D200=OBJECTIFS!$C$47,VLOOKUP(F200,OBJECTIFS!$C$23:$D$25,2,FALSE),IF(D200=OBJECTIFS!$C$48,VLOOKUP(F200,OBJECTIFS!$C$30:$D$32,2,FALSE),IF(D200=OBJECTIFS!$C$49,VLOOKUP(F200,OBJECTIFS!$C$37:$D$39,2,FALSE))))))))</f>
        <v/>
      </c>
      <c r="J200" s="25"/>
      <c r="K200" s="90" t="str">
        <f>IF(OR($A200="",$D200="",J200=""),"",SUMIFS(OBJECTIFS!E$9:E$39,OBJECTIFS!$A$9:$A$39,$D200,OBJECTIFS!$C$9:$C$39,$F200))</f>
        <v/>
      </c>
      <c r="L200" s="90" t="str">
        <f>IF(OR(AND($D200=OBJECTIFS!$B$6,OBJECTIFS!E$8="dmt"),AND($D200=OBJECTIFS!$B$13,OBJECTIFS!$E$15="dmt"),AND($D200=OBJECTIFS!$B$20,OBJECTIFS!$E$22="dmt"),AND($D200=OBJECTIFS!$B$27,OBJECTIFS!$E$29="dmt"),AND($D200=OBJECTIFS!$B$34,OBJECTIFS!$E$36="dmt"),AND($D200=OBJECTIFS!$B$6,OBJECTIFS!$E$8="taux de chute"),AND($D200=OBJECTIFS!$B$13,OBJECTIFS!$E$15="taux de chute"),AND($D200=OBJECTIFS!$B$20,OBJECTIFS!$E$22="taux de chute"),AND($D200=OBJECTIFS!$B$27,OBJECTIFS!$E$29="taux de chute"),AND($D200=OBJECTIFS!$B$34,OBJECTIFS!$E$36="taux de chute")),IFERROR(K200/J200,""),IFERROR(J200/K200,""))</f>
        <v/>
      </c>
      <c r="M200" s="91">
        <f>IFERROR(IF(OR(J200="",K200="",L200=""),0,IF(L200&lt;OBJECTIFS!$E$56,0,IF(L200&lt;OBJECTIFS!$G$56,M$8*OBJECTIFS!$F$60,IF(L200&lt;OBJECTIFS!$I$56,M$8*OBJECTIFS!$H$60,M$8)))),0)</f>
        <v>0</v>
      </c>
      <c r="N200" s="161"/>
      <c r="O200" s="92" t="str">
        <f>IF(OR($A200="",$D200="",N200=""),"",SUMIFS(OBJECTIFS!F$9:F$39,OBJECTIFS!$A$9:$A$39,$D200,OBJECTIFS!$C$9:$C$39,$F200))</f>
        <v/>
      </c>
      <c r="P200" s="90" t="str">
        <f>IF(OR(AND($D200=OBJECTIFS!$B$6,OBJECTIFS!$F$8="dmt"),AND($D200=OBJECTIFS!$B$13,OBJECTIFS!$F$15="dmt"),AND($D200=OBJECTIFS!$B$20,OBJECTIFS!$F$22="dmt"),AND($D200=OBJECTIFS!$B$27,OBJECTIFS!$F$29="dmt"),AND($D200=OBJECTIFS!$B$34,OBJECTIFS!$F$36="dmt"),AND($D200=OBJECTIFS!$B$6,OBJECTIFS!$F$8="taux de chute"),AND($D200=OBJECTIFS!$B$13,OBJECTIFS!$F$15="taux de chute"),AND($D200=OBJECTIFS!$B$20,OBJECTIFS!$F$22="taux de chute"),AND($D200=OBJECTIFS!$B$27,OBJECTIFS!$F$29="taux de chute"),AND($D200=OBJECTIFS!$B$34,OBJECTIFS!$F$36="taux de chute")),IFERROR(O200/N200,""),IFERROR(N200/O200,""))</f>
        <v/>
      </c>
      <c r="Q200" s="91">
        <f>IFERROR(IF(OR(N200="",O200="",P200=""),0,IF(P200&lt;OBJECTIFS!$E$56,0,IF(P200&lt;OBJECTIFS!$G$56,Q$8*OBJECTIFS!$F$60,IF(P200&lt;OBJECTIFS!$I$56,Q$8*OBJECTIFS!$H$60,Q$8)))),0)</f>
        <v>0</v>
      </c>
      <c r="R200" s="164"/>
      <c r="S200" s="93" t="str">
        <f>IF(OR($A200="",$D200="",R200=""),"",SUMIFS(OBJECTIFS!G$9:G$39,OBJECTIFS!$A$9:$A$39,$D200,OBJECTIFS!$C$9:$C$39,$F200))</f>
        <v/>
      </c>
      <c r="T200" s="90" t="str">
        <f>IF(OR(AND($D200=OBJECTIFS!$B$6,OBJECTIFS!G$8="dmt"),AND($D200=OBJECTIFS!$B$13,OBJECTIFS!$G$15="dmt"),AND($D200=OBJECTIFS!$B$20,OBJECTIFS!$G$22="dmt"),AND($D200=OBJECTIFS!$B$27,OBJECTIFS!$G$29="dmt"),AND($D200=OBJECTIFS!$B$34,OBJECTIFS!$G$36="dmt"),AND($D200=OBJECTIFS!$B$6,OBJECTIFS!$G$8="taux de chute"),AND($D200=OBJECTIFS!$B$13,OBJECTIFS!$G$15="taux de chute"),AND($D200=OBJECTIFS!$B$20,OBJECTIFS!$G$22="taux de chute"),AND($D200=OBJECTIFS!$B$27,OBJECTIFS!$G$29="taux de chute"),AND($D200=OBJECTIFS!$B$34,OBJECTIFS!$G$36="taux de chute")),IFERROR(S200/R200,""),IFERROR(R200/S200,""))</f>
        <v/>
      </c>
      <c r="U200" s="94">
        <f>IFERROR(IF(OR(R200="",S200="",T200=""),0,IF(T200&lt;OBJECTIFS!$E$56,0,IF(T200&lt;OBJECTIFS!$G$56,U$8*OBJECTIFS!$F$60,IF(T200&lt;OBJECTIFS!$I$56,U$8*OBJECTIFS!$H$60,U$8)))),0)</f>
        <v>0</v>
      </c>
      <c r="V200" s="25"/>
      <c r="W200" s="90" t="str">
        <f>IF(OR($A200="",$D200="",V200=""),"",SUMIFS(OBJECTIFS!H$9:H$39,OBJECTIFS!$A$9:$A$39,$D200,OBJECTIFS!$C$9:$C$39,$F200))</f>
        <v/>
      </c>
      <c r="X200" s="90" t="str">
        <f>IF(OR(AND($D200=OBJECTIFS!$B$6,OBJECTIFS!H$8="dmt"),AND($D200=OBJECTIFS!$B$13,OBJECTIFS!$H$15="dmt"),AND($D200=OBJECTIFS!$B$20,OBJECTIFS!$H$22="dmt"),AND($D200=OBJECTIFS!$B$27,OBJECTIFS!$H$29="dmt"),AND($D200=OBJECTIFS!$B$34,OBJECTIFS!$H$36="dmt"),AND($D200=OBJECTIFS!$B$6,OBJECTIFS!$H$8="taux de chute"),AND($D200=OBJECTIFS!$B$13,OBJECTIFS!$H$15="taux de chute"),AND($D200=OBJECTIFS!$B$20,OBJECTIFS!$H$22="taux de chute"),AND($D200=OBJECTIFS!$B$27,OBJECTIFS!$H$29="taux de chute"),AND($D200=OBJECTIFS!$B$34,OBJECTIFS!$H$36="taux de chute")),IFERROR(W200/V200,""),IFERROR(V200/W200,""))</f>
        <v/>
      </c>
      <c r="Y200" s="91">
        <f>IFERROR(IF(OR(V200="",W200="",X200=""),0,IF(X200&lt;OBJECTIFS!$E$56,0,IF(X200&lt;OBJECTIFS!$G$56,Y$8*OBJECTIFS!$F$60,IF(X200&lt;OBJECTIFS!$I$56,Y$8*OBJECTIFS!$H$60,Y$8)))),0)</f>
        <v>0</v>
      </c>
      <c r="Z200" s="167"/>
      <c r="AA200" s="90" t="str">
        <f>IF(OR($A200="",$D200="",Z200=""),"",SUMIFS(OBJECTIFS!I$9:I$39,OBJECTIFS!$A$9:$A$39,$D200,OBJECTIFS!$C$9:$C$39,$F200))</f>
        <v/>
      </c>
      <c r="AB200" s="90" t="str">
        <f>IF(OR(AND($D200=OBJECTIFS!$B$6,OBJECTIFS!I$8="dmt"),AND($D200=OBJECTIFS!$B$13,OBJECTIFS!$I$15="dmt"),AND($D200=OBJECTIFS!$B$20,OBJECTIFS!$I$22="dmt"),AND($D200=OBJECTIFS!$B$27,OBJECTIFS!$I$29="dmt"),AND($D200=OBJECTIFS!$B$34,OBJECTIFS!$I$36="dmt"),AND($D200=OBJECTIFS!$B$6,OBJECTIFS!$I$8="taux de chute"),AND($D200=OBJECTIFS!$B$13,OBJECTIFS!$I$15="taux de chute"),AND($D200=OBJECTIFS!$B$20,OBJECTIFS!$I$22="taux de chute"),AND($D200=OBJECTIFS!$B$27,OBJECTIFS!$I$29="taux de chute"),AND($D200=OBJECTIFS!$B$34,OBJECTIFS!$I$36="taux de chute")),IFERROR(AA200/Z200,""),IFERROR(Z200/AA200,""))</f>
        <v/>
      </c>
      <c r="AC200" s="95">
        <f>IFERROR(IF(OR(Z200="",AA200="",AB200=""),0,IF(AB200&lt;OBJECTIFS!$E$56,0,IF(AB200&lt;OBJECTIFS!$G$56,AC$8*OBJECTIFS!$F$60,IF(AB200&lt;OBJECTIFS!$I$56,AC$8*OBJECTIFS!$H$60,AC$8)))),0)</f>
        <v>0</v>
      </c>
      <c r="AD200" s="281"/>
      <c r="AE200" s="282"/>
      <c r="AF200" s="96">
        <f t="shared" ca="1" si="29"/>
        <v>0</v>
      </c>
      <c r="AG200" s="63"/>
      <c r="AH200" s="172"/>
      <c r="AI200" s="24"/>
      <c r="AJ200" s="24"/>
      <c r="AK200" s="24"/>
      <c r="AL200" s="24"/>
      <c r="AM200" s="79">
        <f t="shared" si="30"/>
        <v>0</v>
      </c>
      <c r="AN200" s="79">
        <v>22</v>
      </c>
      <c r="AO200" s="80">
        <f t="shared" si="31"/>
        <v>0</v>
      </c>
      <c r="AP200" s="81" t="str">
        <f t="shared" ca="1" si="32"/>
        <v/>
      </c>
      <c r="AQ200" s="82"/>
      <c r="AR200" s="97">
        <f>IFERROR(VLOOKUP(B200,OBJECTIFS!$C$76:$E$137,2,FALSE),0)</f>
        <v>0</v>
      </c>
      <c r="AS200" s="98">
        <f>IFERROR(VLOOKUP(B200,OBJECTIFS!$H$76:$J$137,2,FALSE),0)</f>
        <v>0</v>
      </c>
      <c r="AT200" s="98">
        <f>IFERROR(VLOOKUP(B200,OBJECTIFS!$C$142:$E$203,2,FALSE),0)</f>
        <v>0</v>
      </c>
      <c r="AU200" s="98">
        <f>IFERROR(VLOOKUP(B200,OBJECTIFS!$H$142:$J$203,2,FALSE),0)</f>
        <v>0</v>
      </c>
      <c r="AV200" s="98">
        <f>IFERROR(VLOOKUP(B200,OBJECTIFS!$F$208:$H$269,3,FALSE),0)</f>
        <v>0</v>
      </c>
      <c r="AW200" s="81">
        <f t="shared" si="33"/>
        <v>0</v>
      </c>
      <c r="AX200" s="82"/>
      <c r="AY200" s="99" t="str">
        <f t="shared" ca="1" si="34"/>
        <v/>
      </c>
      <c r="AZ200" s="63"/>
      <c r="BA200" s="100">
        <f t="shared" ca="1" si="35"/>
        <v>0</v>
      </c>
      <c r="BB200" s="64" t="str">
        <f t="shared" ca="1" si="36"/>
        <v/>
      </c>
      <c r="BC200" s="101" t="str">
        <f t="shared" ca="1" si="37"/>
        <v/>
      </c>
    </row>
    <row r="201" spans="1:55" x14ac:dyDescent="0.2">
      <c r="A201" s="21"/>
      <c r="B201" s="22"/>
      <c r="C201" s="22"/>
      <c r="D201" s="23"/>
      <c r="E201" s="24"/>
      <c r="F201" s="34"/>
      <c r="H201" s="89" t="str">
        <f>IF(OR(D201="",F201="",A201=""),"",IF(E201="oui",0,IF(D201=OBJECTIFS!$C$45,VLOOKUP(F201,OBJECTIFS!$C$9:$D$11,2,FALSE),IF(D201=OBJECTIFS!$C$46,VLOOKUP(F201,OBJECTIFS!$C$16:$D$18,2,FALSE),IF(D201=OBJECTIFS!$C$47,VLOOKUP(F201,OBJECTIFS!$C$23:$D$25,2,FALSE),IF(D201=OBJECTIFS!$C$48,VLOOKUP(F201,OBJECTIFS!$C$30:$D$32,2,FALSE),IF(D201=OBJECTIFS!$C$49,VLOOKUP(F201,OBJECTIFS!$C$37:$D$39,2,FALSE))))))))</f>
        <v/>
      </c>
      <c r="J201" s="25"/>
      <c r="K201" s="90" t="str">
        <f>IF(OR($A201="",$D201="",J201=""),"",SUMIFS(OBJECTIFS!E$9:E$39,OBJECTIFS!$A$9:$A$39,$D201,OBJECTIFS!$C$9:$C$39,$F201))</f>
        <v/>
      </c>
      <c r="L201" s="90" t="str">
        <f>IF(OR(AND($D201=OBJECTIFS!$B$6,OBJECTIFS!E$8="dmt"),AND($D201=OBJECTIFS!$B$13,OBJECTIFS!$E$15="dmt"),AND($D201=OBJECTIFS!$B$20,OBJECTIFS!$E$22="dmt"),AND($D201=OBJECTIFS!$B$27,OBJECTIFS!$E$29="dmt"),AND($D201=OBJECTIFS!$B$34,OBJECTIFS!$E$36="dmt"),AND($D201=OBJECTIFS!$B$6,OBJECTIFS!$E$8="taux de chute"),AND($D201=OBJECTIFS!$B$13,OBJECTIFS!$E$15="taux de chute"),AND($D201=OBJECTIFS!$B$20,OBJECTIFS!$E$22="taux de chute"),AND($D201=OBJECTIFS!$B$27,OBJECTIFS!$E$29="taux de chute"),AND($D201=OBJECTIFS!$B$34,OBJECTIFS!$E$36="taux de chute")),IFERROR(K201/J201,""),IFERROR(J201/K201,""))</f>
        <v/>
      </c>
      <c r="M201" s="91">
        <f>IFERROR(IF(OR(J201="",K201="",L201=""),0,IF(L201&lt;OBJECTIFS!$E$56,0,IF(L201&lt;OBJECTIFS!$G$56,M$8*OBJECTIFS!$F$60,IF(L201&lt;OBJECTIFS!$I$56,M$8*OBJECTIFS!$H$60,M$8)))),0)</f>
        <v>0</v>
      </c>
      <c r="N201" s="161"/>
      <c r="O201" s="92" t="str">
        <f>IF(OR($A201="",$D201="",N201=""),"",SUMIFS(OBJECTIFS!F$9:F$39,OBJECTIFS!$A$9:$A$39,$D201,OBJECTIFS!$C$9:$C$39,$F201))</f>
        <v/>
      </c>
      <c r="P201" s="90" t="str">
        <f>IF(OR(AND($D201=OBJECTIFS!$B$6,OBJECTIFS!$F$8="dmt"),AND($D201=OBJECTIFS!$B$13,OBJECTIFS!$F$15="dmt"),AND($D201=OBJECTIFS!$B$20,OBJECTIFS!$F$22="dmt"),AND($D201=OBJECTIFS!$B$27,OBJECTIFS!$F$29="dmt"),AND($D201=OBJECTIFS!$B$34,OBJECTIFS!$F$36="dmt"),AND($D201=OBJECTIFS!$B$6,OBJECTIFS!$F$8="taux de chute"),AND($D201=OBJECTIFS!$B$13,OBJECTIFS!$F$15="taux de chute"),AND($D201=OBJECTIFS!$B$20,OBJECTIFS!$F$22="taux de chute"),AND($D201=OBJECTIFS!$B$27,OBJECTIFS!$F$29="taux de chute"),AND($D201=OBJECTIFS!$B$34,OBJECTIFS!$F$36="taux de chute")),IFERROR(O201/N201,""),IFERROR(N201/O201,""))</f>
        <v/>
      </c>
      <c r="Q201" s="91">
        <f>IFERROR(IF(OR(N201="",O201="",P201=""),0,IF(P201&lt;OBJECTIFS!$E$56,0,IF(P201&lt;OBJECTIFS!$G$56,Q$8*OBJECTIFS!$F$60,IF(P201&lt;OBJECTIFS!$I$56,Q$8*OBJECTIFS!$H$60,Q$8)))),0)</f>
        <v>0</v>
      </c>
      <c r="R201" s="164"/>
      <c r="S201" s="93" t="str">
        <f>IF(OR($A201="",$D201="",R201=""),"",SUMIFS(OBJECTIFS!G$9:G$39,OBJECTIFS!$A$9:$A$39,$D201,OBJECTIFS!$C$9:$C$39,$F201))</f>
        <v/>
      </c>
      <c r="T201" s="90" t="str">
        <f>IF(OR(AND($D201=OBJECTIFS!$B$6,OBJECTIFS!G$8="dmt"),AND($D201=OBJECTIFS!$B$13,OBJECTIFS!$G$15="dmt"),AND($D201=OBJECTIFS!$B$20,OBJECTIFS!$G$22="dmt"),AND($D201=OBJECTIFS!$B$27,OBJECTIFS!$G$29="dmt"),AND($D201=OBJECTIFS!$B$34,OBJECTIFS!$G$36="dmt"),AND($D201=OBJECTIFS!$B$6,OBJECTIFS!$G$8="taux de chute"),AND($D201=OBJECTIFS!$B$13,OBJECTIFS!$G$15="taux de chute"),AND($D201=OBJECTIFS!$B$20,OBJECTIFS!$G$22="taux de chute"),AND($D201=OBJECTIFS!$B$27,OBJECTIFS!$G$29="taux de chute"),AND($D201=OBJECTIFS!$B$34,OBJECTIFS!$G$36="taux de chute")),IFERROR(S201/R201,""),IFERROR(R201/S201,""))</f>
        <v/>
      </c>
      <c r="U201" s="94">
        <f>IFERROR(IF(OR(R201="",S201="",T201=""),0,IF(T201&lt;OBJECTIFS!$E$56,0,IF(T201&lt;OBJECTIFS!$G$56,U$8*OBJECTIFS!$F$60,IF(T201&lt;OBJECTIFS!$I$56,U$8*OBJECTIFS!$H$60,U$8)))),0)</f>
        <v>0</v>
      </c>
      <c r="V201" s="25"/>
      <c r="W201" s="90" t="str">
        <f>IF(OR($A201="",$D201="",V201=""),"",SUMIFS(OBJECTIFS!H$9:H$39,OBJECTIFS!$A$9:$A$39,$D201,OBJECTIFS!$C$9:$C$39,$F201))</f>
        <v/>
      </c>
      <c r="X201" s="90" t="str">
        <f>IF(OR(AND($D201=OBJECTIFS!$B$6,OBJECTIFS!H$8="dmt"),AND($D201=OBJECTIFS!$B$13,OBJECTIFS!$H$15="dmt"),AND($D201=OBJECTIFS!$B$20,OBJECTIFS!$H$22="dmt"),AND($D201=OBJECTIFS!$B$27,OBJECTIFS!$H$29="dmt"),AND($D201=OBJECTIFS!$B$34,OBJECTIFS!$H$36="dmt"),AND($D201=OBJECTIFS!$B$6,OBJECTIFS!$H$8="taux de chute"),AND($D201=OBJECTIFS!$B$13,OBJECTIFS!$H$15="taux de chute"),AND($D201=OBJECTIFS!$B$20,OBJECTIFS!$H$22="taux de chute"),AND($D201=OBJECTIFS!$B$27,OBJECTIFS!$H$29="taux de chute"),AND($D201=OBJECTIFS!$B$34,OBJECTIFS!$H$36="taux de chute")),IFERROR(W201/V201,""),IFERROR(V201/W201,""))</f>
        <v/>
      </c>
      <c r="Y201" s="91">
        <f>IFERROR(IF(OR(V201="",W201="",X201=""),0,IF(X201&lt;OBJECTIFS!$E$56,0,IF(X201&lt;OBJECTIFS!$G$56,Y$8*OBJECTIFS!$F$60,IF(X201&lt;OBJECTIFS!$I$56,Y$8*OBJECTIFS!$H$60,Y$8)))),0)</f>
        <v>0</v>
      </c>
      <c r="Z201" s="167"/>
      <c r="AA201" s="90" t="str">
        <f>IF(OR($A201="",$D201="",Z201=""),"",SUMIFS(OBJECTIFS!I$9:I$39,OBJECTIFS!$A$9:$A$39,$D201,OBJECTIFS!$C$9:$C$39,$F201))</f>
        <v/>
      </c>
      <c r="AB201" s="90" t="str">
        <f>IF(OR(AND($D201=OBJECTIFS!$B$6,OBJECTIFS!I$8="dmt"),AND($D201=OBJECTIFS!$B$13,OBJECTIFS!$I$15="dmt"),AND($D201=OBJECTIFS!$B$20,OBJECTIFS!$I$22="dmt"),AND($D201=OBJECTIFS!$B$27,OBJECTIFS!$I$29="dmt"),AND($D201=OBJECTIFS!$B$34,OBJECTIFS!$I$36="dmt"),AND($D201=OBJECTIFS!$B$6,OBJECTIFS!$I$8="taux de chute"),AND($D201=OBJECTIFS!$B$13,OBJECTIFS!$I$15="taux de chute"),AND($D201=OBJECTIFS!$B$20,OBJECTIFS!$I$22="taux de chute"),AND($D201=OBJECTIFS!$B$27,OBJECTIFS!$I$29="taux de chute"),AND($D201=OBJECTIFS!$B$34,OBJECTIFS!$I$36="taux de chute")),IFERROR(AA201/Z201,""),IFERROR(Z201/AA201,""))</f>
        <v/>
      </c>
      <c r="AC201" s="95">
        <f>IFERROR(IF(OR(Z201="",AA201="",AB201=""),0,IF(AB201&lt;OBJECTIFS!$E$56,0,IF(AB201&lt;OBJECTIFS!$G$56,AC$8*OBJECTIFS!$F$60,IF(AB201&lt;OBJECTIFS!$I$56,AC$8*OBJECTIFS!$H$60,AC$8)))),0)</f>
        <v>0</v>
      </c>
      <c r="AD201" s="281"/>
      <c r="AE201" s="282"/>
      <c r="AF201" s="96">
        <f t="shared" ca="1" si="29"/>
        <v>0</v>
      </c>
      <c r="AG201" s="63"/>
      <c r="AH201" s="169"/>
      <c r="AI201" s="24"/>
      <c r="AJ201" s="24"/>
      <c r="AK201" s="24"/>
      <c r="AL201" s="24"/>
      <c r="AM201" s="79">
        <f t="shared" si="30"/>
        <v>0</v>
      </c>
      <c r="AN201" s="79">
        <v>22</v>
      </c>
      <c r="AO201" s="80">
        <f t="shared" si="31"/>
        <v>0</v>
      </c>
      <c r="AP201" s="81" t="str">
        <f t="shared" ca="1" si="32"/>
        <v/>
      </c>
      <c r="AQ201" s="82"/>
      <c r="AR201" s="97">
        <f>IFERROR(VLOOKUP(B201,OBJECTIFS!$C$76:$E$137,2,FALSE),0)</f>
        <v>0</v>
      </c>
      <c r="AS201" s="98">
        <f>IFERROR(VLOOKUP(B201,OBJECTIFS!$H$76:$J$137,2,FALSE),0)</f>
        <v>0</v>
      </c>
      <c r="AT201" s="98">
        <f>IFERROR(VLOOKUP(B201,OBJECTIFS!$C$142:$E$203,2,FALSE),0)</f>
        <v>0</v>
      </c>
      <c r="AU201" s="98">
        <f>IFERROR(VLOOKUP(B201,OBJECTIFS!$H$142:$J$203,2,FALSE),0)</f>
        <v>0</v>
      </c>
      <c r="AV201" s="98">
        <f>IFERROR(VLOOKUP(B201,OBJECTIFS!$F$208:$H$269,3,FALSE),0)</f>
        <v>0</v>
      </c>
      <c r="AW201" s="81">
        <f t="shared" si="33"/>
        <v>0</v>
      </c>
      <c r="AX201" s="82"/>
      <c r="AY201" s="99" t="str">
        <f t="shared" ca="1" si="34"/>
        <v/>
      </c>
      <c r="AZ201" s="63"/>
      <c r="BA201" s="100">
        <f t="shared" ca="1" si="35"/>
        <v>0</v>
      </c>
      <c r="BB201" s="64" t="str">
        <f t="shared" ca="1" si="36"/>
        <v/>
      </c>
      <c r="BC201" s="102" t="str">
        <f t="shared" ca="1" si="37"/>
        <v/>
      </c>
    </row>
    <row r="202" spans="1:55" x14ac:dyDescent="0.2">
      <c r="A202" s="21"/>
      <c r="B202" s="22"/>
      <c r="C202" s="22"/>
      <c r="D202" s="23"/>
      <c r="E202" s="24"/>
      <c r="F202" s="34"/>
      <c r="H202" s="89" t="str">
        <f>IF(OR(D202="",F202="",A202=""),"",IF(E202="oui",0,IF(D202=OBJECTIFS!$C$45,VLOOKUP(F202,OBJECTIFS!$C$9:$D$11,2,FALSE),IF(D202=OBJECTIFS!$C$46,VLOOKUP(F202,OBJECTIFS!$C$16:$D$18,2,FALSE),IF(D202=OBJECTIFS!$C$47,VLOOKUP(F202,OBJECTIFS!$C$23:$D$25,2,FALSE),IF(D202=OBJECTIFS!$C$48,VLOOKUP(F202,OBJECTIFS!$C$30:$D$32,2,FALSE),IF(D202=OBJECTIFS!$C$49,VLOOKUP(F202,OBJECTIFS!$C$37:$D$39,2,FALSE))))))))</f>
        <v/>
      </c>
      <c r="J202" s="25"/>
      <c r="K202" s="90" t="str">
        <f>IF(OR($A202="",$D202="",J202=""),"",SUMIFS(OBJECTIFS!E$9:E$39,OBJECTIFS!$A$9:$A$39,$D202,OBJECTIFS!$C$9:$C$39,$F202))</f>
        <v/>
      </c>
      <c r="L202" s="90" t="str">
        <f>IF(OR(AND($D202=OBJECTIFS!$B$6,OBJECTIFS!E$8="dmt"),AND($D202=OBJECTIFS!$B$13,OBJECTIFS!$E$15="dmt"),AND($D202=OBJECTIFS!$B$20,OBJECTIFS!$E$22="dmt"),AND($D202=OBJECTIFS!$B$27,OBJECTIFS!$E$29="dmt"),AND($D202=OBJECTIFS!$B$34,OBJECTIFS!$E$36="dmt"),AND($D202=OBJECTIFS!$B$6,OBJECTIFS!$E$8="taux de chute"),AND($D202=OBJECTIFS!$B$13,OBJECTIFS!$E$15="taux de chute"),AND($D202=OBJECTIFS!$B$20,OBJECTIFS!$E$22="taux de chute"),AND($D202=OBJECTIFS!$B$27,OBJECTIFS!$E$29="taux de chute"),AND($D202=OBJECTIFS!$B$34,OBJECTIFS!$E$36="taux de chute")),IFERROR(K202/J202,""),IFERROR(J202/K202,""))</f>
        <v/>
      </c>
      <c r="M202" s="91">
        <f>IFERROR(IF(OR(J202="",K202="",L202=""),0,IF(L202&lt;OBJECTIFS!$E$56,0,IF(L202&lt;OBJECTIFS!$G$56,M$8*OBJECTIFS!$F$60,IF(L202&lt;OBJECTIFS!$I$56,M$8*OBJECTIFS!$H$60,M$8)))),0)</f>
        <v>0</v>
      </c>
      <c r="N202" s="161"/>
      <c r="O202" s="92" t="str">
        <f>IF(OR($A202="",$D202="",N202=""),"",SUMIFS(OBJECTIFS!F$9:F$39,OBJECTIFS!$A$9:$A$39,$D202,OBJECTIFS!$C$9:$C$39,$F202))</f>
        <v/>
      </c>
      <c r="P202" s="90" t="str">
        <f>IF(OR(AND($D202=OBJECTIFS!$B$6,OBJECTIFS!$F$8="dmt"),AND($D202=OBJECTIFS!$B$13,OBJECTIFS!$F$15="dmt"),AND($D202=OBJECTIFS!$B$20,OBJECTIFS!$F$22="dmt"),AND($D202=OBJECTIFS!$B$27,OBJECTIFS!$F$29="dmt"),AND($D202=OBJECTIFS!$B$34,OBJECTIFS!$F$36="dmt"),AND($D202=OBJECTIFS!$B$6,OBJECTIFS!$F$8="taux de chute"),AND($D202=OBJECTIFS!$B$13,OBJECTIFS!$F$15="taux de chute"),AND($D202=OBJECTIFS!$B$20,OBJECTIFS!$F$22="taux de chute"),AND($D202=OBJECTIFS!$B$27,OBJECTIFS!$F$29="taux de chute"),AND($D202=OBJECTIFS!$B$34,OBJECTIFS!$F$36="taux de chute")),IFERROR(O202/N202,""),IFERROR(N202/O202,""))</f>
        <v/>
      </c>
      <c r="Q202" s="91">
        <f>IFERROR(IF(OR(N202="",O202="",P202=""),0,IF(P202&lt;OBJECTIFS!$E$56,0,IF(P202&lt;OBJECTIFS!$G$56,Q$8*OBJECTIFS!$F$60,IF(P202&lt;OBJECTIFS!$I$56,Q$8*OBJECTIFS!$H$60,Q$8)))),0)</f>
        <v>0</v>
      </c>
      <c r="R202" s="164"/>
      <c r="S202" s="93" t="str">
        <f>IF(OR($A202="",$D202="",R202=""),"",SUMIFS(OBJECTIFS!G$9:G$39,OBJECTIFS!$A$9:$A$39,$D202,OBJECTIFS!$C$9:$C$39,$F202))</f>
        <v/>
      </c>
      <c r="T202" s="90" t="str">
        <f>IF(OR(AND($D202=OBJECTIFS!$B$6,OBJECTIFS!G$8="dmt"),AND($D202=OBJECTIFS!$B$13,OBJECTIFS!$G$15="dmt"),AND($D202=OBJECTIFS!$B$20,OBJECTIFS!$G$22="dmt"),AND($D202=OBJECTIFS!$B$27,OBJECTIFS!$G$29="dmt"),AND($D202=OBJECTIFS!$B$34,OBJECTIFS!$G$36="dmt"),AND($D202=OBJECTIFS!$B$6,OBJECTIFS!$G$8="taux de chute"),AND($D202=OBJECTIFS!$B$13,OBJECTIFS!$G$15="taux de chute"),AND($D202=OBJECTIFS!$B$20,OBJECTIFS!$G$22="taux de chute"),AND($D202=OBJECTIFS!$B$27,OBJECTIFS!$G$29="taux de chute"),AND($D202=OBJECTIFS!$B$34,OBJECTIFS!$G$36="taux de chute")),IFERROR(S202/R202,""),IFERROR(R202/S202,""))</f>
        <v/>
      </c>
      <c r="U202" s="94">
        <f>IFERROR(IF(OR(R202="",S202="",T202=""),0,IF(T202&lt;OBJECTIFS!$E$56,0,IF(T202&lt;OBJECTIFS!$G$56,U$8*OBJECTIFS!$F$60,IF(T202&lt;OBJECTIFS!$I$56,U$8*OBJECTIFS!$H$60,U$8)))),0)</f>
        <v>0</v>
      </c>
      <c r="V202" s="25"/>
      <c r="W202" s="90" t="str">
        <f>IF(OR($A202="",$D202="",V202=""),"",SUMIFS(OBJECTIFS!H$9:H$39,OBJECTIFS!$A$9:$A$39,$D202,OBJECTIFS!$C$9:$C$39,$F202))</f>
        <v/>
      </c>
      <c r="X202" s="90" t="str">
        <f>IF(OR(AND($D202=OBJECTIFS!$B$6,OBJECTIFS!H$8="dmt"),AND($D202=OBJECTIFS!$B$13,OBJECTIFS!$H$15="dmt"),AND($D202=OBJECTIFS!$B$20,OBJECTIFS!$H$22="dmt"),AND($D202=OBJECTIFS!$B$27,OBJECTIFS!$H$29="dmt"),AND($D202=OBJECTIFS!$B$34,OBJECTIFS!$H$36="dmt"),AND($D202=OBJECTIFS!$B$6,OBJECTIFS!$H$8="taux de chute"),AND($D202=OBJECTIFS!$B$13,OBJECTIFS!$H$15="taux de chute"),AND($D202=OBJECTIFS!$B$20,OBJECTIFS!$H$22="taux de chute"),AND($D202=OBJECTIFS!$B$27,OBJECTIFS!$H$29="taux de chute"),AND($D202=OBJECTIFS!$B$34,OBJECTIFS!$H$36="taux de chute")),IFERROR(W202/V202,""),IFERROR(V202/W202,""))</f>
        <v/>
      </c>
      <c r="Y202" s="91">
        <f>IFERROR(IF(OR(V202="",W202="",X202=""),0,IF(X202&lt;OBJECTIFS!$E$56,0,IF(X202&lt;OBJECTIFS!$G$56,Y$8*OBJECTIFS!$F$60,IF(X202&lt;OBJECTIFS!$I$56,Y$8*OBJECTIFS!$H$60,Y$8)))),0)</f>
        <v>0</v>
      </c>
      <c r="Z202" s="167"/>
      <c r="AA202" s="90" t="str">
        <f>IF(OR($A202="",$D202="",Z202=""),"",SUMIFS(OBJECTIFS!I$9:I$39,OBJECTIFS!$A$9:$A$39,$D202,OBJECTIFS!$C$9:$C$39,$F202))</f>
        <v/>
      </c>
      <c r="AB202" s="90" t="str">
        <f>IF(OR(AND($D202=OBJECTIFS!$B$6,OBJECTIFS!I$8="dmt"),AND($D202=OBJECTIFS!$B$13,OBJECTIFS!$I$15="dmt"),AND($D202=OBJECTIFS!$B$20,OBJECTIFS!$I$22="dmt"),AND($D202=OBJECTIFS!$B$27,OBJECTIFS!$I$29="dmt"),AND($D202=OBJECTIFS!$B$34,OBJECTIFS!$I$36="dmt"),AND($D202=OBJECTIFS!$B$6,OBJECTIFS!$I$8="taux de chute"),AND($D202=OBJECTIFS!$B$13,OBJECTIFS!$I$15="taux de chute"),AND($D202=OBJECTIFS!$B$20,OBJECTIFS!$I$22="taux de chute"),AND($D202=OBJECTIFS!$B$27,OBJECTIFS!$I$29="taux de chute"),AND($D202=OBJECTIFS!$B$34,OBJECTIFS!$I$36="taux de chute")),IFERROR(AA202/Z202,""),IFERROR(Z202/AA202,""))</f>
        <v/>
      </c>
      <c r="AC202" s="95">
        <f>IFERROR(IF(OR(Z202="",AA202="",AB202=""),0,IF(AB202&lt;OBJECTIFS!$E$56,0,IF(AB202&lt;OBJECTIFS!$G$56,AC$8*OBJECTIFS!$F$60,IF(AB202&lt;OBJECTIFS!$I$56,AC$8*OBJECTIFS!$H$60,AC$8)))),0)</f>
        <v>0</v>
      </c>
      <c r="AD202" s="281"/>
      <c r="AE202" s="282"/>
      <c r="AF202" s="96">
        <f t="shared" ca="1" si="29"/>
        <v>0</v>
      </c>
      <c r="AG202" s="63"/>
      <c r="AH202" s="169"/>
      <c r="AI202" s="24"/>
      <c r="AJ202" s="24"/>
      <c r="AK202" s="24"/>
      <c r="AL202" s="24"/>
      <c r="AM202" s="79">
        <f t="shared" si="30"/>
        <v>0</v>
      </c>
      <c r="AN202" s="79">
        <v>22</v>
      </c>
      <c r="AO202" s="80">
        <f t="shared" si="31"/>
        <v>0</v>
      </c>
      <c r="AP202" s="81" t="str">
        <f t="shared" ca="1" si="32"/>
        <v/>
      </c>
      <c r="AQ202" s="82"/>
      <c r="AR202" s="97">
        <f>IFERROR(VLOOKUP(B202,OBJECTIFS!$C$76:$E$137,2,FALSE),0)</f>
        <v>0</v>
      </c>
      <c r="AS202" s="98">
        <f>IFERROR(VLOOKUP(B202,OBJECTIFS!$H$76:$J$137,2,FALSE),0)</f>
        <v>0</v>
      </c>
      <c r="AT202" s="98">
        <f>IFERROR(VLOOKUP(B202,OBJECTIFS!$C$142:$E$203,2,FALSE),0)</f>
        <v>0</v>
      </c>
      <c r="AU202" s="98">
        <f>IFERROR(VLOOKUP(B202,OBJECTIFS!$H$142:$J$203,2,FALSE),0)</f>
        <v>0</v>
      </c>
      <c r="AV202" s="98">
        <f>IFERROR(VLOOKUP(B202,OBJECTIFS!$F$208:$H$269,3,FALSE),0)</f>
        <v>0</v>
      </c>
      <c r="AW202" s="81">
        <f t="shared" si="33"/>
        <v>0</v>
      </c>
      <c r="AX202" s="82"/>
      <c r="AY202" s="99" t="str">
        <f t="shared" ca="1" si="34"/>
        <v/>
      </c>
      <c r="AZ202" s="63"/>
      <c r="BA202" s="100">
        <f t="shared" ca="1" si="35"/>
        <v>0</v>
      </c>
      <c r="BB202" s="64" t="str">
        <f t="shared" ca="1" si="36"/>
        <v/>
      </c>
      <c r="BC202" s="101" t="str">
        <f t="shared" ca="1" si="37"/>
        <v/>
      </c>
    </row>
    <row r="203" spans="1:55" x14ac:dyDescent="0.2">
      <c r="A203" s="21"/>
      <c r="B203" s="22"/>
      <c r="C203" s="22"/>
      <c r="D203" s="23"/>
      <c r="E203" s="24"/>
      <c r="F203" s="34"/>
      <c r="H203" s="89" t="str">
        <f>IF(OR(D203="",F203="",A203=""),"",IF(E203="oui",0,IF(D203=OBJECTIFS!$C$45,VLOOKUP(F203,OBJECTIFS!$C$9:$D$11,2,FALSE),IF(D203=OBJECTIFS!$C$46,VLOOKUP(F203,OBJECTIFS!$C$16:$D$18,2,FALSE),IF(D203=OBJECTIFS!$C$47,VLOOKUP(F203,OBJECTIFS!$C$23:$D$25,2,FALSE),IF(D203=OBJECTIFS!$C$48,VLOOKUP(F203,OBJECTIFS!$C$30:$D$32,2,FALSE),IF(D203=OBJECTIFS!$C$49,VLOOKUP(F203,OBJECTIFS!$C$37:$D$39,2,FALSE))))))))</f>
        <v/>
      </c>
      <c r="J203" s="25"/>
      <c r="K203" s="90" t="str">
        <f>IF(OR($A203="",$D203="",J203=""),"",SUMIFS(OBJECTIFS!E$9:E$39,OBJECTIFS!$A$9:$A$39,$D203,OBJECTIFS!$C$9:$C$39,$F203))</f>
        <v/>
      </c>
      <c r="L203" s="90" t="str">
        <f>IF(OR(AND($D203=OBJECTIFS!$B$6,OBJECTIFS!E$8="dmt"),AND($D203=OBJECTIFS!$B$13,OBJECTIFS!$E$15="dmt"),AND($D203=OBJECTIFS!$B$20,OBJECTIFS!$E$22="dmt"),AND($D203=OBJECTIFS!$B$27,OBJECTIFS!$E$29="dmt"),AND($D203=OBJECTIFS!$B$34,OBJECTIFS!$E$36="dmt"),AND($D203=OBJECTIFS!$B$6,OBJECTIFS!$E$8="taux de chute"),AND($D203=OBJECTIFS!$B$13,OBJECTIFS!$E$15="taux de chute"),AND($D203=OBJECTIFS!$B$20,OBJECTIFS!$E$22="taux de chute"),AND($D203=OBJECTIFS!$B$27,OBJECTIFS!$E$29="taux de chute"),AND($D203=OBJECTIFS!$B$34,OBJECTIFS!$E$36="taux de chute")),IFERROR(K203/J203,""),IFERROR(J203/K203,""))</f>
        <v/>
      </c>
      <c r="M203" s="91">
        <f>IFERROR(IF(OR(J203="",K203="",L203=""),0,IF(L203&lt;OBJECTIFS!$E$56,0,IF(L203&lt;OBJECTIFS!$G$56,M$8*OBJECTIFS!$F$60,IF(L203&lt;OBJECTIFS!$I$56,M$8*OBJECTIFS!$H$60,M$8)))),0)</f>
        <v>0</v>
      </c>
      <c r="N203" s="161"/>
      <c r="O203" s="92" t="str">
        <f>IF(OR($A203="",$D203="",N203=""),"",SUMIFS(OBJECTIFS!F$9:F$39,OBJECTIFS!$A$9:$A$39,$D203,OBJECTIFS!$C$9:$C$39,$F203))</f>
        <v/>
      </c>
      <c r="P203" s="90" t="str">
        <f>IF(OR(AND($D203=OBJECTIFS!$B$6,OBJECTIFS!$F$8="dmt"),AND($D203=OBJECTIFS!$B$13,OBJECTIFS!$F$15="dmt"),AND($D203=OBJECTIFS!$B$20,OBJECTIFS!$F$22="dmt"),AND($D203=OBJECTIFS!$B$27,OBJECTIFS!$F$29="dmt"),AND($D203=OBJECTIFS!$B$34,OBJECTIFS!$F$36="dmt"),AND($D203=OBJECTIFS!$B$6,OBJECTIFS!$F$8="taux de chute"),AND($D203=OBJECTIFS!$B$13,OBJECTIFS!$F$15="taux de chute"),AND($D203=OBJECTIFS!$B$20,OBJECTIFS!$F$22="taux de chute"),AND($D203=OBJECTIFS!$B$27,OBJECTIFS!$F$29="taux de chute"),AND($D203=OBJECTIFS!$B$34,OBJECTIFS!$F$36="taux de chute")),IFERROR(O203/N203,""),IFERROR(N203/O203,""))</f>
        <v/>
      </c>
      <c r="Q203" s="91">
        <f>IFERROR(IF(OR(N203="",O203="",P203=""),0,IF(P203&lt;OBJECTIFS!$E$56,0,IF(P203&lt;OBJECTIFS!$G$56,Q$8*OBJECTIFS!$F$60,IF(P203&lt;OBJECTIFS!$I$56,Q$8*OBJECTIFS!$H$60,Q$8)))),0)</f>
        <v>0</v>
      </c>
      <c r="R203" s="164"/>
      <c r="S203" s="93" t="str">
        <f>IF(OR($A203="",$D203="",R203=""),"",SUMIFS(OBJECTIFS!G$9:G$39,OBJECTIFS!$A$9:$A$39,$D203,OBJECTIFS!$C$9:$C$39,$F203))</f>
        <v/>
      </c>
      <c r="T203" s="90" t="str">
        <f>IF(OR(AND($D203=OBJECTIFS!$B$6,OBJECTIFS!G$8="dmt"),AND($D203=OBJECTIFS!$B$13,OBJECTIFS!$G$15="dmt"),AND($D203=OBJECTIFS!$B$20,OBJECTIFS!$G$22="dmt"),AND($D203=OBJECTIFS!$B$27,OBJECTIFS!$G$29="dmt"),AND($D203=OBJECTIFS!$B$34,OBJECTIFS!$G$36="dmt"),AND($D203=OBJECTIFS!$B$6,OBJECTIFS!$G$8="taux de chute"),AND($D203=OBJECTIFS!$B$13,OBJECTIFS!$G$15="taux de chute"),AND($D203=OBJECTIFS!$B$20,OBJECTIFS!$G$22="taux de chute"),AND($D203=OBJECTIFS!$B$27,OBJECTIFS!$G$29="taux de chute"),AND($D203=OBJECTIFS!$B$34,OBJECTIFS!$G$36="taux de chute")),IFERROR(S203/R203,""),IFERROR(R203/S203,""))</f>
        <v/>
      </c>
      <c r="U203" s="94">
        <f>IFERROR(IF(OR(R203="",S203="",T203=""),0,IF(T203&lt;OBJECTIFS!$E$56,0,IF(T203&lt;OBJECTIFS!$G$56,U$8*OBJECTIFS!$F$60,IF(T203&lt;OBJECTIFS!$I$56,U$8*OBJECTIFS!$H$60,U$8)))),0)</f>
        <v>0</v>
      </c>
      <c r="V203" s="25"/>
      <c r="W203" s="90" t="str">
        <f>IF(OR($A203="",$D203="",V203=""),"",SUMIFS(OBJECTIFS!H$9:H$39,OBJECTIFS!$A$9:$A$39,$D203,OBJECTIFS!$C$9:$C$39,$F203))</f>
        <v/>
      </c>
      <c r="X203" s="90" t="str">
        <f>IF(OR(AND($D203=OBJECTIFS!$B$6,OBJECTIFS!H$8="dmt"),AND($D203=OBJECTIFS!$B$13,OBJECTIFS!$H$15="dmt"),AND($D203=OBJECTIFS!$B$20,OBJECTIFS!$H$22="dmt"),AND($D203=OBJECTIFS!$B$27,OBJECTIFS!$H$29="dmt"),AND($D203=OBJECTIFS!$B$34,OBJECTIFS!$H$36="dmt"),AND($D203=OBJECTIFS!$B$6,OBJECTIFS!$H$8="taux de chute"),AND($D203=OBJECTIFS!$B$13,OBJECTIFS!$H$15="taux de chute"),AND($D203=OBJECTIFS!$B$20,OBJECTIFS!$H$22="taux de chute"),AND($D203=OBJECTIFS!$B$27,OBJECTIFS!$H$29="taux de chute"),AND($D203=OBJECTIFS!$B$34,OBJECTIFS!$H$36="taux de chute")),IFERROR(W203/V203,""),IFERROR(V203/W203,""))</f>
        <v/>
      </c>
      <c r="Y203" s="91">
        <f>IFERROR(IF(OR(V203="",W203="",X203=""),0,IF(X203&lt;OBJECTIFS!$E$56,0,IF(X203&lt;OBJECTIFS!$G$56,Y$8*OBJECTIFS!$F$60,IF(X203&lt;OBJECTIFS!$I$56,Y$8*OBJECTIFS!$H$60,Y$8)))),0)</f>
        <v>0</v>
      </c>
      <c r="Z203" s="167"/>
      <c r="AA203" s="90" t="str">
        <f>IF(OR($A203="",$D203="",Z203=""),"",SUMIFS(OBJECTIFS!I$9:I$39,OBJECTIFS!$A$9:$A$39,$D203,OBJECTIFS!$C$9:$C$39,$F203))</f>
        <v/>
      </c>
      <c r="AB203" s="90" t="str">
        <f>IF(OR(AND($D203=OBJECTIFS!$B$6,OBJECTIFS!I$8="dmt"),AND($D203=OBJECTIFS!$B$13,OBJECTIFS!$I$15="dmt"),AND($D203=OBJECTIFS!$B$20,OBJECTIFS!$I$22="dmt"),AND($D203=OBJECTIFS!$B$27,OBJECTIFS!$I$29="dmt"),AND($D203=OBJECTIFS!$B$34,OBJECTIFS!$I$36="dmt"),AND($D203=OBJECTIFS!$B$6,OBJECTIFS!$I$8="taux de chute"),AND($D203=OBJECTIFS!$B$13,OBJECTIFS!$I$15="taux de chute"),AND($D203=OBJECTIFS!$B$20,OBJECTIFS!$I$22="taux de chute"),AND($D203=OBJECTIFS!$B$27,OBJECTIFS!$I$29="taux de chute"),AND($D203=OBJECTIFS!$B$34,OBJECTIFS!$I$36="taux de chute")),IFERROR(AA203/Z203,""),IFERROR(Z203/AA203,""))</f>
        <v/>
      </c>
      <c r="AC203" s="95">
        <f>IFERROR(IF(OR(Z203="",AA203="",AB203=""),0,IF(AB203&lt;OBJECTIFS!$E$56,0,IF(AB203&lt;OBJECTIFS!$G$56,AC$8*OBJECTIFS!$F$60,IF(AB203&lt;OBJECTIFS!$I$56,AC$8*OBJECTIFS!$H$60,AC$8)))),0)</f>
        <v>0</v>
      </c>
      <c r="AD203" s="281"/>
      <c r="AE203" s="282"/>
      <c r="AF203" s="96">
        <f t="shared" ca="1" si="29"/>
        <v>0</v>
      </c>
      <c r="AG203" s="63"/>
      <c r="AH203" s="169"/>
      <c r="AI203" s="24"/>
      <c r="AJ203" s="24"/>
      <c r="AK203" s="24"/>
      <c r="AL203" s="24"/>
      <c r="AM203" s="79">
        <f t="shared" si="30"/>
        <v>0</v>
      </c>
      <c r="AN203" s="79">
        <v>22</v>
      </c>
      <c r="AO203" s="80">
        <f t="shared" si="31"/>
        <v>0</v>
      </c>
      <c r="AP203" s="81" t="str">
        <f t="shared" ca="1" si="32"/>
        <v/>
      </c>
      <c r="AQ203" s="82"/>
      <c r="AR203" s="97">
        <f>IFERROR(VLOOKUP(B203,OBJECTIFS!$C$76:$E$137,2,FALSE),0)</f>
        <v>0</v>
      </c>
      <c r="AS203" s="98">
        <f>IFERROR(VLOOKUP(B203,OBJECTIFS!$H$76:$J$137,2,FALSE),0)</f>
        <v>0</v>
      </c>
      <c r="AT203" s="98">
        <f>IFERROR(VLOOKUP(B203,OBJECTIFS!$C$142:$E$203,2,FALSE),0)</f>
        <v>0</v>
      </c>
      <c r="AU203" s="98">
        <f>IFERROR(VLOOKUP(B203,OBJECTIFS!$H$142:$J$203,2,FALSE),0)</f>
        <v>0</v>
      </c>
      <c r="AV203" s="98">
        <f>IFERROR(VLOOKUP(B203,OBJECTIFS!$F$208:$H$269,3,FALSE),0)</f>
        <v>0</v>
      </c>
      <c r="AW203" s="81">
        <f t="shared" si="33"/>
        <v>0</v>
      </c>
      <c r="AX203" s="82"/>
      <c r="AY203" s="99" t="str">
        <f t="shared" ca="1" si="34"/>
        <v/>
      </c>
      <c r="AZ203" s="63"/>
      <c r="BA203" s="100">
        <f t="shared" ca="1" si="35"/>
        <v>0</v>
      </c>
      <c r="BB203" s="64" t="str">
        <f t="shared" ca="1" si="36"/>
        <v/>
      </c>
      <c r="BC203" s="101" t="str">
        <f t="shared" ca="1" si="37"/>
        <v/>
      </c>
    </row>
    <row r="204" spans="1:55" x14ac:dyDescent="0.2">
      <c r="A204" s="21"/>
      <c r="B204" s="22"/>
      <c r="C204" s="22"/>
      <c r="D204" s="23"/>
      <c r="E204" s="24"/>
      <c r="F204" s="34"/>
      <c r="H204" s="89" t="str">
        <f>IF(OR(D204="",F204="",A204=""),"",IF(E204="oui",0,IF(D204=OBJECTIFS!$C$45,VLOOKUP(F204,OBJECTIFS!$C$9:$D$11,2,FALSE),IF(D204=OBJECTIFS!$C$46,VLOOKUP(F204,OBJECTIFS!$C$16:$D$18,2,FALSE),IF(D204=OBJECTIFS!$C$47,VLOOKUP(F204,OBJECTIFS!$C$23:$D$25,2,FALSE),IF(D204=OBJECTIFS!$C$48,VLOOKUP(F204,OBJECTIFS!$C$30:$D$32,2,FALSE),IF(D204=OBJECTIFS!$C$49,VLOOKUP(F204,OBJECTIFS!$C$37:$D$39,2,FALSE))))))))</f>
        <v/>
      </c>
      <c r="J204" s="25"/>
      <c r="K204" s="90" t="str">
        <f>IF(OR($A204="",$D204="",J204=""),"",SUMIFS(OBJECTIFS!E$9:E$39,OBJECTIFS!$A$9:$A$39,$D204,OBJECTIFS!$C$9:$C$39,$F204))</f>
        <v/>
      </c>
      <c r="L204" s="90" t="str">
        <f>IF(OR(AND($D204=OBJECTIFS!$B$6,OBJECTIFS!E$8="dmt"),AND($D204=OBJECTIFS!$B$13,OBJECTIFS!$E$15="dmt"),AND($D204=OBJECTIFS!$B$20,OBJECTIFS!$E$22="dmt"),AND($D204=OBJECTIFS!$B$27,OBJECTIFS!$E$29="dmt"),AND($D204=OBJECTIFS!$B$34,OBJECTIFS!$E$36="dmt"),AND($D204=OBJECTIFS!$B$6,OBJECTIFS!$E$8="taux de chute"),AND($D204=OBJECTIFS!$B$13,OBJECTIFS!$E$15="taux de chute"),AND($D204=OBJECTIFS!$B$20,OBJECTIFS!$E$22="taux de chute"),AND($D204=OBJECTIFS!$B$27,OBJECTIFS!$E$29="taux de chute"),AND($D204=OBJECTIFS!$B$34,OBJECTIFS!$E$36="taux de chute")),IFERROR(K204/J204,""),IFERROR(J204/K204,""))</f>
        <v/>
      </c>
      <c r="M204" s="91">
        <f>IFERROR(IF(OR(J204="",K204="",L204=""),0,IF(L204&lt;OBJECTIFS!$E$56,0,IF(L204&lt;OBJECTIFS!$G$56,M$8*OBJECTIFS!$F$60,IF(L204&lt;OBJECTIFS!$I$56,M$8*OBJECTIFS!$H$60,M$8)))),0)</f>
        <v>0</v>
      </c>
      <c r="N204" s="161"/>
      <c r="O204" s="92" t="str">
        <f>IF(OR($A204="",$D204="",N204=""),"",SUMIFS(OBJECTIFS!F$9:F$39,OBJECTIFS!$A$9:$A$39,$D204,OBJECTIFS!$C$9:$C$39,$F204))</f>
        <v/>
      </c>
      <c r="P204" s="90" t="str">
        <f>IF(OR(AND($D204=OBJECTIFS!$B$6,OBJECTIFS!$F$8="dmt"),AND($D204=OBJECTIFS!$B$13,OBJECTIFS!$F$15="dmt"),AND($D204=OBJECTIFS!$B$20,OBJECTIFS!$F$22="dmt"),AND($D204=OBJECTIFS!$B$27,OBJECTIFS!$F$29="dmt"),AND($D204=OBJECTIFS!$B$34,OBJECTIFS!$F$36="dmt"),AND($D204=OBJECTIFS!$B$6,OBJECTIFS!$F$8="taux de chute"),AND($D204=OBJECTIFS!$B$13,OBJECTIFS!$F$15="taux de chute"),AND($D204=OBJECTIFS!$B$20,OBJECTIFS!$F$22="taux de chute"),AND($D204=OBJECTIFS!$B$27,OBJECTIFS!$F$29="taux de chute"),AND($D204=OBJECTIFS!$B$34,OBJECTIFS!$F$36="taux de chute")),IFERROR(O204/N204,""),IFERROR(N204/O204,""))</f>
        <v/>
      </c>
      <c r="Q204" s="91">
        <f>IFERROR(IF(OR(N204="",O204="",P204=""),0,IF(P204&lt;OBJECTIFS!$E$56,0,IF(P204&lt;OBJECTIFS!$G$56,Q$8*OBJECTIFS!$F$60,IF(P204&lt;OBJECTIFS!$I$56,Q$8*OBJECTIFS!$H$60,Q$8)))),0)</f>
        <v>0</v>
      </c>
      <c r="R204" s="164"/>
      <c r="S204" s="93" t="str">
        <f>IF(OR($A204="",$D204="",R204=""),"",SUMIFS(OBJECTIFS!G$9:G$39,OBJECTIFS!$A$9:$A$39,$D204,OBJECTIFS!$C$9:$C$39,$F204))</f>
        <v/>
      </c>
      <c r="T204" s="90" t="str">
        <f>IF(OR(AND($D204=OBJECTIFS!$B$6,OBJECTIFS!G$8="dmt"),AND($D204=OBJECTIFS!$B$13,OBJECTIFS!$G$15="dmt"),AND($D204=OBJECTIFS!$B$20,OBJECTIFS!$G$22="dmt"),AND($D204=OBJECTIFS!$B$27,OBJECTIFS!$G$29="dmt"),AND($D204=OBJECTIFS!$B$34,OBJECTIFS!$G$36="dmt"),AND($D204=OBJECTIFS!$B$6,OBJECTIFS!$G$8="taux de chute"),AND($D204=OBJECTIFS!$B$13,OBJECTIFS!$G$15="taux de chute"),AND($D204=OBJECTIFS!$B$20,OBJECTIFS!$G$22="taux de chute"),AND($D204=OBJECTIFS!$B$27,OBJECTIFS!$G$29="taux de chute"),AND($D204=OBJECTIFS!$B$34,OBJECTIFS!$G$36="taux de chute")),IFERROR(S204/R204,""),IFERROR(R204/S204,""))</f>
        <v/>
      </c>
      <c r="U204" s="94">
        <f>IFERROR(IF(OR(R204="",S204="",T204=""),0,IF(T204&lt;OBJECTIFS!$E$56,0,IF(T204&lt;OBJECTIFS!$G$56,U$8*OBJECTIFS!$F$60,IF(T204&lt;OBJECTIFS!$I$56,U$8*OBJECTIFS!$H$60,U$8)))),0)</f>
        <v>0</v>
      </c>
      <c r="V204" s="25"/>
      <c r="W204" s="90" t="str">
        <f>IF(OR($A204="",$D204="",V204=""),"",SUMIFS(OBJECTIFS!H$9:H$39,OBJECTIFS!$A$9:$A$39,$D204,OBJECTIFS!$C$9:$C$39,$F204))</f>
        <v/>
      </c>
      <c r="X204" s="90" t="str">
        <f>IF(OR(AND($D204=OBJECTIFS!$B$6,OBJECTIFS!H$8="dmt"),AND($D204=OBJECTIFS!$B$13,OBJECTIFS!$H$15="dmt"),AND($D204=OBJECTIFS!$B$20,OBJECTIFS!$H$22="dmt"),AND($D204=OBJECTIFS!$B$27,OBJECTIFS!$H$29="dmt"),AND($D204=OBJECTIFS!$B$34,OBJECTIFS!$H$36="dmt"),AND($D204=OBJECTIFS!$B$6,OBJECTIFS!$H$8="taux de chute"),AND($D204=OBJECTIFS!$B$13,OBJECTIFS!$H$15="taux de chute"),AND($D204=OBJECTIFS!$B$20,OBJECTIFS!$H$22="taux de chute"),AND($D204=OBJECTIFS!$B$27,OBJECTIFS!$H$29="taux de chute"),AND($D204=OBJECTIFS!$B$34,OBJECTIFS!$H$36="taux de chute")),IFERROR(W204/V204,""),IFERROR(V204/W204,""))</f>
        <v/>
      </c>
      <c r="Y204" s="91">
        <f>IFERROR(IF(OR(V204="",W204="",X204=""),0,IF(X204&lt;OBJECTIFS!$E$56,0,IF(X204&lt;OBJECTIFS!$G$56,Y$8*OBJECTIFS!$F$60,IF(X204&lt;OBJECTIFS!$I$56,Y$8*OBJECTIFS!$H$60,Y$8)))),0)</f>
        <v>0</v>
      </c>
      <c r="Z204" s="167"/>
      <c r="AA204" s="90" t="str">
        <f>IF(OR($A204="",$D204="",Z204=""),"",SUMIFS(OBJECTIFS!I$9:I$39,OBJECTIFS!$A$9:$A$39,$D204,OBJECTIFS!$C$9:$C$39,$F204))</f>
        <v/>
      </c>
      <c r="AB204" s="90" t="str">
        <f>IF(OR(AND($D204=OBJECTIFS!$B$6,OBJECTIFS!I$8="dmt"),AND($D204=OBJECTIFS!$B$13,OBJECTIFS!$I$15="dmt"),AND($D204=OBJECTIFS!$B$20,OBJECTIFS!$I$22="dmt"),AND($D204=OBJECTIFS!$B$27,OBJECTIFS!$I$29="dmt"),AND($D204=OBJECTIFS!$B$34,OBJECTIFS!$I$36="dmt"),AND($D204=OBJECTIFS!$B$6,OBJECTIFS!$I$8="taux de chute"),AND($D204=OBJECTIFS!$B$13,OBJECTIFS!$I$15="taux de chute"),AND($D204=OBJECTIFS!$B$20,OBJECTIFS!$I$22="taux de chute"),AND($D204=OBJECTIFS!$B$27,OBJECTIFS!$I$29="taux de chute"),AND($D204=OBJECTIFS!$B$34,OBJECTIFS!$I$36="taux de chute")),IFERROR(AA204/Z204,""),IFERROR(Z204/AA204,""))</f>
        <v/>
      </c>
      <c r="AC204" s="95">
        <f>IFERROR(IF(OR(Z204="",AA204="",AB204=""),0,IF(AB204&lt;OBJECTIFS!$E$56,0,IF(AB204&lt;OBJECTIFS!$G$56,AC$8*OBJECTIFS!$F$60,IF(AB204&lt;OBJECTIFS!$I$56,AC$8*OBJECTIFS!$H$60,AC$8)))),0)</f>
        <v>0</v>
      </c>
      <c r="AD204" s="281"/>
      <c r="AE204" s="282"/>
      <c r="AF204" s="96">
        <f t="shared" ca="1" si="29"/>
        <v>0</v>
      </c>
      <c r="AG204" s="63"/>
      <c r="AH204" s="169"/>
      <c r="AI204" s="24"/>
      <c r="AJ204" s="24"/>
      <c r="AK204" s="24"/>
      <c r="AL204" s="24"/>
      <c r="AM204" s="79">
        <f t="shared" si="30"/>
        <v>0</v>
      </c>
      <c r="AN204" s="79">
        <v>22</v>
      </c>
      <c r="AO204" s="80">
        <f t="shared" si="31"/>
        <v>0</v>
      </c>
      <c r="AP204" s="81" t="str">
        <f t="shared" ca="1" si="32"/>
        <v/>
      </c>
      <c r="AQ204" s="82"/>
      <c r="AR204" s="97">
        <f>IFERROR(VLOOKUP(B204,OBJECTIFS!$C$76:$E$137,2,FALSE),0)</f>
        <v>0</v>
      </c>
      <c r="AS204" s="98">
        <f>IFERROR(VLOOKUP(B204,OBJECTIFS!$H$76:$J$137,2,FALSE),0)</f>
        <v>0</v>
      </c>
      <c r="AT204" s="98">
        <f>IFERROR(VLOOKUP(B204,OBJECTIFS!$C$142:$E$203,2,FALSE),0)</f>
        <v>0</v>
      </c>
      <c r="AU204" s="98">
        <f>IFERROR(VLOOKUP(B204,OBJECTIFS!$H$142:$J$203,2,FALSE),0)</f>
        <v>0</v>
      </c>
      <c r="AV204" s="98">
        <f>IFERROR(VLOOKUP(B204,OBJECTIFS!$F$208:$H$269,3,FALSE),0)</f>
        <v>0</v>
      </c>
      <c r="AW204" s="81">
        <f t="shared" si="33"/>
        <v>0</v>
      </c>
      <c r="AX204" s="82"/>
      <c r="AY204" s="99" t="str">
        <f t="shared" ca="1" si="34"/>
        <v/>
      </c>
      <c r="AZ204" s="63"/>
      <c r="BA204" s="100">
        <f t="shared" ca="1" si="35"/>
        <v>0</v>
      </c>
      <c r="BB204" s="64" t="str">
        <f t="shared" ca="1" si="36"/>
        <v/>
      </c>
      <c r="BC204" s="101" t="str">
        <f t="shared" ca="1" si="37"/>
        <v/>
      </c>
    </row>
    <row r="205" spans="1:55" x14ac:dyDescent="0.2">
      <c r="A205" s="21"/>
      <c r="B205" s="22"/>
      <c r="C205" s="22"/>
      <c r="D205" s="23"/>
      <c r="E205" s="24"/>
      <c r="F205" s="34"/>
      <c r="H205" s="89" t="str">
        <f>IF(OR(D205="",F205="",A205=""),"",IF(E205="oui",0,IF(D205=OBJECTIFS!$C$45,VLOOKUP(F205,OBJECTIFS!$C$9:$D$11,2,FALSE),IF(D205=OBJECTIFS!$C$46,VLOOKUP(F205,OBJECTIFS!$C$16:$D$18,2,FALSE),IF(D205=OBJECTIFS!$C$47,VLOOKUP(F205,OBJECTIFS!$C$23:$D$25,2,FALSE),IF(D205=OBJECTIFS!$C$48,VLOOKUP(F205,OBJECTIFS!$C$30:$D$32,2,FALSE),IF(D205=OBJECTIFS!$C$49,VLOOKUP(F205,OBJECTIFS!$C$37:$D$39,2,FALSE))))))))</f>
        <v/>
      </c>
      <c r="J205" s="25"/>
      <c r="K205" s="90" t="str">
        <f>IF(OR($A205="",$D205="",J205=""),"",SUMIFS(OBJECTIFS!E$9:E$39,OBJECTIFS!$A$9:$A$39,$D205,OBJECTIFS!$C$9:$C$39,$F205))</f>
        <v/>
      </c>
      <c r="L205" s="90" t="str">
        <f>IF(OR(AND($D205=OBJECTIFS!$B$6,OBJECTIFS!E$8="dmt"),AND($D205=OBJECTIFS!$B$13,OBJECTIFS!$E$15="dmt"),AND($D205=OBJECTIFS!$B$20,OBJECTIFS!$E$22="dmt"),AND($D205=OBJECTIFS!$B$27,OBJECTIFS!$E$29="dmt"),AND($D205=OBJECTIFS!$B$34,OBJECTIFS!$E$36="dmt"),AND($D205=OBJECTIFS!$B$6,OBJECTIFS!$E$8="taux de chute"),AND($D205=OBJECTIFS!$B$13,OBJECTIFS!$E$15="taux de chute"),AND($D205=OBJECTIFS!$B$20,OBJECTIFS!$E$22="taux de chute"),AND($D205=OBJECTIFS!$B$27,OBJECTIFS!$E$29="taux de chute"),AND($D205=OBJECTIFS!$B$34,OBJECTIFS!$E$36="taux de chute")),IFERROR(K205/J205,""),IFERROR(J205/K205,""))</f>
        <v/>
      </c>
      <c r="M205" s="91">
        <f>IFERROR(IF(OR(J205="",K205="",L205=""),0,IF(L205&lt;OBJECTIFS!$E$56,0,IF(L205&lt;OBJECTIFS!$G$56,M$8*OBJECTIFS!$F$60,IF(L205&lt;OBJECTIFS!$I$56,M$8*OBJECTIFS!$H$60,M$8)))),0)</f>
        <v>0</v>
      </c>
      <c r="N205" s="161"/>
      <c r="O205" s="92" t="str">
        <f>IF(OR($A205="",$D205="",N205=""),"",SUMIFS(OBJECTIFS!F$9:F$39,OBJECTIFS!$A$9:$A$39,$D205,OBJECTIFS!$C$9:$C$39,$F205))</f>
        <v/>
      </c>
      <c r="P205" s="90" t="str">
        <f>IF(OR(AND($D205=OBJECTIFS!$B$6,OBJECTIFS!$F$8="dmt"),AND($D205=OBJECTIFS!$B$13,OBJECTIFS!$F$15="dmt"),AND($D205=OBJECTIFS!$B$20,OBJECTIFS!$F$22="dmt"),AND($D205=OBJECTIFS!$B$27,OBJECTIFS!$F$29="dmt"),AND($D205=OBJECTIFS!$B$34,OBJECTIFS!$F$36="dmt"),AND($D205=OBJECTIFS!$B$6,OBJECTIFS!$F$8="taux de chute"),AND($D205=OBJECTIFS!$B$13,OBJECTIFS!$F$15="taux de chute"),AND($D205=OBJECTIFS!$B$20,OBJECTIFS!$F$22="taux de chute"),AND($D205=OBJECTIFS!$B$27,OBJECTIFS!$F$29="taux de chute"),AND($D205=OBJECTIFS!$B$34,OBJECTIFS!$F$36="taux de chute")),IFERROR(O205/N205,""),IFERROR(N205/O205,""))</f>
        <v/>
      </c>
      <c r="Q205" s="91">
        <f>IFERROR(IF(OR(N205="",O205="",P205=""),0,IF(P205&lt;OBJECTIFS!$E$56,0,IF(P205&lt;OBJECTIFS!$G$56,Q$8*OBJECTIFS!$F$60,IF(P205&lt;OBJECTIFS!$I$56,Q$8*OBJECTIFS!$H$60,Q$8)))),0)</f>
        <v>0</v>
      </c>
      <c r="R205" s="164"/>
      <c r="S205" s="93" t="str">
        <f>IF(OR($A205="",$D205="",R205=""),"",SUMIFS(OBJECTIFS!G$9:G$39,OBJECTIFS!$A$9:$A$39,$D205,OBJECTIFS!$C$9:$C$39,$F205))</f>
        <v/>
      </c>
      <c r="T205" s="90" t="str">
        <f>IF(OR(AND($D205=OBJECTIFS!$B$6,OBJECTIFS!G$8="dmt"),AND($D205=OBJECTIFS!$B$13,OBJECTIFS!$G$15="dmt"),AND($D205=OBJECTIFS!$B$20,OBJECTIFS!$G$22="dmt"),AND($D205=OBJECTIFS!$B$27,OBJECTIFS!$G$29="dmt"),AND($D205=OBJECTIFS!$B$34,OBJECTIFS!$G$36="dmt"),AND($D205=OBJECTIFS!$B$6,OBJECTIFS!$G$8="taux de chute"),AND($D205=OBJECTIFS!$B$13,OBJECTIFS!$G$15="taux de chute"),AND($D205=OBJECTIFS!$B$20,OBJECTIFS!$G$22="taux de chute"),AND($D205=OBJECTIFS!$B$27,OBJECTIFS!$G$29="taux de chute"),AND($D205=OBJECTIFS!$B$34,OBJECTIFS!$G$36="taux de chute")),IFERROR(S205/R205,""),IFERROR(R205/S205,""))</f>
        <v/>
      </c>
      <c r="U205" s="94">
        <f>IFERROR(IF(OR(R205="",S205="",T205=""),0,IF(T205&lt;OBJECTIFS!$E$56,0,IF(T205&lt;OBJECTIFS!$G$56,U$8*OBJECTIFS!$F$60,IF(T205&lt;OBJECTIFS!$I$56,U$8*OBJECTIFS!$H$60,U$8)))),0)</f>
        <v>0</v>
      </c>
      <c r="V205" s="25"/>
      <c r="W205" s="90" t="str">
        <f>IF(OR($A205="",$D205="",V205=""),"",SUMIFS(OBJECTIFS!H$9:H$39,OBJECTIFS!$A$9:$A$39,$D205,OBJECTIFS!$C$9:$C$39,$F205))</f>
        <v/>
      </c>
      <c r="X205" s="90" t="str">
        <f>IF(OR(AND($D205=OBJECTIFS!$B$6,OBJECTIFS!H$8="dmt"),AND($D205=OBJECTIFS!$B$13,OBJECTIFS!$H$15="dmt"),AND($D205=OBJECTIFS!$B$20,OBJECTIFS!$H$22="dmt"),AND($D205=OBJECTIFS!$B$27,OBJECTIFS!$H$29="dmt"),AND($D205=OBJECTIFS!$B$34,OBJECTIFS!$H$36="dmt"),AND($D205=OBJECTIFS!$B$6,OBJECTIFS!$H$8="taux de chute"),AND($D205=OBJECTIFS!$B$13,OBJECTIFS!$H$15="taux de chute"),AND($D205=OBJECTIFS!$B$20,OBJECTIFS!$H$22="taux de chute"),AND($D205=OBJECTIFS!$B$27,OBJECTIFS!$H$29="taux de chute"),AND($D205=OBJECTIFS!$B$34,OBJECTIFS!$H$36="taux de chute")),IFERROR(W205/V205,""),IFERROR(V205/W205,""))</f>
        <v/>
      </c>
      <c r="Y205" s="91">
        <f>IFERROR(IF(OR(V205="",W205="",X205=""),0,IF(X205&lt;OBJECTIFS!$E$56,0,IF(X205&lt;OBJECTIFS!$G$56,Y$8*OBJECTIFS!$F$60,IF(X205&lt;OBJECTIFS!$I$56,Y$8*OBJECTIFS!$H$60,Y$8)))),0)</f>
        <v>0</v>
      </c>
      <c r="Z205" s="167"/>
      <c r="AA205" s="90" t="str">
        <f>IF(OR($A205="",$D205="",Z205=""),"",SUMIFS(OBJECTIFS!I$9:I$39,OBJECTIFS!$A$9:$A$39,$D205,OBJECTIFS!$C$9:$C$39,$F205))</f>
        <v/>
      </c>
      <c r="AB205" s="90" t="str">
        <f>IF(OR(AND($D205=OBJECTIFS!$B$6,OBJECTIFS!I$8="dmt"),AND($D205=OBJECTIFS!$B$13,OBJECTIFS!$I$15="dmt"),AND($D205=OBJECTIFS!$B$20,OBJECTIFS!$I$22="dmt"),AND($D205=OBJECTIFS!$B$27,OBJECTIFS!$I$29="dmt"),AND($D205=OBJECTIFS!$B$34,OBJECTIFS!$I$36="dmt"),AND($D205=OBJECTIFS!$B$6,OBJECTIFS!$I$8="taux de chute"),AND($D205=OBJECTIFS!$B$13,OBJECTIFS!$I$15="taux de chute"),AND($D205=OBJECTIFS!$B$20,OBJECTIFS!$I$22="taux de chute"),AND($D205=OBJECTIFS!$B$27,OBJECTIFS!$I$29="taux de chute"),AND($D205=OBJECTIFS!$B$34,OBJECTIFS!$I$36="taux de chute")),IFERROR(AA205/Z205,""),IFERROR(Z205/AA205,""))</f>
        <v/>
      </c>
      <c r="AC205" s="95">
        <f>IFERROR(IF(OR(Z205="",AA205="",AB205=""),0,IF(AB205&lt;OBJECTIFS!$E$56,0,IF(AB205&lt;OBJECTIFS!$G$56,AC$8*OBJECTIFS!$F$60,IF(AB205&lt;OBJECTIFS!$I$56,AC$8*OBJECTIFS!$H$60,AC$8)))),0)</f>
        <v>0</v>
      </c>
      <c r="AD205" s="281"/>
      <c r="AE205" s="282"/>
      <c r="AF205" s="96">
        <f t="shared" ca="1" si="29"/>
        <v>0</v>
      </c>
      <c r="AG205" s="63"/>
      <c r="AH205" s="169"/>
      <c r="AI205" s="24"/>
      <c r="AJ205" s="24"/>
      <c r="AK205" s="24"/>
      <c r="AL205" s="24"/>
      <c r="AM205" s="79">
        <f t="shared" si="30"/>
        <v>0</v>
      </c>
      <c r="AN205" s="79">
        <v>22</v>
      </c>
      <c r="AO205" s="80">
        <f t="shared" si="31"/>
        <v>0</v>
      </c>
      <c r="AP205" s="81" t="str">
        <f t="shared" ca="1" si="32"/>
        <v/>
      </c>
      <c r="AQ205" s="82"/>
      <c r="AR205" s="97">
        <f>IFERROR(VLOOKUP(B205,OBJECTIFS!$C$76:$E$137,2,FALSE),0)</f>
        <v>0</v>
      </c>
      <c r="AS205" s="98">
        <f>IFERROR(VLOOKUP(B205,OBJECTIFS!$H$76:$J$137,2,FALSE),0)</f>
        <v>0</v>
      </c>
      <c r="AT205" s="98">
        <f>IFERROR(VLOOKUP(B205,OBJECTIFS!$C$142:$E$203,2,FALSE),0)</f>
        <v>0</v>
      </c>
      <c r="AU205" s="98">
        <f>IFERROR(VLOOKUP(B205,OBJECTIFS!$H$142:$J$203,2,FALSE),0)</f>
        <v>0</v>
      </c>
      <c r="AV205" s="98">
        <f>IFERROR(VLOOKUP(B205,OBJECTIFS!$F$208:$H$269,3,FALSE),0)</f>
        <v>0</v>
      </c>
      <c r="AW205" s="81">
        <f t="shared" si="33"/>
        <v>0</v>
      </c>
      <c r="AX205" s="82"/>
      <c r="AY205" s="99" t="str">
        <f t="shared" ca="1" si="34"/>
        <v/>
      </c>
      <c r="AZ205" s="63"/>
      <c r="BA205" s="100">
        <f t="shared" ca="1" si="35"/>
        <v>0</v>
      </c>
      <c r="BB205" s="64" t="str">
        <f t="shared" ca="1" si="36"/>
        <v/>
      </c>
      <c r="BC205" s="101" t="str">
        <f t="shared" ca="1" si="37"/>
        <v/>
      </c>
    </row>
    <row r="206" spans="1:55" x14ac:dyDescent="0.2">
      <c r="A206" s="21"/>
      <c r="B206" s="22"/>
      <c r="C206" s="22"/>
      <c r="D206" s="23"/>
      <c r="E206" s="24"/>
      <c r="F206" s="34"/>
      <c r="H206" s="89" t="str">
        <f>IF(OR(D206="",F206="",A206=""),"",IF(E206="oui",0,IF(D206=OBJECTIFS!$C$45,VLOOKUP(F206,OBJECTIFS!$C$9:$D$11,2,FALSE),IF(D206=OBJECTIFS!$C$46,VLOOKUP(F206,OBJECTIFS!$C$16:$D$18,2,FALSE),IF(D206=OBJECTIFS!$C$47,VLOOKUP(F206,OBJECTIFS!$C$23:$D$25,2,FALSE),IF(D206=OBJECTIFS!$C$48,VLOOKUP(F206,OBJECTIFS!$C$30:$D$32,2,FALSE),IF(D206=OBJECTIFS!$C$49,VLOOKUP(F206,OBJECTIFS!$C$37:$D$39,2,FALSE))))))))</f>
        <v/>
      </c>
      <c r="J206" s="25"/>
      <c r="K206" s="90" t="str">
        <f>IF(OR($A206="",$D206="",J206=""),"",SUMIFS(OBJECTIFS!E$9:E$39,OBJECTIFS!$A$9:$A$39,$D206,OBJECTIFS!$C$9:$C$39,$F206))</f>
        <v/>
      </c>
      <c r="L206" s="90" t="str">
        <f>IF(OR(AND($D206=OBJECTIFS!$B$6,OBJECTIFS!E$8="dmt"),AND($D206=OBJECTIFS!$B$13,OBJECTIFS!$E$15="dmt"),AND($D206=OBJECTIFS!$B$20,OBJECTIFS!$E$22="dmt"),AND($D206=OBJECTIFS!$B$27,OBJECTIFS!$E$29="dmt"),AND($D206=OBJECTIFS!$B$34,OBJECTIFS!$E$36="dmt"),AND($D206=OBJECTIFS!$B$6,OBJECTIFS!$E$8="taux de chute"),AND($D206=OBJECTIFS!$B$13,OBJECTIFS!$E$15="taux de chute"),AND($D206=OBJECTIFS!$B$20,OBJECTIFS!$E$22="taux de chute"),AND($D206=OBJECTIFS!$B$27,OBJECTIFS!$E$29="taux de chute"),AND($D206=OBJECTIFS!$B$34,OBJECTIFS!$E$36="taux de chute")),IFERROR(K206/J206,""),IFERROR(J206/K206,""))</f>
        <v/>
      </c>
      <c r="M206" s="91">
        <f>IFERROR(IF(OR(J206="",K206="",L206=""),0,IF(L206&lt;OBJECTIFS!$E$56,0,IF(L206&lt;OBJECTIFS!$G$56,M$8*OBJECTIFS!$F$60,IF(L206&lt;OBJECTIFS!$I$56,M$8*OBJECTIFS!$H$60,M$8)))),0)</f>
        <v>0</v>
      </c>
      <c r="N206" s="161"/>
      <c r="O206" s="92" t="str">
        <f>IF(OR($A206="",$D206="",N206=""),"",SUMIFS(OBJECTIFS!F$9:F$39,OBJECTIFS!$A$9:$A$39,$D206,OBJECTIFS!$C$9:$C$39,$F206))</f>
        <v/>
      </c>
      <c r="P206" s="90" t="str">
        <f>IF(OR(AND($D206=OBJECTIFS!$B$6,OBJECTIFS!$F$8="dmt"),AND($D206=OBJECTIFS!$B$13,OBJECTIFS!$F$15="dmt"),AND($D206=OBJECTIFS!$B$20,OBJECTIFS!$F$22="dmt"),AND($D206=OBJECTIFS!$B$27,OBJECTIFS!$F$29="dmt"),AND($D206=OBJECTIFS!$B$34,OBJECTIFS!$F$36="dmt"),AND($D206=OBJECTIFS!$B$6,OBJECTIFS!$F$8="taux de chute"),AND($D206=OBJECTIFS!$B$13,OBJECTIFS!$F$15="taux de chute"),AND($D206=OBJECTIFS!$B$20,OBJECTIFS!$F$22="taux de chute"),AND($D206=OBJECTIFS!$B$27,OBJECTIFS!$F$29="taux de chute"),AND($D206=OBJECTIFS!$B$34,OBJECTIFS!$F$36="taux de chute")),IFERROR(O206/N206,""),IFERROR(N206/O206,""))</f>
        <v/>
      </c>
      <c r="Q206" s="91">
        <f>IFERROR(IF(OR(N206="",O206="",P206=""),0,IF(P206&lt;OBJECTIFS!$E$56,0,IF(P206&lt;OBJECTIFS!$G$56,Q$8*OBJECTIFS!$F$60,IF(P206&lt;OBJECTIFS!$I$56,Q$8*OBJECTIFS!$H$60,Q$8)))),0)</f>
        <v>0</v>
      </c>
      <c r="R206" s="164"/>
      <c r="S206" s="93" t="str">
        <f>IF(OR($A206="",$D206="",R206=""),"",SUMIFS(OBJECTIFS!G$9:G$39,OBJECTIFS!$A$9:$A$39,$D206,OBJECTIFS!$C$9:$C$39,$F206))</f>
        <v/>
      </c>
      <c r="T206" s="90" t="str">
        <f>IF(OR(AND($D206=OBJECTIFS!$B$6,OBJECTIFS!G$8="dmt"),AND($D206=OBJECTIFS!$B$13,OBJECTIFS!$G$15="dmt"),AND($D206=OBJECTIFS!$B$20,OBJECTIFS!$G$22="dmt"),AND($D206=OBJECTIFS!$B$27,OBJECTIFS!$G$29="dmt"),AND($D206=OBJECTIFS!$B$34,OBJECTIFS!$G$36="dmt"),AND($D206=OBJECTIFS!$B$6,OBJECTIFS!$G$8="taux de chute"),AND($D206=OBJECTIFS!$B$13,OBJECTIFS!$G$15="taux de chute"),AND($D206=OBJECTIFS!$B$20,OBJECTIFS!$G$22="taux de chute"),AND($D206=OBJECTIFS!$B$27,OBJECTIFS!$G$29="taux de chute"),AND($D206=OBJECTIFS!$B$34,OBJECTIFS!$G$36="taux de chute")),IFERROR(S206/R206,""),IFERROR(R206/S206,""))</f>
        <v/>
      </c>
      <c r="U206" s="94">
        <f>IFERROR(IF(OR(R206="",S206="",T206=""),0,IF(T206&lt;OBJECTIFS!$E$56,0,IF(T206&lt;OBJECTIFS!$G$56,U$8*OBJECTIFS!$F$60,IF(T206&lt;OBJECTIFS!$I$56,U$8*OBJECTIFS!$H$60,U$8)))),0)</f>
        <v>0</v>
      </c>
      <c r="V206" s="25"/>
      <c r="W206" s="90" t="str">
        <f>IF(OR($A206="",$D206="",V206=""),"",SUMIFS(OBJECTIFS!H$9:H$39,OBJECTIFS!$A$9:$A$39,$D206,OBJECTIFS!$C$9:$C$39,$F206))</f>
        <v/>
      </c>
      <c r="X206" s="90" t="str">
        <f>IF(OR(AND($D206=OBJECTIFS!$B$6,OBJECTIFS!H$8="dmt"),AND($D206=OBJECTIFS!$B$13,OBJECTIFS!$H$15="dmt"),AND($D206=OBJECTIFS!$B$20,OBJECTIFS!$H$22="dmt"),AND($D206=OBJECTIFS!$B$27,OBJECTIFS!$H$29="dmt"),AND($D206=OBJECTIFS!$B$34,OBJECTIFS!$H$36="dmt"),AND($D206=OBJECTIFS!$B$6,OBJECTIFS!$H$8="taux de chute"),AND($D206=OBJECTIFS!$B$13,OBJECTIFS!$H$15="taux de chute"),AND($D206=OBJECTIFS!$B$20,OBJECTIFS!$H$22="taux de chute"),AND($D206=OBJECTIFS!$B$27,OBJECTIFS!$H$29="taux de chute"),AND($D206=OBJECTIFS!$B$34,OBJECTIFS!$H$36="taux de chute")),IFERROR(W206/V206,""),IFERROR(V206/W206,""))</f>
        <v/>
      </c>
      <c r="Y206" s="91">
        <f>IFERROR(IF(OR(V206="",W206="",X206=""),0,IF(X206&lt;OBJECTIFS!$E$56,0,IF(X206&lt;OBJECTIFS!$G$56,Y$8*OBJECTIFS!$F$60,IF(X206&lt;OBJECTIFS!$I$56,Y$8*OBJECTIFS!$H$60,Y$8)))),0)</f>
        <v>0</v>
      </c>
      <c r="Z206" s="167"/>
      <c r="AA206" s="90" t="str">
        <f>IF(OR($A206="",$D206="",Z206=""),"",SUMIFS(OBJECTIFS!I$9:I$39,OBJECTIFS!$A$9:$A$39,$D206,OBJECTIFS!$C$9:$C$39,$F206))</f>
        <v/>
      </c>
      <c r="AB206" s="90" t="str">
        <f>IF(OR(AND($D206=OBJECTIFS!$B$6,OBJECTIFS!I$8="dmt"),AND($D206=OBJECTIFS!$B$13,OBJECTIFS!$I$15="dmt"),AND($D206=OBJECTIFS!$B$20,OBJECTIFS!$I$22="dmt"),AND($D206=OBJECTIFS!$B$27,OBJECTIFS!$I$29="dmt"),AND($D206=OBJECTIFS!$B$34,OBJECTIFS!$I$36="dmt"),AND($D206=OBJECTIFS!$B$6,OBJECTIFS!$I$8="taux de chute"),AND($D206=OBJECTIFS!$B$13,OBJECTIFS!$I$15="taux de chute"),AND($D206=OBJECTIFS!$B$20,OBJECTIFS!$I$22="taux de chute"),AND($D206=OBJECTIFS!$B$27,OBJECTIFS!$I$29="taux de chute"),AND($D206=OBJECTIFS!$B$34,OBJECTIFS!$I$36="taux de chute")),IFERROR(AA206/Z206,""),IFERROR(Z206/AA206,""))</f>
        <v/>
      </c>
      <c r="AC206" s="95">
        <f>IFERROR(IF(OR(Z206="",AA206="",AB206=""),0,IF(AB206&lt;OBJECTIFS!$E$56,0,IF(AB206&lt;OBJECTIFS!$G$56,AC$8*OBJECTIFS!$F$60,IF(AB206&lt;OBJECTIFS!$I$56,AC$8*OBJECTIFS!$H$60,AC$8)))),0)</f>
        <v>0</v>
      </c>
      <c r="AD206" s="281"/>
      <c r="AE206" s="282"/>
      <c r="AF206" s="96">
        <f t="shared" ca="1" si="29"/>
        <v>0</v>
      </c>
      <c r="AG206" s="63"/>
      <c r="AH206" s="169"/>
      <c r="AI206" s="24"/>
      <c r="AJ206" s="24"/>
      <c r="AK206" s="24"/>
      <c r="AL206" s="24"/>
      <c r="AM206" s="79">
        <f t="shared" si="30"/>
        <v>0</v>
      </c>
      <c r="AN206" s="79">
        <v>22</v>
      </c>
      <c r="AO206" s="80">
        <f t="shared" si="31"/>
        <v>0</v>
      </c>
      <c r="AP206" s="81" t="str">
        <f t="shared" ca="1" si="32"/>
        <v/>
      </c>
      <c r="AQ206" s="82"/>
      <c r="AR206" s="97">
        <f>IFERROR(VLOOKUP(B206,OBJECTIFS!$C$76:$E$137,2,FALSE),0)</f>
        <v>0</v>
      </c>
      <c r="AS206" s="98">
        <f>IFERROR(VLOOKUP(B206,OBJECTIFS!$H$76:$J$137,2,FALSE),0)</f>
        <v>0</v>
      </c>
      <c r="AT206" s="98">
        <f>IFERROR(VLOOKUP(B206,OBJECTIFS!$C$142:$E$203,2,FALSE),0)</f>
        <v>0</v>
      </c>
      <c r="AU206" s="98">
        <f>IFERROR(VLOOKUP(B206,OBJECTIFS!$H$142:$J$203,2,FALSE),0)</f>
        <v>0</v>
      </c>
      <c r="AV206" s="98">
        <f>IFERROR(VLOOKUP(B206,OBJECTIFS!$F$208:$H$269,3,FALSE),0)</f>
        <v>0</v>
      </c>
      <c r="AW206" s="81">
        <f t="shared" si="33"/>
        <v>0</v>
      </c>
      <c r="AX206" s="82"/>
      <c r="AY206" s="99" t="str">
        <f t="shared" ca="1" si="34"/>
        <v/>
      </c>
      <c r="AZ206" s="63"/>
      <c r="BA206" s="100">
        <f t="shared" ca="1" si="35"/>
        <v>0</v>
      </c>
      <c r="BB206" s="64" t="str">
        <f t="shared" ca="1" si="36"/>
        <v/>
      </c>
      <c r="BC206" s="101" t="str">
        <f t="shared" ca="1" si="37"/>
        <v/>
      </c>
    </row>
    <row r="207" spans="1:55" x14ac:dyDescent="0.2">
      <c r="A207" s="21"/>
      <c r="B207" s="22"/>
      <c r="C207" s="22"/>
      <c r="D207" s="23"/>
      <c r="E207" s="24"/>
      <c r="F207" s="34"/>
      <c r="H207" s="89" t="str">
        <f>IF(OR(D207="",F207="",A207=""),"",IF(E207="oui",0,IF(D207=OBJECTIFS!$C$45,VLOOKUP(F207,OBJECTIFS!$C$9:$D$11,2,FALSE),IF(D207=OBJECTIFS!$C$46,VLOOKUP(F207,OBJECTIFS!$C$16:$D$18,2,FALSE),IF(D207=OBJECTIFS!$C$47,VLOOKUP(F207,OBJECTIFS!$C$23:$D$25,2,FALSE),IF(D207=OBJECTIFS!$C$48,VLOOKUP(F207,OBJECTIFS!$C$30:$D$32,2,FALSE),IF(D207=OBJECTIFS!$C$49,VLOOKUP(F207,OBJECTIFS!$C$37:$D$39,2,FALSE))))))))</f>
        <v/>
      </c>
      <c r="J207" s="25"/>
      <c r="K207" s="90" t="str">
        <f>IF(OR($A207="",$D207="",J207=""),"",SUMIFS(OBJECTIFS!E$9:E$39,OBJECTIFS!$A$9:$A$39,$D207,OBJECTIFS!$C$9:$C$39,$F207))</f>
        <v/>
      </c>
      <c r="L207" s="90" t="str">
        <f>IF(OR(AND($D207=OBJECTIFS!$B$6,OBJECTIFS!E$8="dmt"),AND($D207=OBJECTIFS!$B$13,OBJECTIFS!$E$15="dmt"),AND($D207=OBJECTIFS!$B$20,OBJECTIFS!$E$22="dmt"),AND($D207=OBJECTIFS!$B$27,OBJECTIFS!$E$29="dmt"),AND($D207=OBJECTIFS!$B$34,OBJECTIFS!$E$36="dmt"),AND($D207=OBJECTIFS!$B$6,OBJECTIFS!$E$8="taux de chute"),AND($D207=OBJECTIFS!$B$13,OBJECTIFS!$E$15="taux de chute"),AND($D207=OBJECTIFS!$B$20,OBJECTIFS!$E$22="taux de chute"),AND($D207=OBJECTIFS!$B$27,OBJECTIFS!$E$29="taux de chute"),AND($D207=OBJECTIFS!$B$34,OBJECTIFS!$E$36="taux de chute")),IFERROR(K207/J207,""),IFERROR(J207/K207,""))</f>
        <v/>
      </c>
      <c r="M207" s="91">
        <f>IFERROR(IF(OR(J207="",K207="",L207=""),0,IF(L207&lt;OBJECTIFS!$E$56,0,IF(L207&lt;OBJECTIFS!$G$56,M$8*OBJECTIFS!$F$60,IF(L207&lt;OBJECTIFS!$I$56,M$8*OBJECTIFS!$H$60,M$8)))),0)</f>
        <v>0</v>
      </c>
      <c r="N207" s="161"/>
      <c r="O207" s="92" t="str">
        <f>IF(OR($A207="",$D207="",N207=""),"",SUMIFS(OBJECTIFS!F$9:F$39,OBJECTIFS!$A$9:$A$39,$D207,OBJECTIFS!$C$9:$C$39,$F207))</f>
        <v/>
      </c>
      <c r="P207" s="90" t="str">
        <f>IF(OR(AND($D207=OBJECTIFS!$B$6,OBJECTIFS!$F$8="dmt"),AND($D207=OBJECTIFS!$B$13,OBJECTIFS!$F$15="dmt"),AND($D207=OBJECTIFS!$B$20,OBJECTIFS!$F$22="dmt"),AND($D207=OBJECTIFS!$B$27,OBJECTIFS!$F$29="dmt"),AND($D207=OBJECTIFS!$B$34,OBJECTIFS!$F$36="dmt"),AND($D207=OBJECTIFS!$B$6,OBJECTIFS!$F$8="taux de chute"),AND($D207=OBJECTIFS!$B$13,OBJECTIFS!$F$15="taux de chute"),AND($D207=OBJECTIFS!$B$20,OBJECTIFS!$F$22="taux de chute"),AND($D207=OBJECTIFS!$B$27,OBJECTIFS!$F$29="taux de chute"),AND($D207=OBJECTIFS!$B$34,OBJECTIFS!$F$36="taux de chute")),IFERROR(O207/N207,""),IFERROR(N207/O207,""))</f>
        <v/>
      </c>
      <c r="Q207" s="91">
        <f>IFERROR(IF(OR(N207="",O207="",P207=""),0,IF(P207&lt;OBJECTIFS!$E$56,0,IF(P207&lt;OBJECTIFS!$G$56,Q$8*OBJECTIFS!$F$60,IF(P207&lt;OBJECTIFS!$I$56,Q$8*OBJECTIFS!$H$60,Q$8)))),0)</f>
        <v>0</v>
      </c>
      <c r="R207" s="164"/>
      <c r="S207" s="93" t="str">
        <f>IF(OR($A207="",$D207="",R207=""),"",SUMIFS(OBJECTIFS!G$9:G$39,OBJECTIFS!$A$9:$A$39,$D207,OBJECTIFS!$C$9:$C$39,$F207))</f>
        <v/>
      </c>
      <c r="T207" s="90" t="str">
        <f>IF(OR(AND($D207=OBJECTIFS!$B$6,OBJECTIFS!G$8="dmt"),AND($D207=OBJECTIFS!$B$13,OBJECTIFS!$G$15="dmt"),AND($D207=OBJECTIFS!$B$20,OBJECTIFS!$G$22="dmt"),AND($D207=OBJECTIFS!$B$27,OBJECTIFS!$G$29="dmt"),AND($D207=OBJECTIFS!$B$34,OBJECTIFS!$G$36="dmt"),AND($D207=OBJECTIFS!$B$6,OBJECTIFS!$G$8="taux de chute"),AND($D207=OBJECTIFS!$B$13,OBJECTIFS!$G$15="taux de chute"),AND($D207=OBJECTIFS!$B$20,OBJECTIFS!$G$22="taux de chute"),AND($D207=OBJECTIFS!$B$27,OBJECTIFS!$G$29="taux de chute"),AND($D207=OBJECTIFS!$B$34,OBJECTIFS!$G$36="taux de chute")),IFERROR(S207/R207,""),IFERROR(R207/S207,""))</f>
        <v/>
      </c>
      <c r="U207" s="94">
        <f>IFERROR(IF(OR(R207="",S207="",T207=""),0,IF(T207&lt;OBJECTIFS!$E$56,0,IF(T207&lt;OBJECTIFS!$G$56,U$8*OBJECTIFS!$F$60,IF(T207&lt;OBJECTIFS!$I$56,U$8*OBJECTIFS!$H$60,U$8)))),0)</f>
        <v>0</v>
      </c>
      <c r="V207" s="25"/>
      <c r="W207" s="90" t="str">
        <f>IF(OR($A207="",$D207="",V207=""),"",SUMIFS(OBJECTIFS!H$9:H$39,OBJECTIFS!$A$9:$A$39,$D207,OBJECTIFS!$C$9:$C$39,$F207))</f>
        <v/>
      </c>
      <c r="X207" s="90" t="str">
        <f>IF(OR(AND($D207=OBJECTIFS!$B$6,OBJECTIFS!H$8="dmt"),AND($D207=OBJECTIFS!$B$13,OBJECTIFS!$H$15="dmt"),AND($D207=OBJECTIFS!$B$20,OBJECTIFS!$H$22="dmt"),AND($D207=OBJECTIFS!$B$27,OBJECTIFS!$H$29="dmt"),AND($D207=OBJECTIFS!$B$34,OBJECTIFS!$H$36="dmt"),AND($D207=OBJECTIFS!$B$6,OBJECTIFS!$H$8="taux de chute"),AND($D207=OBJECTIFS!$B$13,OBJECTIFS!$H$15="taux de chute"),AND($D207=OBJECTIFS!$B$20,OBJECTIFS!$H$22="taux de chute"),AND($D207=OBJECTIFS!$B$27,OBJECTIFS!$H$29="taux de chute"),AND($D207=OBJECTIFS!$B$34,OBJECTIFS!$H$36="taux de chute")),IFERROR(W207/V207,""),IFERROR(V207/W207,""))</f>
        <v/>
      </c>
      <c r="Y207" s="91">
        <f>IFERROR(IF(OR(V207="",W207="",X207=""),0,IF(X207&lt;OBJECTIFS!$E$56,0,IF(X207&lt;OBJECTIFS!$G$56,Y$8*OBJECTIFS!$F$60,IF(X207&lt;OBJECTIFS!$I$56,Y$8*OBJECTIFS!$H$60,Y$8)))),0)</f>
        <v>0</v>
      </c>
      <c r="Z207" s="167"/>
      <c r="AA207" s="90" t="str">
        <f>IF(OR($A207="",$D207="",Z207=""),"",SUMIFS(OBJECTIFS!I$9:I$39,OBJECTIFS!$A$9:$A$39,$D207,OBJECTIFS!$C$9:$C$39,$F207))</f>
        <v/>
      </c>
      <c r="AB207" s="90" t="str">
        <f>IF(OR(AND($D207=OBJECTIFS!$B$6,OBJECTIFS!I$8="dmt"),AND($D207=OBJECTIFS!$B$13,OBJECTIFS!$I$15="dmt"),AND($D207=OBJECTIFS!$B$20,OBJECTIFS!$I$22="dmt"),AND($D207=OBJECTIFS!$B$27,OBJECTIFS!$I$29="dmt"),AND($D207=OBJECTIFS!$B$34,OBJECTIFS!$I$36="dmt"),AND($D207=OBJECTIFS!$B$6,OBJECTIFS!$I$8="taux de chute"),AND($D207=OBJECTIFS!$B$13,OBJECTIFS!$I$15="taux de chute"),AND($D207=OBJECTIFS!$B$20,OBJECTIFS!$I$22="taux de chute"),AND($D207=OBJECTIFS!$B$27,OBJECTIFS!$I$29="taux de chute"),AND($D207=OBJECTIFS!$B$34,OBJECTIFS!$I$36="taux de chute")),IFERROR(AA207/Z207,""),IFERROR(Z207/AA207,""))</f>
        <v/>
      </c>
      <c r="AC207" s="95">
        <f>IFERROR(IF(OR(Z207="",AA207="",AB207=""),0,IF(AB207&lt;OBJECTIFS!$E$56,0,IF(AB207&lt;OBJECTIFS!$G$56,AC$8*OBJECTIFS!$F$60,IF(AB207&lt;OBJECTIFS!$I$56,AC$8*OBJECTIFS!$H$60,AC$8)))),0)</f>
        <v>0</v>
      </c>
      <c r="AD207" s="281"/>
      <c r="AE207" s="282"/>
      <c r="AF207" s="96">
        <f t="shared" ca="1" si="29"/>
        <v>0</v>
      </c>
      <c r="AG207" s="63"/>
      <c r="AH207" s="169"/>
      <c r="AI207" s="24"/>
      <c r="AJ207" s="24"/>
      <c r="AK207" s="24"/>
      <c r="AL207" s="24"/>
      <c r="AM207" s="79">
        <f t="shared" si="30"/>
        <v>0</v>
      </c>
      <c r="AN207" s="79">
        <v>22</v>
      </c>
      <c r="AO207" s="80">
        <f t="shared" si="31"/>
        <v>0</v>
      </c>
      <c r="AP207" s="81" t="str">
        <f t="shared" ca="1" si="32"/>
        <v/>
      </c>
      <c r="AQ207" s="82"/>
      <c r="AR207" s="97">
        <f>IFERROR(VLOOKUP(B207,OBJECTIFS!$C$76:$E$137,2,FALSE),0)</f>
        <v>0</v>
      </c>
      <c r="AS207" s="98">
        <f>IFERROR(VLOOKUP(B207,OBJECTIFS!$H$76:$J$137,2,FALSE),0)</f>
        <v>0</v>
      </c>
      <c r="AT207" s="98">
        <f>IFERROR(VLOOKUP(B207,OBJECTIFS!$C$142:$E$203,2,FALSE),0)</f>
        <v>0</v>
      </c>
      <c r="AU207" s="98">
        <f>IFERROR(VLOOKUP(B207,OBJECTIFS!$H$142:$J$203,2,FALSE),0)</f>
        <v>0</v>
      </c>
      <c r="AV207" s="98">
        <f>IFERROR(VLOOKUP(B207,OBJECTIFS!$F$208:$H$269,3,FALSE),0)</f>
        <v>0</v>
      </c>
      <c r="AW207" s="81">
        <f t="shared" si="33"/>
        <v>0</v>
      </c>
      <c r="AX207" s="82"/>
      <c r="AY207" s="99" t="str">
        <f t="shared" ca="1" si="34"/>
        <v/>
      </c>
      <c r="AZ207" s="63"/>
      <c r="BA207" s="100">
        <f t="shared" ca="1" si="35"/>
        <v>0</v>
      </c>
      <c r="BB207" s="64" t="str">
        <f t="shared" ca="1" si="36"/>
        <v/>
      </c>
      <c r="BC207" s="101" t="str">
        <f t="shared" ca="1" si="37"/>
        <v/>
      </c>
    </row>
    <row r="208" spans="1:55" x14ac:dyDescent="0.2">
      <c r="A208" s="21"/>
      <c r="B208" s="22"/>
      <c r="C208" s="22"/>
      <c r="D208" s="23"/>
      <c r="E208" s="24"/>
      <c r="F208" s="34"/>
      <c r="H208" s="89" t="str">
        <f>IF(OR(D208="",F208="",A208=""),"",IF(E208="oui",0,IF(D208=OBJECTIFS!$C$45,VLOOKUP(F208,OBJECTIFS!$C$9:$D$11,2,FALSE),IF(D208=OBJECTIFS!$C$46,VLOOKUP(F208,OBJECTIFS!$C$16:$D$18,2,FALSE),IF(D208=OBJECTIFS!$C$47,VLOOKUP(F208,OBJECTIFS!$C$23:$D$25,2,FALSE),IF(D208=OBJECTIFS!$C$48,VLOOKUP(F208,OBJECTIFS!$C$30:$D$32,2,FALSE),IF(D208=OBJECTIFS!$C$49,VLOOKUP(F208,OBJECTIFS!$C$37:$D$39,2,FALSE))))))))</f>
        <v/>
      </c>
      <c r="J208" s="25"/>
      <c r="K208" s="90" t="str">
        <f>IF(OR($A208="",$D208="",J208=""),"",SUMIFS(OBJECTIFS!E$9:E$39,OBJECTIFS!$A$9:$A$39,$D208,OBJECTIFS!$C$9:$C$39,$F208))</f>
        <v/>
      </c>
      <c r="L208" s="90" t="str">
        <f>IF(OR(AND($D208=OBJECTIFS!$B$6,OBJECTIFS!E$8="dmt"),AND($D208=OBJECTIFS!$B$13,OBJECTIFS!$E$15="dmt"),AND($D208=OBJECTIFS!$B$20,OBJECTIFS!$E$22="dmt"),AND($D208=OBJECTIFS!$B$27,OBJECTIFS!$E$29="dmt"),AND($D208=OBJECTIFS!$B$34,OBJECTIFS!$E$36="dmt"),AND($D208=OBJECTIFS!$B$6,OBJECTIFS!$E$8="taux de chute"),AND($D208=OBJECTIFS!$B$13,OBJECTIFS!$E$15="taux de chute"),AND($D208=OBJECTIFS!$B$20,OBJECTIFS!$E$22="taux de chute"),AND($D208=OBJECTIFS!$B$27,OBJECTIFS!$E$29="taux de chute"),AND($D208=OBJECTIFS!$B$34,OBJECTIFS!$E$36="taux de chute")),IFERROR(K208/J208,""),IFERROR(J208/K208,""))</f>
        <v/>
      </c>
      <c r="M208" s="91">
        <f>IFERROR(IF(OR(J208="",K208="",L208=""),0,IF(L208&lt;OBJECTIFS!$E$56,0,IF(L208&lt;OBJECTIFS!$G$56,M$8*OBJECTIFS!$F$60,IF(L208&lt;OBJECTIFS!$I$56,M$8*OBJECTIFS!$H$60,M$8)))),0)</f>
        <v>0</v>
      </c>
      <c r="N208" s="161"/>
      <c r="O208" s="92" t="str">
        <f>IF(OR($A208="",$D208="",N208=""),"",SUMIFS(OBJECTIFS!F$9:F$39,OBJECTIFS!$A$9:$A$39,$D208,OBJECTIFS!$C$9:$C$39,$F208))</f>
        <v/>
      </c>
      <c r="P208" s="90" t="str">
        <f>IF(OR(AND($D208=OBJECTIFS!$B$6,OBJECTIFS!$F$8="dmt"),AND($D208=OBJECTIFS!$B$13,OBJECTIFS!$F$15="dmt"),AND($D208=OBJECTIFS!$B$20,OBJECTIFS!$F$22="dmt"),AND($D208=OBJECTIFS!$B$27,OBJECTIFS!$F$29="dmt"),AND($D208=OBJECTIFS!$B$34,OBJECTIFS!$F$36="dmt"),AND($D208=OBJECTIFS!$B$6,OBJECTIFS!$F$8="taux de chute"),AND($D208=OBJECTIFS!$B$13,OBJECTIFS!$F$15="taux de chute"),AND($D208=OBJECTIFS!$B$20,OBJECTIFS!$F$22="taux de chute"),AND($D208=OBJECTIFS!$B$27,OBJECTIFS!$F$29="taux de chute"),AND($D208=OBJECTIFS!$B$34,OBJECTIFS!$F$36="taux de chute")),IFERROR(O208/N208,""),IFERROR(N208/O208,""))</f>
        <v/>
      </c>
      <c r="Q208" s="91">
        <f>IFERROR(IF(OR(N208="",O208="",P208=""),0,IF(P208&lt;OBJECTIFS!$E$56,0,IF(P208&lt;OBJECTIFS!$G$56,Q$8*OBJECTIFS!$F$60,IF(P208&lt;OBJECTIFS!$I$56,Q$8*OBJECTIFS!$H$60,Q$8)))),0)</f>
        <v>0</v>
      </c>
      <c r="R208" s="164"/>
      <c r="S208" s="93" t="str">
        <f>IF(OR($A208="",$D208="",R208=""),"",SUMIFS(OBJECTIFS!G$9:G$39,OBJECTIFS!$A$9:$A$39,$D208,OBJECTIFS!$C$9:$C$39,$F208))</f>
        <v/>
      </c>
      <c r="T208" s="90" t="str">
        <f>IF(OR(AND($D208=OBJECTIFS!$B$6,OBJECTIFS!G$8="dmt"),AND($D208=OBJECTIFS!$B$13,OBJECTIFS!$G$15="dmt"),AND($D208=OBJECTIFS!$B$20,OBJECTIFS!$G$22="dmt"),AND($D208=OBJECTIFS!$B$27,OBJECTIFS!$G$29="dmt"),AND($D208=OBJECTIFS!$B$34,OBJECTIFS!$G$36="dmt"),AND($D208=OBJECTIFS!$B$6,OBJECTIFS!$G$8="taux de chute"),AND($D208=OBJECTIFS!$B$13,OBJECTIFS!$G$15="taux de chute"),AND($D208=OBJECTIFS!$B$20,OBJECTIFS!$G$22="taux de chute"),AND($D208=OBJECTIFS!$B$27,OBJECTIFS!$G$29="taux de chute"),AND($D208=OBJECTIFS!$B$34,OBJECTIFS!$G$36="taux de chute")),IFERROR(S208/R208,""),IFERROR(R208/S208,""))</f>
        <v/>
      </c>
      <c r="U208" s="94">
        <f>IFERROR(IF(OR(R208="",S208="",T208=""),0,IF(T208&lt;OBJECTIFS!$E$56,0,IF(T208&lt;OBJECTIFS!$G$56,U$8*OBJECTIFS!$F$60,IF(T208&lt;OBJECTIFS!$I$56,U$8*OBJECTIFS!$H$60,U$8)))),0)</f>
        <v>0</v>
      </c>
      <c r="V208" s="25"/>
      <c r="W208" s="90" t="str">
        <f>IF(OR($A208="",$D208="",V208=""),"",SUMIFS(OBJECTIFS!H$9:H$39,OBJECTIFS!$A$9:$A$39,$D208,OBJECTIFS!$C$9:$C$39,$F208))</f>
        <v/>
      </c>
      <c r="X208" s="90" t="str">
        <f>IF(OR(AND($D208=OBJECTIFS!$B$6,OBJECTIFS!H$8="dmt"),AND($D208=OBJECTIFS!$B$13,OBJECTIFS!$H$15="dmt"),AND($D208=OBJECTIFS!$B$20,OBJECTIFS!$H$22="dmt"),AND($D208=OBJECTIFS!$B$27,OBJECTIFS!$H$29="dmt"),AND($D208=OBJECTIFS!$B$34,OBJECTIFS!$H$36="dmt"),AND($D208=OBJECTIFS!$B$6,OBJECTIFS!$H$8="taux de chute"),AND($D208=OBJECTIFS!$B$13,OBJECTIFS!$H$15="taux de chute"),AND($D208=OBJECTIFS!$B$20,OBJECTIFS!$H$22="taux de chute"),AND($D208=OBJECTIFS!$B$27,OBJECTIFS!$H$29="taux de chute"),AND($D208=OBJECTIFS!$B$34,OBJECTIFS!$H$36="taux de chute")),IFERROR(W208/V208,""),IFERROR(V208/W208,""))</f>
        <v/>
      </c>
      <c r="Y208" s="91">
        <f>IFERROR(IF(OR(V208="",W208="",X208=""),0,IF(X208&lt;OBJECTIFS!$E$56,0,IF(X208&lt;OBJECTIFS!$G$56,Y$8*OBJECTIFS!$F$60,IF(X208&lt;OBJECTIFS!$I$56,Y$8*OBJECTIFS!$H$60,Y$8)))),0)</f>
        <v>0</v>
      </c>
      <c r="Z208" s="167"/>
      <c r="AA208" s="90" t="str">
        <f>IF(OR($A208="",$D208="",Z208=""),"",SUMIFS(OBJECTIFS!I$9:I$39,OBJECTIFS!$A$9:$A$39,$D208,OBJECTIFS!$C$9:$C$39,$F208))</f>
        <v/>
      </c>
      <c r="AB208" s="90" t="str">
        <f>IF(OR(AND($D208=OBJECTIFS!$B$6,OBJECTIFS!I$8="dmt"),AND($D208=OBJECTIFS!$B$13,OBJECTIFS!$I$15="dmt"),AND($D208=OBJECTIFS!$B$20,OBJECTIFS!$I$22="dmt"),AND($D208=OBJECTIFS!$B$27,OBJECTIFS!$I$29="dmt"),AND($D208=OBJECTIFS!$B$34,OBJECTIFS!$I$36="dmt"),AND($D208=OBJECTIFS!$B$6,OBJECTIFS!$I$8="taux de chute"),AND($D208=OBJECTIFS!$B$13,OBJECTIFS!$I$15="taux de chute"),AND($D208=OBJECTIFS!$B$20,OBJECTIFS!$I$22="taux de chute"),AND($D208=OBJECTIFS!$B$27,OBJECTIFS!$I$29="taux de chute"),AND($D208=OBJECTIFS!$B$34,OBJECTIFS!$I$36="taux de chute")),IFERROR(AA208/Z208,""),IFERROR(Z208/AA208,""))</f>
        <v/>
      </c>
      <c r="AC208" s="95">
        <f>IFERROR(IF(OR(Z208="",AA208="",AB208=""),0,IF(AB208&lt;OBJECTIFS!$E$56,0,IF(AB208&lt;OBJECTIFS!$G$56,AC$8*OBJECTIFS!$F$60,IF(AB208&lt;OBJECTIFS!$I$56,AC$8*OBJECTIFS!$H$60,AC$8)))),0)</f>
        <v>0</v>
      </c>
      <c r="AD208" s="281"/>
      <c r="AE208" s="282"/>
      <c r="AF208" s="96">
        <f t="shared" ca="1" si="29"/>
        <v>0</v>
      </c>
      <c r="AG208" s="63"/>
      <c r="AH208" s="169"/>
      <c r="AI208" s="24"/>
      <c r="AJ208" s="24"/>
      <c r="AK208" s="24"/>
      <c r="AL208" s="24"/>
      <c r="AM208" s="79">
        <f t="shared" si="30"/>
        <v>0</v>
      </c>
      <c r="AN208" s="79">
        <v>22</v>
      </c>
      <c r="AO208" s="80">
        <f t="shared" si="31"/>
        <v>0</v>
      </c>
      <c r="AP208" s="81" t="str">
        <f t="shared" ca="1" si="32"/>
        <v/>
      </c>
      <c r="AQ208" s="82"/>
      <c r="AR208" s="97">
        <f>IFERROR(VLOOKUP(B208,OBJECTIFS!$C$76:$E$137,2,FALSE),0)</f>
        <v>0</v>
      </c>
      <c r="AS208" s="98">
        <f>IFERROR(VLOOKUP(B208,OBJECTIFS!$H$76:$J$137,2,FALSE),0)</f>
        <v>0</v>
      </c>
      <c r="AT208" s="98">
        <f>IFERROR(VLOOKUP(B208,OBJECTIFS!$C$142:$E$203,2,FALSE),0)</f>
        <v>0</v>
      </c>
      <c r="AU208" s="98">
        <f>IFERROR(VLOOKUP(B208,OBJECTIFS!$H$142:$J$203,2,FALSE),0)</f>
        <v>0</v>
      </c>
      <c r="AV208" s="98">
        <f>IFERROR(VLOOKUP(B208,OBJECTIFS!$F$208:$H$269,3,FALSE),0)</f>
        <v>0</v>
      </c>
      <c r="AW208" s="81">
        <f t="shared" si="33"/>
        <v>0</v>
      </c>
      <c r="AX208" s="82"/>
      <c r="AY208" s="99" t="str">
        <f t="shared" ca="1" si="34"/>
        <v/>
      </c>
      <c r="AZ208" s="63"/>
      <c r="BA208" s="100">
        <f t="shared" ca="1" si="35"/>
        <v>0</v>
      </c>
      <c r="BB208" s="64" t="str">
        <f t="shared" ca="1" si="36"/>
        <v/>
      </c>
      <c r="BC208" s="101" t="str">
        <f t="shared" ca="1" si="37"/>
        <v/>
      </c>
    </row>
    <row r="209" spans="1:55" x14ac:dyDescent="0.2">
      <c r="A209" s="21"/>
      <c r="B209" s="22"/>
      <c r="C209" s="22"/>
      <c r="D209" s="23"/>
      <c r="E209" s="24"/>
      <c r="F209" s="34"/>
      <c r="H209" s="89" t="str">
        <f>IF(OR(D209="",F209="",A209=""),"",IF(E209="oui",0,IF(D209=OBJECTIFS!$C$45,VLOOKUP(F209,OBJECTIFS!$C$9:$D$11,2,FALSE),IF(D209=OBJECTIFS!$C$46,VLOOKUP(F209,OBJECTIFS!$C$16:$D$18,2,FALSE),IF(D209=OBJECTIFS!$C$47,VLOOKUP(F209,OBJECTIFS!$C$23:$D$25,2,FALSE),IF(D209=OBJECTIFS!$C$48,VLOOKUP(F209,OBJECTIFS!$C$30:$D$32,2,FALSE),IF(D209=OBJECTIFS!$C$49,VLOOKUP(F209,OBJECTIFS!$C$37:$D$39,2,FALSE))))))))</f>
        <v/>
      </c>
      <c r="J209" s="25"/>
      <c r="K209" s="90" t="str">
        <f>IF(OR($A209="",$D209="",J209=""),"",SUMIFS(OBJECTIFS!E$9:E$39,OBJECTIFS!$A$9:$A$39,$D209,OBJECTIFS!$C$9:$C$39,$F209))</f>
        <v/>
      </c>
      <c r="L209" s="90" t="str">
        <f>IF(OR(AND($D209=OBJECTIFS!$B$6,OBJECTIFS!E$8="dmt"),AND($D209=OBJECTIFS!$B$13,OBJECTIFS!$E$15="dmt"),AND($D209=OBJECTIFS!$B$20,OBJECTIFS!$E$22="dmt"),AND($D209=OBJECTIFS!$B$27,OBJECTIFS!$E$29="dmt"),AND($D209=OBJECTIFS!$B$34,OBJECTIFS!$E$36="dmt"),AND($D209=OBJECTIFS!$B$6,OBJECTIFS!$E$8="taux de chute"),AND($D209=OBJECTIFS!$B$13,OBJECTIFS!$E$15="taux de chute"),AND($D209=OBJECTIFS!$B$20,OBJECTIFS!$E$22="taux de chute"),AND($D209=OBJECTIFS!$B$27,OBJECTIFS!$E$29="taux de chute"),AND($D209=OBJECTIFS!$B$34,OBJECTIFS!$E$36="taux de chute")),IFERROR(K209/J209,""),IFERROR(J209/K209,""))</f>
        <v/>
      </c>
      <c r="M209" s="91">
        <f>IFERROR(IF(OR(J209="",K209="",L209=""),0,IF(L209&lt;OBJECTIFS!$E$56,0,IF(L209&lt;OBJECTIFS!$G$56,M$8*OBJECTIFS!$F$60,IF(L209&lt;OBJECTIFS!$I$56,M$8*OBJECTIFS!$H$60,M$8)))),0)</f>
        <v>0</v>
      </c>
      <c r="N209" s="161"/>
      <c r="O209" s="92" t="str">
        <f>IF(OR($A209="",$D209="",N209=""),"",SUMIFS(OBJECTIFS!F$9:F$39,OBJECTIFS!$A$9:$A$39,$D209,OBJECTIFS!$C$9:$C$39,$F209))</f>
        <v/>
      </c>
      <c r="P209" s="90" t="str">
        <f>IF(OR(AND($D209=OBJECTIFS!$B$6,OBJECTIFS!$F$8="dmt"),AND($D209=OBJECTIFS!$B$13,OBJECTIFS!$F$15="dmt"),AND($D209=OBJECTIFS!$B$20,OBJECTIFS!$F$22="dmt"),AND($D209=OBJECTIFS!$B$27,OBJECTIFS!$F$29="dmt"),AND($D209=OBJECTIFS!$B$34,OBJECTIFS!$F$36="dmt"),AND($D209=OBJECTIFS!$B$6,OBJECTIFS!$F$8="taux de chute"),AND($D209=OBJECTIFS!$B$13,OBJECTIFS!$F$15="taux de chute"),AND($D209=OBJECTIFS!$B$20,OBJECTIFS!$F$22="taux de chute"),AND($D209=OBJECTIFS!$B$27,OBJECTIFS!$F$29="taux de chute"),AND($D209=OBJECTIFS!$B$34,OBJECTIFS!$F$36="taux de chute")),IFERROR(O209/N209,""),IFERROR(N209/O209,""))</f>
        <v/>
      </c>
      <c r="Q209" s="91">
        <f>IFERROR(IF(OR(N209="",O209="",P209=""),0,IF(P209&lt;OBJECTIFS!$E$56,0,IF(P209&lt;OBJECTIFS!$G$56,Q$8*OBJECTIFS!$F$60,IF(P209&lt;OBJECTIFS!$I$56,Q$8*OBJECTIFS!$H$60,Q$8)))),0)</f>
        <v>0</v>
      </c>
      <c r="R209" s="164"/>
      <c r="S209" s="93" t="str">
        <f>IF(OR($A209="",$D209="",R209=""),"",SUMIFS(OBJECTIFS!G$9:G$39,OBJECTIFS!$A$9:$A$39,$D209,OBJECTIFS!$C$9:$C$39,$F209))</f>
        <v/>
      </c>
      <c r="T209" s="90" t="str">
        <f>IF(OR(AND($D209=OBJECTIFS!$B$6,OBJECTIFS!G$8="dmt"),AND($D209=OBJECTIFS!$B$13,OBJECTIFS!$G$15="dmt"),AND($D209=OBJECTIFS!$B$20,OBJECTIFS!$G$22="dmt"),AND($D209=OBJECTIFS!$B$27,OBJECTIFS!$G$29="dmt"),AND($D209=OBJECTIFS!$B$34,OBJECTIFS!$G$36="dmt"),AND($D209=OBJECTIFS!$B$6,OBJECTIFS!$G$8="taux de chute"),AND($D209=OBJECTIFS!$B$13,OBJECTIFS!$G$15="taux de chute"),AND($D209=OBJECTIFS!$B$20,OBJECTIFS!$G$22="taux de chute"),AND($D209=OBJECTIFS!$B$27,OBJECTIFS!$G$29="taux de chute"),AND($D209=OBJECTIFS!$B$34,OBJECTIFS!$G$36="taux de chute")),IFERROR(S209/R209,""),IFERROR(R209/S209,""))</f>
        <v/>
      </c>
      <c r="U209" s="94">
        <f>IFERROR(IF(OR(R209="",S209="",T209=""),0,IF(T209&lt;OBJECTIFS!$E$56,0,IF(T209&lt;OBJECTIFS!$G$56,U$8*OBJECTIFS!$F$60,IF(T209&lt;OBJECTIFS!$I$56,U$8*OBJECTIFS!$H$60,U$8)))),0)</f>
        <v>0</v>
      </c>
      <c r="V209" s="25"/>
      <c r="W209" s="90" t="str">
        <f>IF(OR($A209="",$D209="",V209=""),"",SUMIFS(OBJECTIFS!H$9:H$39,OBJECTIFS!$A$9:$A$39,$D209,OBJECTIFS!$C$9:$C$39,$F209))</f>
        <v/>
      </c>
      <c r="X209" s="90" t="str">
        <f>IF(OR(AND($D209=OBJECTIFS!$B$6,OBJECTIFS!H$8="dmt"),AND($D209=OBJECTIFS!$B$13,OBJECTIFS!$H$15="dmt"),AND($D209=OBJECTIFS!$B$20,OBJECTIFS!$H$22="dmt"),AND($D209=OBJECTIFS!$B$27,OBJECTIFS!$H$29="dmt"),AND($D209=OBJECTIFS!$B$34,OBJECTIFS!$H$36="dmt"),AND($D209=OBJECTIFS!$B$6,OBJECTIFS!$H$8="taux de chute"),AND($D209=OBJECTIFS!$B$13,OBJECTIFS!$H$15="taux de chute"),AND($D209=OBJECTIFS!$B$20,OBJECTIFS!$H$22="taux de chute"),AND($D209=OBJECTIFS!$B$27,OBJECTIFS!$H$29="taux de chute"),AND($D209=OBJECTIFS!$B$34,OBJECTIFS!$H$36="taux de chute")),IFERROR(W209/V209,""),IFERROR(V209/W209,""))</f>
        <v/>
      </c>
      <c r="Y209" s="91">
        <f>IFERROR(IF(OR(V209="",W209="",X209=""),0,IF(X209&lt;OBJECTIFS!$E$56,0,IF(X209&lt;OBJECTIFS!$G$56,Y$8*OBJECTIFS!$F$60,IF(X209&lt;OBJECTIFS!$I$56,Y$8*OBJECTIFS!$H$60,Y$8)))),0)</f>
        <v>0</v>
      </c>
      <c r="Z209" s="167"/>
      <c r="AA209" s="90" t="str">
        <f>IF(OR($A209="",$D209="",Z209=""),"",SUMIFS(OBJECTIFS!I$9:I$39,OBJECTIFS!$A$9:$A$39,$D209,OBJECTIFS!$C$9:$C$39,$F209))</f>
        <v/>
      </c>
      <c r="AB209" s="90" t="str">
        <f>IF(OR(AND($D209=OBJECTIFS!$B$6,OBJECTIFS!I$8="dmt"),AND($D209=OBJECTIFS!$B$13,OBJECTIFS!$I$15="dmt"),AND($D209=OBJECTIFS!$B$20,OBJECTIFS!$I$22="dmt"),AND($D209=OBJECTIFS!$B$27,OBJECTIFS!$I$29="dmt"),AND($D209=OBJECTIFS!$B$34,OBJECTIFS!$I$36="dmt"),AND($D209=OBJECTIFS!$B$6,OBJECTIFS!$I$8="taux de chute"),AND($D209=OBJECTIFS!$B$13,OBJECTIFS!$I$15="taux de chute"),AND($D209=OBJECTIFS!$B$20,OBJECTIFS!$I$22="taux de chute"),AND($D209=OBJECTIFS!$B$27,OBJECTIFS!$I$29="taux de chute"),AND($D209=OBJECTIFS!$B$34,OBJECTIFS!$I$36="taux de chute")),IFERROR(AA209/Z209,""),IFERROR(Z209/AA209,""))</f>
        <v/>
      </c>
      <c r="AC209" s="95">
        <f>IFERROR(IF(OR(Z209="",AA209="",AB209=""),0,IF(AB209&lt;OBJECTIFS!$E$56,0,IF(AB209&lt;OBJECTIFS!$G$56,AC$8*OBJECTIFS!$F$60,IF(AB209&lt;OBJECTIFS!$I$56,AC$8*OBJECTIFS!$H$60,AC$8)))),0)</f>
        <v>0</v>
      </c>
      <c r="AD209" s="281"/>
      <c r="AE209" s="282"/>
      <c r="AF209" s="96">
        <f t="shared" ca="1" si="29"/>
        <v>0</v>
      </c>
      <c r="AG209" s="63"/>
      <c r="AH209" s="169"/>
      <c r="AI209" s="24"/>
      <c r="AJ209" s="24"/>
      <c r="AK209" s="24"/>
      <c r="AL209" s="24"/>
      <c r="AM209" s="79">
        <f t="shared" si="30"/>
        <v>0</v>
      </c>
      <c r="AN209" s="79">
        <v>22</v>
      </c>
      <c r="AO209" s="80">
        <f t="shared" si="31"/>
        <v>0</v>
      </c>
      <c r="AP209" s="81" t="str">
        <f t="shared" ca="1" si="32"/>
        <v/>
      </c>
      <c r="AQ209" s="82"/>
      <c r="AR209" s="97">
        <f>IFERROR(VLOOKUP(B209,OBJECTIFS!$C$76:$E$137,2,FALSE),0)</f>
        <v>0</v>
      </c>
      <c r="AS209" s="98">
        <f>IFERROR(VLOOKUP(B209,OBJECTIFS!$H$76:$J$137,2,FALSE),0)</f>
        <v>0</v>
      </c>
      <c r="AT209" s="98">
        <f>IFERROR(VLOOKUP(B209,OBJECTIFS!$C$142:$E$203,2,FALSE),0)</f>
        <v>0</v>
      </c>
      <c r="AU209" s="98">
        <f>IFERROR(VLOOKUP(B209,OBJECTIFS!$H$142:$J$203,2,FALSE),0)</f>
        <v>0</v>
      </c>
      <c r="AV209" s="98">
        <f>IFERROR(VLOOKUP(B209,OBJECTIFS!$F$208:$H$269,3,FALSE),0)</f>
        <v>0</v>
      </c>
      <c r="AW209" s="81">
        <f t="shared" si="33"/>
        <v>0</v>
      </c>
      <c r="AX209" s="82"/>
      <c r="AY209" s="99" t="str">
        <f t="shared" ca="1" si="34"/>
        <v/>
      </c>
      <c r="AZ209" s="63"/>
      <c r="BA209" s="100">
        <f t="shared" ca="1" si="35"/>
        <v>0</v>
      </c>
      <c r="BB209" s="64" t="str">
        <f t="shared" ca="1" si="36"/>
        <v/>
      </c>
      <c r="BC209" s="101" t="str">
        <f t="shared" ca="1" si="37"/>
        <v/>
      </c>
    </row>
    <row r="210" spans="1:55" x14ac:dyDescent="0.2">
      <c r="A210" s="21"/>
      <c r="B210" s="22"/>
      <c r="C210" s="22"/>
      <c r="D210" s="23"/>
      <c r="E210" s="24"/>
      <c r="F210" s="34"/>
      <c r="H210" s="89" t="str">
        <f>IF(OR(D210="",F210="",A210=""),"",IF(E210="oui",0,IF(D210=OBJECTIFS!$C$45,VLOOKUP(F210,OBJECTIFS!$C$9:$D$11,2,FALSE),IF(D210=OBJECTIFS!$C$46,VLOOKUP(F210,OBJECTIFS!$C$16:$D$18,2,FALSE),IF(D210=OBJECTIFS!$C$47,VLOOKUP(F210,OBJECTIFS!$C$23:$D$25,2,FALSE),IF(D210=OBJECTIFS!$C$48,VLOOKUP(F210,OBJECTIFS!$C$30:$D$32,2,FALSE),IF(D210=OBJECTIFS!$C$49,VLOOKUP(F210,OBJECTIFS!$C$37:$D$39,2,FALSE))))))))</f>
        <v/>
      </c>
      <c r="J210" s="25"/>
      <c r="K210" s="90" t="str">
        <f>IF(OR($A210="",$D210="",J210=""),"",SUMIFS(OBJECTIFS!E$9:E$39,OBJECTIFS!$A$9:$A$39,$D210,OBJECTIFS!$C$9:$C$39,$F210))</f>
        <v/>
      </c>
      <c r="L210" s="90" t="str">
        <f>IF(OR(AND($D210=OBJECTIFS!$B$6,OBJECTIFS!E$8="dmt"),AND($D210=OBJECTIFS!$B$13,OBJECTIFS!$E$15="dmt"),AND($D210=OBJECTIFS!$B$20,OBJECTIFS!$E$22="dmt"),AND($D210=OBJECTIFS!$B$27,OBJECTIFS!$E$29="dmt"),AND($D210=OBJECTIFS!$B$34,OBJECTIFS!$E$36="dmt"),AND($D210=OBJECTIFS!$B$6,OBJECTIFS!$E$8="taux de chute"),AND($D210=OBJECTIFS!$B$13,OBJECTIFS!$E$15="taux de chute"),AND($D210=OBJECTIFS!$B$20,OBJECTIFS!$E$22="taux de chute"),AND($D210=OBJECTIFS!$B$27,OBJECTIFS!$E$29="taux de chute"),AND($D210=OBJECTIFS!$B$34,OBJECTIFS!$E$36="taux de chute")),IFERROR(K210/J210,""),IFERROR(J210/K210,""))</f>
        <v/>
      </c>
      <c r="M210" s="91">
        <f>IFERROR(IF(OR(J210="",K210="",L210=""),0,IF(L210&lt;OBJECTIFS!$E$56,0,IF(L210&lt;OBJECTIFS!$G$56,M$8*OBJECTIFS!$F$60,IF(L210&lt;OBJECTIFS!$I$56,M$8*OBJECTIFS!$H$60,M$8)))),0)</f>
        <v>0</v>
      </c>
      <c r="N210" s="161"/>
      <c r="O210" s="92" t="str">
        <f>IF(OR($A210="",$D210="",N210=""),"",SUMIFS(OBJECTIFS!F$9:F$39,OBJECTIFS!$A$9:$A$39,$D210,OBJECTIFS!$C$9:$C$39,$F210))</f>
        <v/>
      </c>
      <c r="P210" s="90" t="str">
        <f>IF(OR(AND($D210=OBJECTIFS!$B$6,OBJECTIFS!$F$8="dmt"),AND($D210=OBJECTIFS!$B$13,OBJECTIFS!$F$15="dmt"),AND($D210=OBJECTIFS!$B$20,OBJECTIFS!$F$22="dmt"),AND($D210=OBJECTIFS!$B$27,OBJECTIFS!$F$29="dmt"),AND($D210=OBJECTIFS!$B$34,OBJECTIFS!$F$36="dmt"),AND($D210=OBJECTIFS!$B$6,OBJECTIFS!$F$8="taux de chute"),AND($D210=OBJECTIFS!$B$13,OBJECTIFS!$F$15="taux de chute"),AND($D210=OBJECTIFS!$B$20,OBJECTIFS!$F$22="taux de chute"),AND($D210=OBJECTIFS!$B$27,OBJECTIFS!$F$29="taux de chute"),AND($D210=OBJECTIFS!$B$34,OBJECTIFS!$F$36="taux de chute")),IFERROR(O210/N210,""),IFERROR(N210/O210,""))</f>
        <v/>
      </c>
      <c r="Q210" s="91">
        <f>IFERROR(IF(OR(N210="",O210="",P210=""),0,IF(P210&lt;OBJECTIFS!$E$56,0,IF(P210&lt;OBJECTIFS!$G$56,Q$8*OBJECTIFS!$F$60,IF(P210&lt;OBJECTIFS!$I$56,Q$8*OBJECTIFS!$H$60,Q$8)))),0)</f>
        <v>0</v>
      </c>
      <c r="R210" s="164"/>
      <c r="S210" s="93" t="str">
        <f>IF(OR($A210="",$D210="",R210=""),"",SUMIFS(OBJECTIFS!G$9:G$39,OBJECTIFS!$A$9:$A$39,$D210,OBJECTIFS!$C$9:$C$39,$F210))</f>
        <v/>
      </c>
      <c r="T210" s="90" t="str">
        <f>IF(OR(AND($D210=OBJECTIFS!$B$6,OBJECTIFS!G$8="dmt"),AND($D210=OBJECTIFS!$B$13,OBJECTIFS!$G$15="dmt"),AND($D210=OBJECTIFS!$B$20,OBJECTIFS!$G$22="dmt"),AND($D210=OBJECTIFS!$B$27,OBJECTIFS!$G$29="dmt"),AND($D210=OBJECTIFS!$B$34,OBJECTIFS!$G$36="dmt"),AND($D210=OBJECTIFS!$B$6,OBJECTIFS!$G$8="taux de chute"),AND($D210=OBJECTIFS!$B$13,OBJECTIFS!$G$15="taux de chute"),AND($D210=OBJECTIFS!$B$20,OBJECTIFS!$G$22="taux de chute"),AND($D210=OBJECTIFS!$B$27,OBJECTIFS!$G$29="taux de chute"),AND($D210=OBJECTIFS!$B$34,OBJECTIFS!$G$36="taux de chute")),IFERROR(S210/R210,""),IFERROR(R210/S210,""))</f>
        <v/>
      </c>
      <c r="U210" s="94">
        <f>IFERROR(IF(OR(R210="",S210="",T210=""),0,IF(T210&lt;OBJECTIFS!$E$56,0,IF(T210&lt;OBJECTIFS!$G$56,U$8*OBJECTIFS!$F$60,IF(T210&lt;OBJECTIFS!$I$56,U$8*OBJECTIFS!$H$60,U$8)))),0)</f>
        <v>0</v>
      </c>
      <c r="V210" s="25"/>
      <c r="W210" s="90" t="str">
        <f>IF(OR($A210="",$D210="",V210=""),"",SUMIFS(OBJECTIFS!H$9:H$39,OBJECTIFS!$A$9:$A$39,$D210,OBJECTIFS!$C$9:$C$39,$F210))</f>
        <v/>
      </c>
      <c r="X210" s="90" t="str">
        <f>IF(OR(AND($D210=OBJECTIFS!$B$6,OBJECTIFS!H$8="dmt"),AND($D210=OBJECTIFS!$B$13,OBJECTIFS!$H$15="dmt"),AND($D210=OBJECTIFS!$B$20,OBJECTIFS!$H$22="dmt"),AND($D210=OBJECTIFS!$B$27,OBJECTIFS!$H$29="dmt"),AND($D210=OBJECTIFS!$B$34,OBJECTIFS!$H$36="dmt"),AND($D210=OBJECTIFS!$B$6,OBJECTIFS!$H$8="taux de chute"),AND($D210=OBJECTIFS!$B$13,OBJECTIFS!$H$15="taux de chute"),AND($D210=OBJECTIFS!$B$20,OBJECTIFS!$H$22="taux de chute"),AND($D210=OBJECTIFS!$B$27,OBJECTIFS!$H$29="taux de chute"),AND($D210=OBJECTIFS!$B$34,OBJECTIFS!$H$36="taux de chute")),IFERROR(W210/V210,""),IFERROR(V210/W210,""))</f>
        <v/>
      </c>
      <c r="Y210" s="91">
        <f>IFERROR(IF(OR(V210="",W210="",X210=""),0,IF(X210&lt;OBJECTIFS!$E$56,0,IF(X210&lt;OBJECTIFS!$G$56,Y$8*OBJECTIFS!$F$60,IF(X210&lt;OBJECTIFS!$I$56,Y$8*OBJECTIFS!$H$60,Y$8)))),0)</f>
        <v>0</v>
      </c>
      <c r="Z210" s="167"/>
      <c r="AA210" s="90" t="str">
        <f>IF(OR($A210="",$D210="",Z210=""),"",SUMIFS(OBJECTIFS!I$9:I$39,OBJECTIFS!$A$9:$A$39,$D210,OBJECTIFS!$C$9:$C$39,$F210))</f>
        <v/>
      </c>
      <c r="AB210" s="90" t="str">
        <f>IF(OR(AND($D210=OBJECTIFS!$B$6,OBJECTIFS!I$8="dmt"),AND($D210=OBJECTIFS!$B$13,OBJECTIFS!$I$15="dmt"),AND($D210=OBJECTIFS!$B$20,OBJECTIFS!$I$22="dmt"),AND($D210=OBJECTIFS!$B$27,OBJECTIFS!$I$29="dmt"),AND($D210=OBJECTIFS!$B$34,OBJECTIFS!$I$36="dmt"),AND($D210=OBJECTIFS!$B$6,OBJECTIFS!$I$8="taux de chute"),AND($D210=OBJECTIFS!$B$13,OBJECTIFS!$I$15="taux de chute"),AND($D210=OBJECTIFS!$B$20,OBJECTIFS!$I$22="taux de chute"),AND($D210=OBJECTIFS!$B$27,OBJECTIFS!$I$29="taux de chute"),AND($D210=OBJECTIFS!$B$34,OBJECTIFS!$I$36="taux de chute")),IFERROR(AA210/Z210,""),IFERROR(Z210/AA210,""))</f>
        <v/>
      </c>
      <c r="AC210" s="95">
        <f>IFERROR(IF(OR(Z210="",AA210="",AB210=""),0,IF(AB210&lt;OBJECTIFS!$E$56,0,IF(AB210&lt;OBJECTIFS!$G$56,AC$8*OBJECTIFS!$F$60,IF(AB210&lt;OBJECTIFS!$I$56,AC$8*OBJECTIFS!$H$60,AC$8)))),0)</f>
        <v>0</v>
      </c>
      <c r="AD210" s="281"/>
      <c r="AE210" s="282"/>
      <c r="AF210" s="96">
        <f t="shared" ca="1" si="29"/>
        <v>0</v>
      </c>
      <c r="AG210" s="63"/>
      <c r="AH210" s="169"/>
      <c r="AI210" s="24"/>
      <c r="AJ210" s="24"/>
      <c r="AK210" s="24"/>
      <c r="AL210" s="24"/>
      <c r="AM210" s="79">
        <f t="shared" si="30"/>
        <v>0</v>
      </c>
      <c r="AN210" s="79">
        <v>22</v>
      </c>
      <c r="AO210" s="80">
        <f t="shared" si="31"/>
        <v>0</v>
      </c>
      <c r="AP210" s="81" t="str">
        <f t="shared" ca="1" si="32"/>
        <v/>
      </c>
      <c r="AQ210" s="82"/>
      <c r="AR210" s="97">
        <f>IFERROR(VLOOKUP(B210,OBJECTIFS!$C$76:$E$137,2,FALSE),0)</f>
        <v>0</v>
      </c>
      <c r="AS210" s="98">
        <f>IFERROR(VLOOKUP(B210,OBJECTIFS!$H$76:$J$137,2,FALSE),0)</f>
        <v>0</v>
      </c>
      <c r="AT210" s="98">
        <f>IFERROR(VLOOKUP(B210,OBJECTIFS!$C$142:$E$203,2,FALSE),0)</f>
        <v>0</v>
      </c>
      <c r="AU210" s="98">
        <f>IFERROR(VLOOKUP(B210,OBJECTIFS!$H$142:$J$203,2,FALSE),0)</f>
        <v>0</v>
      </c>
      <c r="AV210" s="98">
        <f>IFERROR(VLOOKUP(B210,OBJECTIFS!$F$208:$H$269,3,FALSE),0)</f>
        <v>0</v>
      </c>
      <c r="AW210" s="81">
        <f t="shared" si="33"/>
        <v>0</v>
      </c>
      <c r="AX210" s="82"/>
      <c r="AY210" s="99" t="str">
        <f t="shared" ca="1" si="34"/>
        <v/>
      </c>
      <c r="AZ210" s="63"/>
      <c r="BA210" s="100">
        <f t="shared" ca="1" si="35"/>
        <v>0</v>
      </c>
      <c r="BB210" s="64" t="str">
        <f t="shared" ca="1" si="36"/>
        <v/>
      </c>
      <c r="BC210" s="101" t="str">
        <f t="shared" ca="1" si="37"/>
        <v/>
      </c>
    </row>
    <row r="211" spans="1:55" x14ac:dyDescent="0.2">
      <c r="A211" s="21"/>
      <c r="B211" s="22"/>
      <c r="C211" s="22"/>
      <c r="D211" s="23"/>
      <c r="E211" s="24"/>
      <c r="F211" s="34"/>
      <c r="H211" s="89" t="str">
        <f>IF(OR(D211="",F211="",A211=""),"",IF(E211="oui",0,IF(D211=OBJECTIFS!$C$45,VLOOKUP(F211,OBJECTIFS!$C$9:$D$11,2,FALSE),IF(D211=OBJECTIFS!$C$46,VLOOKUP(F211,OBJECTIFS!$C$16:$D$18,2,FALSE),IF(D211=OBJECTIFS!$C$47,VLOOKUP(F211,OBJECTIFS!$C$23:$D$25,2,FALSE),IF(D211=OBJECTIFS!$C$48,VLOOKUP(F211,OBJECTIFS!$C$30:$D$32,2,FALSE),IF(D211=OBJECTIFS!$C$49,VLOOKUP(F211,OBJECTIFS!$C$37:$D$39,2,FALSE))))))))</f>
        <v/>
      </c>
      <c r="J211" s="25"/>
      <c r="K211" s="90" t="str">
        <f>IF(OR($A211="",$D211="",J211=""),"",SUMIFS(OBJECTIFS!E$9:E$39,OBJECTIFS!$A$9:$A$39,$D211,OBJECTIFS!$C$9:$C$39,$F211))</f>
        <v/>
      </c>
      <c r="L211" s="90" t="str">
        <f>IF(OR(AND($D211=OBJECTIFS!$B$6,OBJECTIFS!E$8="dmt"),AND($D211=OBJECTIFS!$B$13,OBJECTIFS!$E$15="dmt"),AND($D211=OBJECTIFS!$B$20,OBJECTIFS!$E$22="dmt"),AND($D211=OBJECTIFS!$B$27,OBJECTIFS!$E$29="dmt"),AND($D211=OBJECTIFS!$B$34,OBJECTIFS!$E$36="dmt"),AND($D211=OBJECTIFS!$B$6,OBJECTIFS!$E$8="taux de chute"),AND($D211=OBJECTIFS!$B$13,OBJECTIFS!$E$15="taux de chute"),AND($D211=OBJECTIFS!$B$20,OBJECTIFS!$E$22="taux de chute"),AND($D211=OBJECTIFS!$B$27,OBJECTIFS!$E$29="taux de chute"),AND($D211=OBJECTIFS!$B$34,OBJECTIFS!$E$36="taux de chute")),IFERROR(K211/J211,""),IFERROR(J211/K211,""))</f>
        <v/>
      </c>
      <c r="M211" s="91">
        <f>IFERROR(IF(OR(J211="",K211="",L211=""),0,IF(L211&lt;OBJECTIFS!$E$56,0,IF(L211&lt;OBJECTIFS!$G$56,M$8*OBJECTIFS!$F$60,IF(L211&lt;OBJECTIFS!$I$56,M$8*OBJECTIFS!$H$60,M$8)))),0)</f>
        <v>0</v>
      </c>
      <c r="N211" s="161"/>
      <c r="O211" s="92" t="str">
        <f>IF(OR($A211="",$D211="",N211=""),"",SUMIFS(OBJECTIFS!F$9:F$39,OBJECTIFS!$A$9:$A$39,$D211,OBJECTIFS!$C$9:$C$39,$F211))</f>
        <v/>
      </c>
      <c r="P211" s="90" t="str">
        <f>IF(OR(AND($D211=OBJECTIFS!$B$6,OBJECTIFS!$F$8="dmt"),AND($D211=OBJECTIFS!$B$13,OBJECTIFS!$F$15="dmt"),AND($D211=OBJECTIFS!$B$20,OBJECTIFS!$F$22="dmt"),AND($D211=OBJECTIFS!$B$27,OBJECTIFS!$F$29="dmt"),AND($D211=OBJECTIFS!$B$34,OBJECTIFS!$F$36="dmt"),AND($D211=OBJECTIFS!$B$6,OBJECTIFS!$F$8="taux de chute"),AND($D211=OBJECTIFS!$B$13,OBJECTIFS!$F$15="taux de chute"),AND($D211=OBJECTIFS!$B$20,OBJECTIFS!$F$22="taux de chute"),AND($D211=OBJECTIFS!$B$27,OBJECTIFS!$F$29="taux de chute"),AND($D211=OBJECTIFS!$B$34,OBJECTIFS!$F$36="taux de chute")),IFERROR(O211/N211,""),IFERROR(N211/O211,""))</f>
        <v/>
      </c>
      <c r="Q211" s="91">
        <f>IFERROR(IF(OR(N211="",O211="",P211=""),0,IF(P211&lt;OBJECTIFS!$E$56,0,IF(P211&lt;OBJECTIFS!$G$56,Q$8*OBJECTIFS!$F$60,IF(P211&lt;OBJECTIFS!$I$56,Q$8*OBJECTIFS!$H$60,Q$8)))),0)</f>
        <v>0</v>
      </c>
      <c r="R211" s="164"/>
      <c r="S211" s="93" t="str">
        <f>IF(OR($A211="",$D211="",R211=""),"",SUMIFS(OBJECTIFS!G$9:G$39,OBJECTIFS!$A$9:$A$39,$D211,OBJECTIFS!$C$9:$C$39,$F211))</f>
        <v/>
      </c>
      <c r="T211" s="90" t="str">
        <f>IF(OR(AND($D211=OBJECTIFS!$B$6,OBJECTIFS!G$8="dmt"),AND($D211=OBJECTIFS!$B$13,OBJECTIFS!$G$15="dmt"),AND($D211=OBJECTIFS!$B$20,OBJECTIFS!$G$22="dmt"),AND($D211=OBJECTIFS!$B$27,OBJECTIFS!$G$29="dmt"),AND($D211=OBJECTIFS!$B$34,OBJECTIFS!$G$36="dmt"),AND($D211=OBJECTIFS!$B$6,OBJECTIFS!$G$8="taux de chute"),AND($D211=OBJECTIFS!$B$13,OBJECTIFS!$G$15="taux de chute"),AND($D211=OBJECTIFS!$B$20,OBJECTIFS!$G$22="taux de chute"),AND($D211=OBJECTIFS!$B$27,OBJECTIFS!$G$29="taux de chute"),AND($D211=OBJECTIFS!$B$34,OBJECTIFS!$G$36="taux de chute")),IFERROR(S211/R211,""),IFERROR(R211/S211,""))</f>
        <v/>
      </c>
      <c r="U211" s="94">
        <f>IFERROR(IF(OR(R211="",S211="",T211=""),0,IF(T211&lt;OBJECTIFS!$E$56,0,IF(T211&lt;OBJECTIFS!$G$56,U$8*OBJECTIFS!$F$60,IF(T211&lt;OBJECTIFS!$I$56,U$8*OBJECTIFS!$H$60,U$8)))),0)</f>
        <v>0</v>
      </c>
      <c r="V211" s="25"/>
      <c r="W211" s="90" t="str">
        <f>IF(OR($A211="",$D211="",V211=""),"",SUMIFS(OBJECTIFS!H$9:H$39,OBJECTIFS!$A$9:$A$39,$D211,OBJECTIFS!$C$9:$C$39,$F211))</f>
        <v/>
      </c>
      <c r="X211" s="90" t="str">
        <f>IF(OR(AND($D211=OBJECTIFS!$B$6,OBJECTIFS!H$8="dmt"),AND($D211=OBJECTIFS!$B$13,OBJECTIFS!$H$15="dmt"),AND($D211=OBJECTIFS!$B$20,OBJECTIFS!$H$22="dmt"),AND($D211=OBJECTIFS!$B$27,OBJECTIFS!$H$29="dmt"),AND($D211=OBJECTIFS!$B$34,OBJECTIFS!$H$36="dmt"),AND($D211=OBJECTIFS!$B$6,OBJECTIFS!$H$8="taux de chute"),AND($D211=OBJECTIFS!$B$13,OBJECTIFS!$H$15="taux de chute"),AND($D211=OBJECTIFS!$B$20,OBJECTIFS!$H$22="taux de chute"),AND($D211=OBJECTIFS!$B$27,OBJECTIFS!$H$29="taux de chute"),AND($D211=OBJECTIFS!$B$34,OBJECTIFS!$H$36="taux de chute")),IFERROR(W211/V211,""),IFERROR(V211/W211,""))</f>
        <v/>
      </c>
      <c r="Y211" s="91">
        <f>IFERROR(IF(OR(V211="",W211="",X211=""),0,IF(X211&lt;OBJECTIFS!$E$56,0,IF(X211&lt;OBJECTIFS!$G$56,Y$8*OBJECTIFS!$F$60,IF(X211&lt;OBJECTIFS!$I$56,Y$8*OBJECTIFS!$H$60,Y$8)))),0)</f>
        <v>0</v>
      </c>
      <c r="Z211" s="167"/>
      <c r="AA211" s="90" t="str">
        <f>IF(OR($A211="",$D211="",Z211=""),"",SUMIFS(OBJECTIFS!I$9:I$39,OBJECTIFS!$A$9:$A$39,$D211,OBJECTIFS!$C$9:$C$39,$F211))</f>
        <v/>
      </c>
      <c r="AB211" s="90" t="str">
        <f>IF(OR(AND($D211=OBJECTIFS!$B$6,OBJECTIFS!I$8="dmt"),AND($D211=OBJECTIFS!$B$13,OBJECTIFS!$I$15="dmt"),AND($D211=OBJECTIFS!$B$20,OBJECTIFS!$I$22="dmt"),AND($D211=OBJECTIFS!$B$27,OBJECTIFS!$I$29="dmt"),AND($D211=OBJECTIFS!$B$34,OBJECTIFS!$I$36="dmt"),AND($D211=OBJECTIFS!$B$6,OBJECTIFS!$I$8="taux de chute"),AND($D211=OBJECTIFS!$B$13,OBJECTIFS!$I$15="taux de chute"),AND($D211=OBJECTIFS!$B$20,OBJECTIFS!$I$22="taux de chute"),AND($D211=OBJECTIFS!$B$27,OBJECTIFS!$I$29="taux de chute"),AND($D211=OBJECTIFS!$B$34,OBJECTIFS!$I$36="taux de chute")),IFERROR(AA211/Z211,""),IFERROR(Z211/AA211,""))</f>
        <v/>
      </c>
      <c r="AC211" s="95">
        <f>IFERROR(IF(OR(Z211="",AA211="",AB211=""),0,IF(AB211&lt;OBJECTIFS!$E$56,0,IF(AB211&lt;OBJECTIFS!$G$56,AC$8*OBJECTIFS!$F$60,IF(AB211&lt;OBJECTIFS!$I$56,AC$8*OBJECTIFS!$H$60,AC$8)))),0)</f>
        <v>0</v>
      </c>
      <c r="AD211" s="281"/>
      <c r="AE211" s="282"/>
      <c r="AF211" s="96">
        <f t="shared" ca="1" si="29"/>
        <v>0</v>
      </c>
      <c r="AG211" s="63"/>
      <c r="AH211" s="169"/>
      <c r="AI211" s="24"/>
      <c r="AJ211" s="24"/>
      <c r="AK211" s="24"/>
      <c r="AL211" s="24"/>
      <c r="AM211" s="79">
        <f t="shared" si="30"/>
        <v>0</v>
      </c>
      <c r="AN211" s="79">
        <v>22</v>
      </c>
      <c r="AO211" s="80">
        <f t="shared" si="31"/>
        <v>0</v>
      </c>
      <c r="AP211" s="81" t="str">
        <f t="shared" ca="1" si="32"/>
        <v/>
      </c>
      <c r="AQ211" s="82"/>
      <c r="AR211" s="97">
        <f>IFERROR(VLOOKUP(B211,OBJECTIFS!$C$76:$E$137,2,FALSE),0)</f>
        <v>0</v>
      </c>
      <c r="AS211" s="98">
        <f>IFERROR(VLOOKUP(B211,OBJECTIFS!$H$76:$J$137,2,FALSE),0)</f>
        <v>0</v>
      </c>
      <c r="AT211" s="98">
        <f>IFERROR(VLOOKUP(B211,OBJECTIFS!$C$142:$E$203,2,FALSE),0)</f>
        <v>0</v>
      </c>
      <c r="AU211" s="98">
        <f>IFERROR(VLOOKUP(B211,OBJECTIFS!$H$142:$J$203,2,FALSE),0)</f>
        <v>0</v>
      </c>
      <c r="AV211" s="98">
        <f>IFERROR(VLOOKUP(B211,OBJECTIFS!$F$208:$H$269,3,FALSE),0)</f>
        <v>0</v>
      </c>
      <c r="AW211" s="81">
        <f t="shared" si="33"/>
        <v>0</v>
      </c>
      <c r="AX211" s="82"/>
      <c r="AY211" s="99" t="str">
        <f t="shared" ca="1" si="34"/>
        <v/>
      </c>
      <c r="AZ211" s="63"/>
      <c r="BA211" s="100">
        <f t="shared" ca="1" si="35"/>
        <v>0</v>
      </c>
      <c r="BB211" s="64" t="str">
        <f t="shared" ca="1" si="36"/>
        <v/>
      </c>
      <c r="BC211" s="101" t="str">
        <f t="shared" ca="1" si="37"/>
        <v/>
      </c>
    </row>
    <row r="212" spans="1:55" x14ac:dyDescent="0.2">
      <c r="A212" s="21"/>
      <c r="B212" s="22"/>
      <c r="C212" s="22"/>
      <c r="D212" s="23"/>
      <c r="E212" s="24"/>
      <c r="F212" s="34"/>
      <c r="H212" s="89" t="str">
        <f>IF(OR(D212="",F212="",A212=""),"",IF(E212="oui",0,IF(D212=OBJECTIFS!$C$45,VLOOKUP(F212,OBJECTIFS!$C$9:$D$11,2,FALSE),IF(D212=OBJECTIFS!$C$46,VLOOKUP(F212,OBJECTIFS!$C$16:$D$18,2,FALSE),IF(D212=OBJECTIFS!$C$47,VLOOKUP(F212,OBJECTIFS!$C$23:$D$25,2,FALSE),IF(D212=OBJECTIFS!$C$48,VLOOKUP(F212,OBJECTIFS!$C$30:$D$32,2,FALSE),IF(D212=OBJECTIFS!$C$49,VLOOKUP(F212,OBJECTIFS!$C$37:$D$39,2,FALSE))))))))</f>
        <v/>
      </c>
      <c r="J212" s="25"/>
      <c r="K212" s="90" t="str">
        <f>IF(OR($A212="",$D212="",J212=""),"",SUMIFS(OBJECTIFS!E$9:E$39,OBJECTIFS!$A$9:$A$39,$D212,OBJECTIFS!$C$9:$C$39,$F212))</f>
        <v/>
      </c>
      <c r="L212" s="90" t="str">
        <f>IF(OR(AND($D212=OBJECTIFS!$B$6,OBJECTIFS!E$8="dmt"),AND($D212=OBJECTIFS!$B$13,OBJECTIFS!$E$15="dmt"),AND($D212=OBJECTIFS!$B$20,OBJECTIFS!$E$22="dmt"),AND($D212=OBJECTIFS!$B$27,OBJECTIFS!$E$29="dmt"),AND($D212=OBJECTIFS!$B$34,OBJECTIFS!$E$36="dmt"),AND($D212=OBJECTIFS!$B$6,OBJECTIFS!$E$8="taux de chute"),AND($D212=OBJECTIFS!$B$13,OBJECTIFS!$E$15="taux de chute"),AND($D212=OBJECTIFS!$B$20,OBJECTIFS!$E$22="taux de chute"),AND($D212=OBJECTIFS!$B$27,OBJECTIFS!$E$29="taux de chute"),AND($D212=OBJECTIFS!$B$34,OBJECTIFS!$E$36="taux de chute")),IFERROR(K212/J212,""),IFERROR(J212/K212,""))</f>
        <v/>
      </c>
      <c r="M212" s="91">
        <f>IFERROR(IF(OR(J212="",K212="",L212=""),0,IF(L212&lt;OBJECTIFS!$E$56,0,IF(L212&lt;OBJECTIFS!$G$56,M$8*OBJECTIFS!$F$60,IF(L212&lt;OBJECTIFS!$I$56,M$8*OBJECTIFS!$H$60,M$8)))),0)</f>
        <v>0</v>
      </c>
      <c r="N212" s="161"/>
      <c r="O212" s="92" t="str">
        <f>IF(OR($A212="",$D212="",N212=""),"",SUMIFS(OBJECTIFS!F$9:F$39,OBJECTIFS!$A$9:$A$39,$D212,OBJECTIFS!$C$9:$C$39,$F212))</f>
        <v/>
      </c>
      <c r="P212" s="90" t="str">
        <f>IF(OR(AND($D212=OBJECTIFS!$B$6,OBJECTIFS!$F$8="dmt"),AND($D212=OBJECTIFS!$B$13,OBJECTIFS!$F$15="dmt"),AND($D212=OBJECTIFS!$B$20,OBJECTIFS!$F$22="dmt"),AND($D212=OBJECTIFS!$B$27,OBJECTIFS!$F$29="dmt"),AND($D212=OBJECTIFS!$B$34,OBJECTIFS!$F$36="dmt"),AND($D212=OBJECTIFS!$B$6,OBJECTIFS!$F$8="taux de chute"),AND($D212=OBJECTIFS!$B$13,OBJECTIFS!$F$15="taux de chute"),AND($D212=OBJECTIFS!$B$20,OBJECTIFS!$F$22="taux de chute"),AND($D212=OBJECTIFS!$B$27,OBJECTIFS!$F$29="taux de chute"),AND($D212=OBJECTIFS!$B$34,OBJECTIFS!$F$36="taux de chute")),IFERROR(O212/N212,""),IFERROR(N212/O212,""))</f>
        <v/>
      </c>
      <c r="Q212" s="91">
        <f>IFERROR(IF(OR(N212="",O212="",P212=""),0,IF(P212&lt;OBJECTIFS!$E$56,0,IF(P212&lt;OBJECTIFS!$G$56,Q$8*OBJECTIFS!$F$60,IF(P212&lt;OBJECTIFS!$I$56,Q$8*OBJECTIFS!$H$60,Q$8)))),0)</f>
        <v>0</v>
      </c>
      <c r="R212" s="164"/>
      <c r="S212" s="93" t="str">
        <f>IF(OR($A212="",$D212="",R212=""),"",SUMIFS(OBJECTIFS!G$9:G$39,OBJECTIFS!$A$9:$A$39,$D212,OBJECTIFS!$C$9:$C$39,$F212))</f>
        <v/>
      </c>
      <c r="T212" s="90" t="str">
        <f>IF(OR(AND($D212=OBJECTIFS!$B$6,OBJECTIFS!G$8="dmt"),AND($D212=OBJECTIFS!$B$13,OBJECTIFS!$G$15="dmt"),AND($D212=OBJECTIFS!$B$20,OBJECTIFS!$G$22="dmt"),AND($D212=OBJECTIFS!$B$27,OBJECTIFS!$G$29="dmt"),AND($D212=OBJECTIFS!$B$34,OBJECTIFS!$G$36="dmt"),AND($D212=OBJECTIFS!$B$6,OBJECTIFS!$G$8="taux de chute"),AND($D212=OBJECTIFS!$B$13,OBJECTIFS!$G$15="taux de chute"),AND($D212=OBJECTIFS!$B$20,OBJECTIFS!$G$22="taux de chute"),AND($D212=OBJECTIFS!$B$27,OBJECTIFS!$G$29="taux de chute"),AND($D212=OBJECTIFS!$B$34,OBJECTIFS!$G$36="taux de chute")),IFERROR(S212/R212,""),IFERROR(R212/S212,""))</f>
        <v/>
      </c>
      <c r="U212" s="94">
        <f>IFERROR(IF(OR(R212="",S212="",T212=""),0,IF(T212&lt;OBJECTIFS!$E$56,0,IF(T212&lt;OBJECTIFS!$G$56,U$8*OBJECTIFS!$F$60,IF(T212&lt;OBJECTIFS!$I$56,U$8*OBJECTIFS!$H$60,U$8)))),0)</f>
        <v>0</v>
      </c>
      <c r="V212" s="25"/>
      <c r="W212" s="90" t="str">
        <f>IF(OR($A212="",$D212="",V212=""),"",SUMIFS(OBJECTIFS!H$9:H$39,OBJECTIFS!$A$9:$A$39,$D212,OBJECTIFS!$C$9:$C$39,$F212))</f>
        <v/>
      </c>
      <c r="X212" s="90" t="str">
        <f>IF(OR(AND($D212=OBJECTIFS!$B$6,OBJECTIFS!H$8="dmt"),AND($D212=OBJECTIFS!$B$13,OBJECTIFS!$H$15="dmt"),AND($D212=OBJECTIFS!$B$20,OBJECTIFS!$H$22="dmt"),AND($D212=OBJECTIFS!$B$27,OBJECTIFS!$H$29="dmt"),AND($D212=OBJECTIFS!$B$34,OBJECTIFS!$H$36="dmt"),AND($D212=OBJECTIFS!$B$6,OBJECTIFS!$H$8="taux de chute"),AND($D212=OBJECTIFS!$B$13,OBJECTIFS!$H$15="taux de chute"),AND($D212=OBJECTIFS!$B$20,OBJECTIFS!$H$22="taux de chute"),AND($D212=OBJECTIFS!$B$27,OBJECTIFS!$H$29="taux de chute"),AND($D212=OBJECTIFS!$B$34,OBJECTIFS!$H$36="taux de chute")),IFERROR(W212/V212,""),IFERROR(V212/W212,""))</f>
        <v/>
      </c>
      <c r="Y212" s="91">
        <f>IFERROR(IF(OR(V212="",W212="",X212=""),0,IF(X212&lt;OBJECTIFS!$E$56,0,IF(X212&lt;OBJECTIFS!$G$56,Y$8*OBJECTIFS!$F$60,IF(X212&lt;OBJECTIFS!$I$56,Y$8*OBJECTIFS!$H$60,Y$8)))),0)</f>
        <v>0</v>
      </c>
      <c r="Z212" s="167"/>
      <c r="AA212" s="90" t="str">
        <f>IF(OR($A212="",$D212="",Z212=""),"",SUMIFS(OBJECTIFS!I$9:I$39,OBJECTIFS!$A$9:$A$39,$D212,OBJECTIFS!$C$9:$C$39,$F212))</f>
        <v/>
      </c>
      <c r="AB212" s="90" t="str">
        <f>IF(OR(AND($D212=OBJECTIFS!$B$6,OBJECTIFS!I$8="dmt"),AND($D212=OBJECTIFS!$B$13,OBJECTIFS!$I$15="dmt"),AND($D212=OBJECTIFS!$B$20,OBJECTIFS!$I$22="dmt"),AND($D212=OBJECTIFS!$B$27,OBJECTIFS!$I$29="dmt"),AND($D212=OBJECTIFS!$B$34,OBJECTIFS!$I$36="dmt"),AND($D212=OBJECTIFS!$B$6,OBJECTIFS!$I$8="taux de chute"),AND($D212=OBJECTIFS!$B$13,OBJECTIFS!$I$15="taux de chute"),AND($D212=OBJECTIFS!$B$20,OBJECTIFS!$I$22="taux de chute"),AND($D212=OBJECTIFS!$B$27,OBJECTIFS!$I$29="taux de chute"),AND($D212=OBJECTIFS!$B$34,OBJECTIFS!$I$36="taux de chute")),IFERROR(AA212/Z212,""),IFERROR(Z212/AA212,""))</f>
        <v/>
      </c>
      <c r="AC212" s="95">
        <f>IFERROR(IF(OR(Z212="",AA212="",AB212=""),0,IF(AB212&lt;OBJECTIFS!$E$56,0,IF(AB212&lt;OBJECTIFS!$G$56,AC$8*OBJECTIFS!$F$60,IF(AB212&lt;OBJECTIFS!$I$56,AC$8*OBJECTIFS!$H$60,AC$8)))),0)</f>
        <v>0</v>
      </c>
      <c r="AD212" s="281"/>
      <c r="AE212" s="282"/>
      <c r="AF212" s="96">
        <f t="shared" ca="1" si="29"/>
        <v>0</v>
      </c>
      <c r="AG212" s="63"/>
      <c r="AH212" s="169"/>
      <c r="AI212" s="24"/>
      <c r="AJ212" s="24"/>
      <c r="AK212" s="24"/>
      <c r="AL212" s="24"/>
      <c r="AM212" s="79">
        <f t="shared" si="30"/>
        <v>0</v>
      </c>
      <c r="AN212" s="79">
        <v>22</v>
      </c>
      <c r="AO212" s="80">
        <f t="shared" si="31"/>
        <v>0</v>
      </c>
      <c r="AP212" s="81" t="str">
        <f t="shared" ca="1" si="32"/>
        <v/>
      </c>
      <c r="AQ212" s="82"/>
      <c r="AR212" s="97">
        <f>IFERROR(VLOOKUP(B212,OBJECTIFS!$C$76:$E$137,2,FALSE),0)</f>
        <v>0</v>
      </c>
      <c r="AS212" s="98">
        <f>IFERROR(VLOOKUP(B212,OBJECTIFS!$H$76:$J$137,2,FALSE),0)</f>
        <v>0</v>
      </c>
      <c r="AT212" s="98">
        <f>IFERROR(VLOOKUP(B212,OBJECTIFS!$C$142:$E$203,2,FALSE),0)</f>
        <v>0</v>
      </c>
      <c r="AU212" s="98">
        <f>IFERROR(VLOOKUP(B212,OBJECTIFS!$H$142:$J$203,2,FALSE),0)</f>
        <v>0</v>
      </c>
      <c r="AV212" s="98">
        <f>IFERROR(VLOOKUP(B212,OBJECTIFS!$F$208:$H$269,3,FALSE),0)</f>
        <v>0</v>
      </c>
      <c r="AW212" s="81">
        <f t="shared" si="33"/>
        <v>0</v>
      </c>
      <c r="AX212" s="82"/>
      <c r="AY212" s="99" t="str">
        <f t="shared" ca="1" si="34"/>
        <v/>
      </c>
      <c r="AZ212" s="63"/>
      <c r="BA212" s="100">
        <f t="shared" ca="1" si="35"/>
        <v>0</v>
      </c>
      <c r="BB212" s="64" t="str">
        <f t="shared" ca="1" si="36"/>
        <v/>
      </c>
      <c r="BC212" s="101" t="str">
        <f t="shared" ca="1" si="37"/>
        <v/>
      </c>
    </row>
    <row r="213" spans="1:55" x14ac:dyDescent="0.2">
      <c r="A213" s="21"/>
      <c r="B213" s="22"/>
      <c r="C213" s="22"/>
      <c r="D213" s="23"/>
      <c r="E213" s="24"/>
      <c r="F213" s="34"/>
      <c r="H213" s="89" t="str">
        <f>IF(OR(D213="",F213="",A213=""),"",IF(E213="oui",0,IF(D213=OBJECTIFS!$C$45,VLOOKUP(F213,OBJECTIFS!$C$9:$D$11,2,FALSE),IF(D213=OBJECTIFS!$C$46,VLOOKUP(F213,OBJECTIFS!$C$16:$D$18,2,FALSE),IF(D213=OBJECTIFS!$C$47,VLOOKUP(F213,OBJECTIFS!$C$23:$D$25,2,FALSE),IF(D213=OBJECTIFS!$C$48,VLOOKUP(F213,OBJECTIFS!$C$30:$D$32,2,FALSE),IF(D213=OBJECTIFS!$C$49,VLOOKUP(F213,OBJECTIFS!$C$37:$D$39,2,FALSE))))))))</f>
        <v/>
      </c>
      <c r="J213" s="25"/>
      <c r="K213" s="90" t="str">
        <f>IF(OR($A213="",$D213="",J213=""),"",SUMIFS(OBJECTIFS!E$9:E$39,OBJECTIFS!$A$9:$A$39,$D213,OBJECTIFS!$C$9:$C$39,$F213))</f>
        <v/>
      </c>
      <c r="L213" s="90" t="str">
        <f>IF(OR(AND($D213=OBJECTIFS!$B$6,OBJECTIFS!E$8="dmt"),AND($D213=OBJECTIFS!$B$13,OBJECTIFS!$E$15="dmt"),AND($D213=OBJECTIFS!$B$20,OBJECTIFS!$E$22="dmt"),AND($D213=OBJECTIFS!$B$27,OBJECTIFS!$E$29="dmt"),AND($D213=OBJECTIFS!$B$34,OBJECTIFS!$E$36="dmt"),AND($D213=OBJECTIFS!$B$6,OBJECTIFS!$E$8="taux de chute"),AND($D213=OBJECTIFS!$B$13,OBJECTIFS!$E$15="taux de chute"),AND($D213=OBJECTIFS!$B$20,OBJECTIFS!$E$22="taux de chute"),AND($D213=OBJECTIFS!$B$27,OBJECTIFS!$E$29="taux de chute"),AND($D213=OBJECTIFS!$B$34,OBJECTIFS!$E$36="taux de chute")),IFERROR(K213/J213,""),IFERROR(J213/K213,""))</f>
        <v/>
      </c>
      <c r="M213" s="91">
        <f>IFERROR(IF(OR(J213="",K213="",L213=""),0,IF(L213&lt;OBJECTIFS!$E$56,0,IF(L213&lt;OBJECTIFS!$G$56,M$8*OBJECTIFS!$F$60,IF(L213&lt;OBJECTIFS!$I$56,M$8*OBJECTIFS!$H$60,M$8)))),0)</f>
        <v>0</v>
      </c>
      <c r="N213" s="161"/>
      <c r="O213" s="92" t="str">
        <f>IF(OR($A213="",$D213="",N213=""),"",SUMIFS(OBJECTIFS!F$9:F$39,OBJECTIFS!$A$9:$A$39,$D213,OBJECTIFS!$C$9:$C$39,$F213))</f>
        <v/>
      </c>
      <c r="P213" s="90" t="str">
        <f>IF(OR(AND($D213=OBJECTIFS!$B$6,OBJECTIFS!$F$8="dmt"),AND($D213=OBJECTIFS!$B$13,OBJECTIFS!$F$15="dmt"),AND($D213=OBJECTIFS!$B$20,OBJECTIFS!$F$22="dmt"),AND($D213=OBJECTIFS!$B$27,OBJECTIFS!$F$29="dmt"),AND($D213=OBJECTIFS!$B$34,OBJECTIFS!$F$36="dmt"),AND($D213=OBJECTIFS!$B$6,OBJECTIFS!$F$8="taux de chute"),AND($D213=OBJECTIFS!$B$13,OBJECTIFS!$F$15="taux de chute"),AND($D213=OBJECTIFS!$B$20,OBJECTIFS!$F$22="taux de chute"),AND($D213=OBJECTIFS!$B$27,OBJECTIFS!$F$29="taux de chute"),AND($D213=OBJECTIFS!$B$34,OBJECTIFS!$F$36="taux de chute")),IFERROR(O213/N213,""),IFERROR(N213/O213,""))</f>
        <v/>
      </c>
      <c r="Q213" s="91">
        <f>IFERROR(IF(OR(N213="",O213="",P213=""),0,IF(P213&lt;OBJECTIFS!$E$56,0,IF(P213&lt;OBJECTIFS!$G$56,Q$8*OBJECTIFS!$F$60,IF(P213&lt;OBJECTIFS!$I$56,Q$8*OBJECTIFS!$H$60,Q$8)))),0)</f>
        <v>0</v>
      </c>
      <c r="R213" s="164"/>
      <c r="S213" s="93" t="str">
        <f>IF(OR($A213="",$D213="",R213=""),"",SUMIFS(OBJECTIFS!G$9:G$39,OBJECTIFS!$A$9:$A$39,$D213,OBJECTIFS!$C$9:$C$39,$F213))</f>
        <v/>
      </c>
      <c r="T213" s="90" t="str">
        <f>IF(OR(AND($D213=OBJECTIFS!$B$6,OBJECTIFS!G$8="dmt"),AND($D213=OBJECTIFS!$B$13,OBJECTIFS!$G$15="dmt"),AND($D213=OBJECTIFS!$B$20,OBJECTIFS!$G$22="dmt"),AND($D213=OBJECTIFS!$B$27,OBJECTIFS!$G$29="dmt"),AND($D213=OBJECTIFS!$B$34,OBJECTIFS!$G$36="dmt"),AND($D213=OBJECTIFS!$B$6,OBJECTIFS!$G$8="taux de chute"),AND($D213=OBJECTIFS!$B$13,OBJECTIFS!$G$15="taux de chute"),AND($D213=OBJECTIFS!$B$20,OBJECTIFS!$G$22="taux de chute"),AND($D213=OBJECTIFS!$B$27,OBJECTIFS!$G$29="taux de chute"),AND($D213=OBJECTIFS!$B$34,OBJECTIFS!$G$36="taux de chute")),IFERROR(S213/R213,""),IFERROR(R213/S213,""))</f>
        <v/>
      </c>
      <c r="U213" s="94">
        <f>IFERROR(IF(OR(R213="",S213="",T213=""),0,IF(T213&lt;OBJECTIFS!$E$56,0,IF(T213&lt;OBJECTIFS!$G$56,U$8*OBJECTIFS!$F$60,IF(T213&lt;OBJECTIFS!$I$56,U$8*OBJECTIFS!$H$60,U$8)))),0)</f>
        <v>0</v>
      </c>
      <c r="V213" s="25"/>
      <c r="W213" s="90" t="str">
        <f>IF(OR($A213="",$D213="",V213=""),"",SUMIFS(OBJECTIFS!H$9:H$39,OBJECTIFS!$A$9:$A$39,$D213,OBJECTIFS!$C$9:$C$39,$F213))</f>
        <v/>
      </c>
      <c r="X213" s="90" t="str">
        <f>IF(OR(AND($D213=OBJECTIFS!$B$6,OBJECTIFS!H$8="dmt"),AND($D213=OBJECTIFS!$B$13,OBJECTIFS!$H$15="dmt"),AND($D213=OBJECTIFS!$B$20,OBJECTIFS!$H$22="dmt"),AND($D213=OBJECTIFS!$B$27,OBJECTIFS!$H$29="dmt"),AND($D213=OBJECTIFS!$B$34,OBJECTIFS!$H$36="dmt"),AND($D213=OBJECTIFS!$B$6,OBJECTIFS!$H$8="taux de chute"),AND($D213=OBJECTIFS!$B$13,OBJECTIFS!$H$15="taux de chute"),AND($D213=OBJECTIFS!$B$20,OBJECTIFS!$H$22="taux de chute"),AND($D213=OBJECTIFS!$B$27,OBJECTIFS!$H$29="taux de chute"),AND($D213=OBJECTIFS!$B$34,OBJECTIFS!$H$36="taux de chute")),IFERROR(W213/V213,""),IFERROR(V213/W213,""))</f>
        <v/>
      </c>
      <c r="Y213" s="91">
        <f>IFERROR(IF(OR(V213="",W213="",X213=""),0,IF(X213&lt;OBJECTIFS!$E$56,0,IF(X213&lt;OBJECTIFS!$G$56,Y$8*OBJECTIFS!$F$60,IF(X213&lt;OBJECTIFS!$I$56,Y$8*OBJECTIFS!$H$60,Y$8)))),0)</f>
        <v>0</v>
      </c>
      <c r="Z213" s="167"/>
      <c r="AA213" s="90" t="str">
        <f>IF(OR($A213="",$D213="",Z213=""),"",SUMIFS(OBJECTIFS!I$9:I$39,OBJECTIFS!$A$9:$A$39,$D213,OBJECTIFS!$C$9:$C$39,$F213))</f>
        <v/>
      </c>
      <c r="AB213" s="90" t="str">
        <f>IF(OR(AND($D213=OBJECTIFS!$B$6,OBJECTIFS!I$8="dmt"),AND($D213=OBJECTIFS!$B$13,OBJECTIFS!$I$15="dmt"),AND($D213=OBJECTIFS!$B$20,OBJECTIFS!$I$22="dmt"),AND($D213=OBJECTIFS!$B$27,OBJECTIFS!$I$29="dmt"),AND($D213=OBJECTIFS!$B$34,OBJECTIFS!$I$36="dmt"),AND($D213=OBJECTIFS!$B$6,OBJECTIFS!$I$8="taux de chute"),AND($D213=OBJECTIFS!$B$13,OBJECTIFS!$I$15="taux de chute"),AND($D213=OBJECTIFS!$B$20,OBJECTIFS!$I$22="taux de chute"),AND($D213=OBJECTIFS!$B$27,OBJECTIFS!$I$29="taux de chute"),AND($D213=OBJECTIFS!$B$34,OBJECTIFS!$I$36="taux de chute")),IFERROR(AA213/Z213,""),IFERROR(Z213/AA213,""))</f>
        <v/>
      </c>
      <c r="AC213" s="95">
        <f>IFERROR(IF(OR(Z213="",AA213="",AB213=""),0,IF(AB213&lt;OBJECTIFS!$E$56,0,IF(AB213&lt;OBJECTIFS!$G$56,AC$8*OBJECTIFS!$F$60,IF(AB213&lt;OBJECTIFS!$I$56,AC$8*OBJECTIFS!$H$60,AC$8)))),0)</f>
        <v>0</v>
      </c>
      <c r="AD213" s="281"/>
      <c r="AE213" s="282"/>
      <c r="AF213" s="96">
        <f t="shared" ca="1" si="29"/>
        <v>0</v>
      </c>
      <c r="AG213" s="63"/>
      <c r="AH213" s="169"/>
      <c r="AI213" s="24"/>
      <c r="AJ213" s="24"/>
      <c r="AK213" s="24"/>
      <c r="AL213" s="24"/>
      <c r="AM213" s="79">
        <f t="shared" si="30"/>
        <v>0</v>
      </c>
      <c r="AN213" s="79">
        <v>22</v>
      </c>
      <c r="AO213" s="80">
        <f t="shared" si="31"/>
        <v>0</v>
      </c>
      <c r="AP213" s="81" t="str">
        <f t="shared" ca="1" si="32"/>
        <v/>
      </c>
      <c r="AQ213" s="82"/>
      <c r="AR213" s="97">
        <f>IFERROR(VLOOKUP(B213,OBJECTIFS!$C$76:$E$137,2,FALSE),0)</f>
        <v>0</v>
      </c>
      <c r="AS213" s="98">
        <f>IFERROR(VLOOKUP(B213,OBJECTIFS!$H$76:$J$137,2,FALSE),0)</f>
        <v>0</v>
      </c>
      <c r="AT213" s="98">
        <f>IFERROR(VLOOKUP(B213,OBJECTIFS!$C$142:$E$203,2,FALSE),0)</f>
        <v>0</v>
      </c>
      <c r="AU213" s="98">
        <f>IFERROR(VLOOKUP(B213,OBJECTIFS!$H$142:$J$203,2,FALSE),0)</f>
        <v>0</v>
      </c>
      <c r="AV213" s="98">
        <f>IFERROR(VLOOKUP(B213,OBJECTIFS!$F$208:$H$269,3,FALSE),0)</f>
        <v>0</v>
      </c>
      <c r="AW213" s="81">
        <f t="shared" si="33"/>
        <v>0</v>
      </c>
      <c r="AX213" s="82"/>
      <c r="AY213" s="99" t="str">
        <f t="shared" ca="1" si="34"/>
        <v/>
      </c>
      <c r="AZ213" s="63"/>
      <c r="BA213" s="100">
        <f t="shared" ca="1" si="35"/>
        <v>0</v>
      </c>
      <c r="BB213" s="64" t="str">
        <f t="shared" ca="1" si="36"/>
        <v/>
      </c>
      <c r="BC213" s="101" t="str">
        <f t="shared" ca="1" si="37"/>
        <v/>
      </c>
    </row>
    <row r="214" spans="1:55" x14ac:dyDescent="0.2">
      <c r="A214" s="21"/>
      <c r="B214" s="22"/>
      <c r="C214" s="22"/>
      <c r="D214" s="23"/>
      <c r="E214" s="24"/>
      <c r="F214" s="34"/>
      <c r="H214" s="89" t="str">
        <f>IF(OR(D214="",F214="",A214=""),"",IF(E214="oui",0,IF(D214=OBJECTIFS!$C$45,VLOOKUP(F214,OBJECTIFS!$C$9:$D$11,2,FALSE),IF(D214=OBJECTIFS!$C$46,VLOOKUP(F214,OBJECTIFS!$C$16:$D$18,2,FALSE),IF(D214=OBJECTIFS!$C$47,VLOOKUP(F214,OBJECTIFS!$C$23:$D$25,2,FALSE),IF(D214=OBJECTIFS!$C$48,VLOOKUP(F214,OBJECTIFS!$C$30:$D$32,2,FALSE),IF(D214=OBJECTIFS!$C$49,VLOOKUP(F214,OBJECTIFS!$C$37:$D$39,2,FALSE))))))))</f>
        <v/>
      </c>
      <c r="J214" s="25"/>
      <c r="K214" s="90" t="str">
        <f>IF(OR($A214="",$D214="",J214=""),"",SUMIFS(OBJECTIFS!E$9:E$39,OBJECTIFS!$A$9:$A$39,$D214,OBJECTIFS!$C$9:$C$39,$F214))</f>
        <v/>
      </c>
      <c r="L214" s="90" t="str">
        <f>IF(OR(AND($D214=OBJECTIFS!$B$6,OBJECTIFS!E$8="dmt"),AND($D214=OBJECTIFS!$B$13,OBJECTIFS!$E$15="dmt"),AND($D214=OBJECTIFS!$B$20,OBJECTIFS!$E$22="dmt"),AND($D214=OBJECTIFS!$B$27,OBJECTIFS!$E$29="dmt"),AND($D214=OBJECTIFS!$B$34,OBJECTIFS!$E$36="dmt"),AND($D214=OBJECTIFS!$B$6,OBJECTIFS!$E$8="taux de chute"),AND($D214=OBJECTIFS!$B$13,OBJECTIFS!$E$15="taux de chute"),AND($D214=OBJECTIFS!$B$20,OBJECTIFS!$E$22="taux de chute"),AND($D214=OBJECTIFS!$B$27,OBJECTIFS!$E$29="taux de chute"),AND($D214=OBJECTIFS!$B$34,OBJECTIFS!$E$36="taux de chute")),IFERROR(K214/J214,""),IFERROR(J214/K214,""))</f>
        <v/>
      </c>
      <c r="M214" s="91">
        <f>IFERROR(IF(OR(J214="",K214="",L214=""),0,IF(L214&lt;OBJECTIFS!$E$56,0,IF(L214&lt;OBJECTIFS!$G$56,M$8*OBJECTIFS!$F$60,IF(L214&lt;OBJECTIFS!$I$56,M$8*OBJECTIFS!$H$60,M$8)))),0)</f>
        <v>0</v>
      </c>
      <c r="N214" s="161"/>
      <c r="O214" s="92" t="str">
        <f>IF(OR($A214="",$D214="",N214=""),"",SUMIFS(OBJECTIFS!F$9:F$39,OBJECTIFS!$A$9:$A$39,$D214,OBJECTIFS!$C$9:$C$39,$F214))</f>
        <v/>
      </c>
      <c r="P214" s="90" t="str">
        <f>IF(OR(AND($D214=OBJECTIFS!$B$6,OBJECTIFS!$F$8="dmt"),AND($D214=OBJECTIFS!$B$13,OBJECTIFS!$F$15="dmt"),AND($D214=OBJECTIFS!$B$20,OBJECTIFS!$F$22="dmt"),AND($D214=OBJECTIFS!$B$27,OBJECTIFS!$F$29="dmt"),AND($D214=OBJECTIFS!$B$34,OBJECTIFS!$F$36="dmt"),AND($D214=OBJECTIFS!$B$6,OBJECTIFS!$F$8="taux de chute"),AND($D214=OBJECTIFS!$B$13,OBJECTIFS!$F$15="taux de chute"),AND($D214=OBJECTIFS!$B$20,OBJECTIFS!$F$22="taux de chute"),AND($D214=OBJECTIFS!$B$27,OBJECTIFS!$F$29="taux de chute"),AND($D214=OBJECTIFS!$B$34,OBJECTIFS!$F$36="taux de chute")),IFERROR(O214/N214,""),IFERROR(N214/O214,""))</f>
        <v/>
      </c>
      <c r="Q214" s="91">
        <f>IFERROR(IF(OR(N214="",O214="",P214=""),0,IF(P214&lt;OBJECTIFS!$E$56,0,IF(P214&lt;OBJECTIFS!$G$56,Q$8*OBJECTIFS!$F$60,IF(P214&lt;OBJECTIFS!$I$56,Q$8*OBJECTIFS!$H$60,Q$8)))),0)</f>
        <v>0</v>
      </c>
      <c r="R214" s="164"/>
      <c r="S214" s="93" t="str">
        <f>IF(OR($A214="",$D214="",R214=""),"",SUMIFS(OBJECTIFS!G$9:G$39,OBJECTIFS!$A$9:$A$39,$D214,OBJECTIFS!$C$9:$C$39,$F214))</f>
        <v/>
      </c>
      <c r="T214" s="90" t="str">
        <f>IF(OR(AND($D214=OBJECTIFS!$B$6,OBJECTIFS!G$8="dmt"),AND($D214=OBJECTIFS!$B$13,OBJECTIFS!$G$15="dmt"),AND($D214=OBJECTIFS!$B$20,OBJECTIFS!$G$22="dmt"),AND($D214=OBJECTIFS!$B$27,OBJECTIFS!$G$29="dmt"),AND($D214=OBJECTIFS!$B$34,OBJECTIFS!$G$36="dmt"),AND($D214=OBJECTIFS!$B$6,OBJECTIFS!$G$8="taux de chute"),AND($D214=OBJECTIFS!$B$13,OBJECTIFS!$G$15="taux de chute"),AND($D214=OBJECTIFS!$B$20,OBJECTIFS!$G$22="taux de chute"),AND($D214=OBJECTIFS!$B$27,OBJECTIFS!$G$29="taux de chute"),AND($D214=OBJECTIFS!$B$34,OBJECTIFS!$G$36="taux de chute")),IFERROR(S214/R214,""),IFERROR(R214/S214,""))</f>
        <v/>
      </c>
      <c r="U214" s="94">
        <f>IFERROR(IF(OR(R214="",S214="",T214=""),0,IF(T214&lt;OBJECTIFS!$E$56,0,IF(T214&lt;OBJECTIFS!$G$56,U$8*OBJECTIFS!$F$60,IF(T214&lt;OBJECTIFS!$I$56,U$8*OBJECTIFS!$H$60,U$8)))),0)</f>
        <v>0</v>
      </c>
      <c r="V214" s="25"/>
      <c r="W214" s="90" t="str">
        <f>IF(OR($A214="",$D214="",V214=""),"",SUMIFS(OBJECTIFS!H$9:H$39,OBJECTIFS!$A$9:$A$39,$D214,OBJECTIFS!$C$9:$C$39,$F214))</f>
        <v/>
      </c>
      <c r="X214" s="90" t="str">
        <f>IF(OR(AND($D214=OBJECTIFS!$B$6,OBJECTIFS!H$8="dmt"),AND($D214=OBJECTIFS!$B$13,OBJECTIFS!$H$15="dmt"),AND($D214=OBJECTIFS!$B$20,OBJECTIFS!$H$22="dmt"),AND($D214=OBJECTIFS!$B$27,OBJECTIFS!$H$29="dmt"),AND($D214=OBJECTIFS!$B$34,OBJECTIFS!$H$36="dmt"),AND($D214=OBJECTIFS!$B$6,OBJECTIFS!$H$8="taux de chute"),AND($D214=OBJECTIFS!$B$13,OBJECTIFS!$H$15="taux de chute"),AND($D214=OBJECTIFS!$B$20,OBJECTIFS!$H$22="taux de chute"),AND($D214=OBJECTIFS!$B$27,OBJECTIFS!$H$29="taux de chute"),AND($D214=OBJECTIFS!$B$34,OBJECTIFS!$H$36="taux de chute")),IFERROR(W214/V214,""),IFERROR(V214/W214,""))</f>
        <v/>
      </c>
      <c r="Y214" s="91">
        <f>IFERROR(IF(OR(V214="",W214="",X214=""),0,IF(X214&lt;OBJECTIFS!$E$56,0,IF(X214&lt;OBJECTIFS!$G$56,Y$8*OBJECTIFS!$F$60,IF(X214&lt;OBJECTIFS!$I$56,Y$8*OBJECTIFS!$H$60,Y$8)))),0)</f>
        <v>0</v>
      </c>
      <c r="Z214" s="167"/>
      <c r="AA214" s="90" t="str">
        <f>IF(OR($A214="",$D214="",Z214=""),"",SUMIFS(OBJECTIFS!I$9:I$39,OBJECTIFS!$A$9:$A$39,$D214,OBJECTIFS!$C$9:$C$39,$F214))</f>
        <v/>
      </c>
      <c r="AB214" s="90" t="str">
        <f>IF(OR(AND($D214=OBJECTIFS!$B$6,OBJECTIFS!I$8="dmt"),AND($D214=OBJECTIFS!$B$13,OBJECTIFS!$I$15="dmt"),AND($D214=OBJECTIFS!$B$20,OBJECTIFS!$I$22="dmt"),AND($D214=OBJECTIFS!$B$27,OBJECTIFS!$I$29="dmt"),AND($D214=OBJECTIFS!$B$34,OBJECTIFS!$I$36="dmt"),AND($D214=OBJECTIFS!$B$6,OBJECTIFS!$I$8="taux de chute"),AND($D214=OBJECTIFS!$B$13,OBJECTIFS!$I$15="taux de chute"),AND($D214=OBJECTIFS!$B$20,OBJECTIFS!$I$22="taux de chute"),AND($D214=OBJECTIFS!$B$27,OBJECTIFS!$I$29="taux de chute"),AND($D214=OBJECTIFS!$B$34,OBJECTIFS!$I$36="taux de chute")),IFERROR(AA214/Z214,""),IFERROR(Z214/AA214,""))</f>
        <v/>
      </c>
      <c r="AC214" s="95">
        <f>IFERROR(IF(OR(Z214="",AA214="",AB214=""),0,IF(AB214&lt;OBJECTIFS!$E$56,0,IF(AB214&lt;OBJECTIFS!$G$56,AC$8*OBJECTIFS!$F$60,IF(AB214&lt;OBJECTIFS!$I$56,AC$8*OBJECTIFS!$H$60,AC$8)))),0)</f>
        <v>0</v>
      </c>
      <c r="AD214" s="281"/>
      <c r="AE214" s="282"/>
      <c r="AF214" s="96">
        <f t="shared" ref="AF214:AF216" ca="1" si="38">IF(AD214&gt;=1,0,SUMIF($J$7:$AC$8,"Nb de points",$J214:$AC214))</f>
        <v>0</v>
      </c>
      <c r="AG214" s="63"/>
      <c r="AH214" s="169"/>
      <c r="AI214" s="24"/>
      <c r="AJ214" s="24"/>
      <c r="AK214" s="24"/>
      <c r="AL214" s="24"/>
      <c r="AM214" s="79">
        <f t="shared" ref="AM214:AM216" si="39">SUM(AK214:AL214,AI214)</f>
        <v>0</v>
      </c>
      <c r="AN214" s="79">
        <f t="shared" ref="AN214:AN216" si="40">AN213</f>
        <v>22</v>
      </c>
      <c r="AO214" s="80">
        <f t="shared" ref="AO214:AO216" si="41">IFERROR(IF(IF(OR(AI214&gt;=2,AJ214&gt;=8,AND(AI214=1,AJ214&gt;=4)),0,IF(OR(AND(AI214=1,AJ214&lt;4),AND(AI214=0,AJ214&gt;=4,AJ214&lt;8)),50%,100%))*(AN214-AM214)/AN214=0,-100%,IF(OR(AI214&gt;=2,AJ214&gt;=8,AND(AI214=1,AJ214&gt;=4)),0,IF(OR(AND(AI214=1,AJ214&lt;4),AND(AI214=0,AJ214&gt;=4,AJ214&lt;8)),50%,100%))*(AN214-AM214)/AN214-1),"")</f>
        <v>0</v>
      </c>
      <c r="AP214" s="81" t="str">
        <f t="shared" ca="1" si="0"/>
        <v/>
      </c>
      <c r="AQ214" s="82"/>
      <c r="AR214" s="97">
        <f>IFERROR(VLOOKUP(B214,OBJECTIFS!$C$76:$E$137,2,FALSE),0)</f>
        <v>0</v>
      </c>
      <c r="AS214" s="98">
        <f>IFERROR(VLOOKUP(B214,OBJECTIFS!$H$76:$J$137,2,FALSE),0)</f>
        <v>0</v>
      </c>
      <c r="AT214" s="98">
        <f>IFERROR(VLOOKUP(B214,OBJECTIFS!$C$142:$E$203,2,FALSE),0)</f>
        <v>0</v>
      </c>
      <c r="AU214" s="98">
        <f>IFERROR(VLOOKUP(B214,OBJECTIFS!$H$142:$J$203,2,FALSE),0)</f>
        <v>0</v>
      </c>
      <c r="AV214" s="98">
        <f>IFERROR(VLOOKUP(B214,OBJECTIFS!$F$208:$H$269,3,FALSE),0)</f>
        <v>0</v>
      </c>
      <c r="AW214" s="81">
        <f t="shared" ref="AW214:AW216" si="42">IF($B$5="interne",IF($AR$6="prime de langue",IF(AH214&gt;=191,SUM(AS214:AV214,AR214/191*191),SUM(AS214:AV214,AR214/191*AH214)),IF($AS$6="prime de langue",IF(AH214&gt;=191,SUM(AR214,AT214,AU214,AV214,AS214/191*191),SUM(AR214,AT214,AU214,AV214,AS214/191*AH214)),IF($AT$6="prime de langue",IF(AH214&gt;=191,SUM(AR214,AS214,AU214,AV214,AT214/191*191),SUM(AR214,AS214,AU214,AV214,AT214/191*AH214)),IF($AU$6="prime de langue",IF(AH214&gt;=191,SUM(AR214,AT214,AV214,AS214,AU214/191*191),SUM(AR214,AT214,AV214,AS214,AU214/191*AH214)),SUM(AR214:AV214))))),IF($AR$6="prime de langue",IF(AH214&gt;=176,SUM(AS214:AV214,AR214/176*176),SUM(AS214:AV214,AR214/176*AH214)),IF($AS$6="prime de langue",IF(AH214&gt;=176,SUM(AR214,AT214,AU214,AV214,AS214/176*176),SUM(AR214,AT214,AU214,AV214,AS214/176*AH214)),IF($AT$6="prime de langue",IF(AH214&gt;=176,SUM(AR214,AS214,AU214,AV214,AT214/176*176),SUM(AR214,AS214,AU214,AV214,AT214/176*AH214)),IF($AU$6="prime de langue",IF(AH214&gt;=176,SUM(AR214,AT214,AV214,AS214,AU214/176*176),SUM(AR214,AT214,AV214,AS214,AU214/176*AH214)),SUM(AR214:AV214))))))</f>
        <v>0</v>
      </c>
      <c r="AX214" s="82"/>
      <c r="AY214" s="99" t="str">
        <f t="shared" ref="AY214:AY216" ca="1" si="43">IFERROR(((H214*AF214/100)*(1+AO214)+AW214),"")</f>
        <v/>
      </c>
      <c r="AZ214" s="63"/>
      <c r="BA214" s="100">
        <f t="shared" ref="BA214:BA216" ca="1" si="44">IFERROR(IF(OR(AI214&gt;=2,AJ214&gt;=8,AND(AI214=1,AJ214&gt;=4)),0,IF(OR(AND(AI214=1,AJ214&lt;4),AND(AI214=0,AJ214&gt;=4,AJ214&lt;8)),0.5,1))*AF214*(AN214-AM214)/AN214,"")</f>
        <v>0</v>
      </c>
      <c r="BB214" s="64" t="str">
        <f t="shared" ca="1" si="1"/>
        <v/>
      </c>
      <c r="BC214" s="101" t="str">
        <f ca="1">IF(BA214=0,"",IF(BA214&gt;=MAX($BA$9:$BA$215),A214,""))</f>
        <v/>
      </c>
    </row>
    <row r="215" spans="1:55" x14ac:dyDescent="0.2">
      <c r="A215" s="21"/>
      <c r="B215" s="22"/>
      <c r="C215" s="22"/>
      <c r="D215" s="23"/>
      <c r="E215" s="24"/>
      <c r="F215" s="34"/>
      <c r="H215" s="89" t="str">
        <f>IF(OR(D215="",F215="",A215=""),"",IF(E215="oui",0,IF(D215=OBJECTIFS!$C$45,VLOOKUP(F215,OBJECTIFS!$C$9:$D$11,2,FALSE),IF(D215=OBJECTIFS!$C$46,VLOOKUP(F215,OBJECTIFS!$C$16:$D$18,2,FALSE),IF(D215=OBJECTIFS!$C$47,VLOOKUP(F215,OBJECTIFS!$C$23:$D$25,2,FALSE),IF(D215=OBJECTIFS!$C$48,VLOOKUP(F215,OBJECTIFS!$C$30:$D$32,2,FALSE),IF(D215=OBJECTIFS!$C$49,VLOOKUP(F215,OBJECTIFS!$C$37:$D$39,2,FALSE))))))))</f>
        <v/>
      </c>
      <c r="J215" s="25"/>
      <c r="K215" s="90" t="str">
        <f>IF(OR($A215="",$D215="",J215=""),"",SUMIFS(OBJECTIFS!E$9:E$39,OBJECTIFS!$A$9:$A$39,$D215,OBJECTIFS!$C$9:$C$39,$F215))</f>
        <v/>
      </c>
      <c r="L215" s="90" t="str">
        <f>IF(OR(AND($D215=OBJECTIFS!$B$6,OBJECTIFS!E$8="dmt"),AND($D215=OBJECTIFS!$B$13,OBJECTIFS!$E$15="dmt"),AND($D215=OBJECTIFS!$B$20,OBJECTIFS!$E$22="dmt"),AND($D215=OBJECTIFS!$B$27,OBJECTIFS!$E$29="dmt"),AND($D215=OBJECTIFS!$B$34,OBJECTIFS!$E$36="dmt"),AND($D215=OBJECTIFS!$B$6,OBJECTIFS!$E$8="taux de chute"),AND($D215=OBJECTIFS!$B$13,OBJECTIFS!$E$15="taux de chute"),AND($D215=OBJECTIFS!$B$20,OBJECTIFS!$E$22="taux de chute"),AND($D215=OBJECTIFS!$B$27,OBJECTIFS!$E$29="taux de chute"),AND($D215=OBJECTIFS!$B$34,OBJECTIFS!$E$36="taux de chute")),IFERROR(K215/J215,""),IFERROR(J215/K215,""))</f>
        <v/>
      </c>
      <c r="M215" s="91">
        <f>IFERROR(IF(OR(J215="",K215="",L215=""),0,IF(L215&lt;OBJECTIFS!$E$56,0,IF(L215&lt;OBJECTIFS!$G$56,M$8*OBJECTIFS!$F$60,IF(L215&lt;OBJECTIFS!$I$56,M$8*OBJECTIFS!$H$60,M$8)))),0)</f>
        <v>0</v>
      </c>
      <c r="N215" s="161"/>
      <c r="O215" s="92" t="str">
        <f>IF(OR($A215="",$D215="",N215=""),"",SUMIFS(OBJECTIFS!F$9:F$39,OBJECTIFS!$A$9:$A$39,$D215,OBJECTIFS!$C$9:$C$39,$F215))</f>
        <v/>
      </c>
      <c r="P215" s="90" t="str">
        <f>IF(OR(AND($D215=OBJECTIFS!$B$6,OBJECTIFS!$F$8="dmt"),AND($D215=OBJECTIFS!$B$13,OBJECTIFS!$F$15="dmt"),AND($D215=OBJECTIFS!$B$20,OBJECTIFS!$F$22="dmt"),AND($D215=OBJECTIFS!$B$27,OBJECTIFS!$F$29="dmt"),AND($D215=OBJECTIFS!$B$34,OBJECTIFS!$F$36="dmt"),AND($D215=OBJECTIFS!$B$6,OBJECTIFS!$F$8="taux de chute"),AND($D215=OBJECTIFS!$B$13,OBJECTIFS!$F$15="taux de chute"),AND($D215=OBJECTIFS!$B$20,OBJECTIFS!$F$22="taux de chute"),AND($D215=OBJECTIFS!$B$27,OBJECTIFS!$F$29="taux de chute"),AND($D215=OBJECTIFS!$B$34,OBJECTIFS!$F$36="taux de chute")),IFERROR(O215/N215,""),IFERROR(N215/O215,""))</f>
        <v/>
      </c>
      <c r="Q215" s="91">
        <f>IFERROR(IF(OR(N215="",O215="",P215=""),0,IF(P215&lt;OBJECTIFS!$E$56,0,IF(P215&lt;OBJECTIFS!$G$56,Q$8*OBJECTIFS!$F$60,IF(P215&lt;OBJECTIFS!$I$56,Q$8*OBJECTIFS!$H$60,Q$8)))),0)</f>
        <v>0</v>
      </c>
      <c r="R215" s="164"/>
      <c r="S215" s="93" t="str">
        <f>IF(OR($A215="",$D215="",R215=""),"",SUMIFS(OBJECTIFS!G$9:G$39,OBJECTIFS!$A$9:$A$39,$D215,OBJECTIFS!$C$9:$C$39,$F215))</f>
        <v/>
      </c>
      <c r="T215" s="90" t="str">
        <f>IF(OR(AND($D215=OBJECTIFS!$B$6,OBJECTIFS!G$8="dmt"),AND($D215=OBJECTIFS!$B$13,OBJECTIFS!$G$15="dmt"),AND($D215=OBJECTIFS!$B$20,OBJECTIFS!$G$22="dmt"),AND($D215=OBJECTIFS!$B$27,OBJECTIFS!$G$29="dmt"),AND($D215=OBJECTIFS!$B$34,OBJECTIFS!$G$36="dmt"),AND($D215=OBJECTIFS!$B$6,OBJECTIFS!$G$8="taux de chute"),AND($D215=OBJECTIFS!$B$13,OBJECTIFS!$G$15="taux de chute"),AND($D215=OBJECTIFS!$B$20,OBJECTIFS!$G$22="taux de chute"),AND($D215=OBJECTIFS!$B$27,OBJECTIFS!$G$29="taux de chute"),AND($D215=OBJECTIFS!$B$34,OBJECTIFS!$G$36="taux de chute")),IFERROR(S215/R215,""),IFERROR(R215/S215,""))</f>
        <v/>
      </c>
      <c r="U215" s="94">
        <f>IFERROR(IF(OR(R215="",S215="",T215=""),0,IF(T215&lt;OBJECTIFS!$E$56,0,IF(T215&lt;OBJECTIFS!$G$56,U$8*OBJECTIFS!$F$60,IF(T215&lt;OBJECTIFS!$I$56,U$8*OBJECTIFS!$H$60,U$8)))),0)</f>
        <v>0</v>
      </c>
      <c r="V215" s="25"/>
      <c r="W215" s="90" t="str">
        <f>IF(OR($A215="",$D215="",V215=""),"",SUMIFS(OBJECTIFS!H$9:H$39,OBJECTIFS!$A$9:$A$39,$D215,OBJECTIFS!$C$9:$C$39,$F215))</f>
        <v/>
      </c>
      <c r="X215" s="90" t="str">
        <f>IF(OR(AND($D215=OBJECTIFS!$B$6,OBJECTIFS!H$8="dmt"),AND($D215=OBJECTIFS!$B$13,OBJECTIFS!$H$15="dmt"),AND($D215=OBJECTIFS!$B$20,OBJECTIFS!$H$22="dmt"),AND($D215=OBJECTIFS!$B$27,OBJECTIFS!$H$29="dmt"),AND($D215=OBJECTIFS!$B$34,OBJECTIFS!$H$36="dmt"),AND($D215=OBJECTIFS!$B$6,OBJECTIFS!$H$8="taux de chute"),AND($D215=OBJECTIFS!$B$13,OBJECTIFS!$H$15="taux de chute"),AND($D215=OBJECTIFS!$B$20,OBJECTIFS!$H$22="taux de chute"),AND($D215=OBJECTIFS!$B$27,OBJECTIFS!$H$29="taux de chute"),AND($D215=OBJECTIFS!$B$34,OBJECTIFS!$H$36="taux de chute")),IFERROR(W215/V215,""),IFERROR(V215/W215,""))</f>
        <v/>
      </c>
      <c r="Y215" s="91">
        <f>IFERROR(IF(OR(V215="",W215="",X215=""),0,IF(X215&lt;OBJECTIFS!$E$56,0,IF(X215&lt;OBJECTIFS!$G$56,Y$8*OBJECTIFS!$F$60,IF(X215&lt;OBJECTIFS!$I$56,Y$8*OBJECTIFS!$H$60,Y$8)))),0)</f>
        <v>0</v>
      </c>
      <c r="Z215" s="167"/>
      <c r="AA215" s="90" t="str">
        <f>IF(OR($A215="",$D215="",Z215=""),"",SUMIFS(OBJECTIFS!I$9:I$39,OBJECTIFS!$A$9:$A$39,$D215,OBJECTIFS!$C$9:$C$39,$F215))</f>
        <v/>
      </c>
      <c r="AB215" s="90" t="str">
        <f>IF(OR(AND($D215=OBJECTIFS!$B$6,OBJECTIFS!I$8="dmt"),AND($D215=OBJECTIFS!$B$13,OBJECTIFS!$I$15="dmt"),AND($D215=OBJECTIFS!$B$20,OBJECTIFS!$I$22="dmt"),AND($D215=OBJECTIFS!$B$27,OBJECTIFS!$I$29="dmt"),AND($D215=OBJECTIFS!$B$34,OBJECTIFS!$I$36="dmt"),AND($D215=OBJECTIFS!$B$6,OBJECTIFS!$I$8="taux de chute"),AND($D215=OBJECTIFS!$B$13,OBJECTIFS!$I$15="taux de chute"),AND($D215=OBJECTIFS!$B$20,OBJECTIFS!$I$22="taux de chute"),AND($D215=OBJECTIFS!$B$27,OBJECTIFS!$I$29="taux de chute"),AND($D215=OBJECTIFS!$B$34,OBJECTIFS!$I$36="taux de chute")),IFERROR(AA215/Z215,""),IFERROR(Z215/AA215,""))</f>
        <v/>
      </c>
      <c r="AC215" s="95">
        <f>IFERROR(IF(OR(Z215="",AA215="",AB215=""),0,IF(AB215&lt;OBJECTIFS!$E$56,0,IF(AB215&lt;OBJECTIFS!$G$56,AC$8*OBJECTIFS!$F$60,IF(AB215&lt;OBJECTIFS!$I$56,AC$8*OBJECTIFS!$H$60,AC$8)))),0)</f>
        <v>0</v>
      </c>
      <c r="AD215" s="281"/>
      <c r="AE215" s="282"/>
      <c r="AF215" s="96">
        <f t="shared" ca="1" si="38"/>
        <v>0</v>
      </c>
      <c r="AG215" s="63"/>
      <c r="AH215" s="169"/>
      <c r="AI215" s="24"/>
      <c r="AJ215" s="24"/>
      <c r="AK215" s="24"/>
      <c r="AL215" s="24"/>
      <c r="AM215" s="79">
        <f t="shared" si="39"/>
        <v>0</v>
      </c>
      <c r="AN215" s="79">
        <f t="shared" si="40"/>
        <v>22</v>
      </c>
      <c r="AO215" s="80">
        <f t="shared" si="41"/>
        <v>0</v>
      </c>
      <c r="AP215" s="81" t="str">
        <f t="shared" ca="1" si="0"/>
        <v/>
      </c>
      <c r="AQ215" s="82"/>
      <c r="AR215" s="97">
        <f>IFERROR(VLOOKUP(B215,OBJECTIFS!$C$76:$E$137,2,FALSE),0)</f>
        <v>0</v>
      </c>
      <c r="AS215" s="98">
        <f>IFERROR(VLOOKUP(B215,OBJECTIFS!$H$76:$J$137,2,FALSE),0)</f>
        <v>0</v>
      </c>
      <c r="AT215" s="98">
        <f>IFERROR(VLOOKUP(B215,OBJECTIFS!$C$142:$E$203,2,FALSE),0)</f>
        <v>0</v>
      </c>
      <c r="AU215" s="98">
        <f>IFERROR(VLOOKUP(B215,OBJECTIFS!$H$142:$J$203,2,FALSE),0)</f>
        <v>0</v>
      </c>
      <c r="AV215" s="98">
        <f>IFERROR(VLOOKUP(B215,OBJECTIFS!$F$208:$H$269,3,FALSE),0)</f>
        <v>0</v>
      </c>
      <c r="AW215" s="81">
        <f t="shared" si="42"/>
        <v>0</v>
      </c>
      <c r="AX215" s="82"/>
      <c r="AY215" s="99" t="str">
        <f t="shared" ca="1" si="43"/>
        <v/>
      </c>
      <c r="AZ215" s="63"/>
      <c r="BA215" s="100">
        <f t="shared" ca="1" si="44"/>
        <v>0</v>
      </c>
      <c r="BB215" s="64" t="str">
        <f t="shared" ca="1" si="1"/>
        <v/>
      </c>
      <c r="BC215" s="101" t="str">
        <f ca="1">IF(BA215=0,"",IF(BA215&gt;=MAX($BA$9:$BA$215),A215,""))</f>
        <v/>
      </c>
    </row>
    <row r="216" spans="1:55" x14ac:dyDescent="0.2">
      <c r="A216" s="26"/>
      <c r="B216" s="27"/>
      <c r="C216" s="27"/>
      <c r="D216" s="28"/>
      <c r="E216" s="29"/>
      <c r="F216" s="35"/>
      <c r="H216" s="103" t="str">
        <f>IF(OR(D216="",F216="",A216=""),"",IF(E216="oui",0,IF(D216=OBJECTIFS!$C$45,VLOOKUP(F216,OBJECTIFS!$C$9:$D$11,2,FALSE),IF(D216=OBJECTIFS!$C$46,VLOOKUP(F216,OBJECTIFS!$C$16:$D$18,2,FALSE),IF(D216=OBJECTIFS!$C$47,VLOOKUP(F216,OBJECTIFS!$C$23:$D$25,2,FALSE),IF(D216=OBJECTIFS!$C$48,VLOOKUP(F216,OBJECTIFS!$C$30:$D$32,2,FALSE),IF(D216=OBJECTIFS!$C$49,VLOOKUP(F216,OBJECTIFS!$C$37:$D$39,2,FALSE))))))))</f>
        <v/>
      </c>
      <c r="J216" s="30"/>
      <c r="K216" s="104" t="str">
        <f>IF(OR($A216="",$D216="",J216=""),"",SUMIFS(OBJECTIFS!E$9:E$39,OBJECTIFS!$A$9:$A$39,$D216,OBJECTIFS!$C$9:$C$39,$F216))</f>
        <v/>
      </c>
      <c r="L216" s="104" t="str">
        <f>IF(OR(AND($D216=OBJECTIFS!$B$6,OBJECTIFS!E$8="dmt"),AND($D216=OBJECTIFS!$B$13,OBJECTIFS!$E$15="dmt"),AND($D216=OBJECTIFS!$B$20,OBJECTIFS!$E$22="dmt"),AND($D216=OBJECTIFS!$B$27,OBJECTIFS!$E$29="dmt"),AND($D216=OBJECTIFS!$B$34,OBJECTIFS!$E$36="dmt"),AND($D216=OBJECTIFS!$B$6,OBJECTIFS!$E$8="taux de chute"),AND($D216=OBJECTIFS!$B$13,OBJECTIFS!$E$15="taux de chute"),AND($D216=OBJECTIFS!$B$20,OBJECTIFS!$E$22="taux de chute"),AND($D216=OBJECTIFS!$B$27,OBJECTIFS!$E$29="taux de chute"),AND($D216=OBJECTIFS!$B$34,OBJECTIFS!$E$36="taux de chute")),IFERROR(K216/J216,""),IFERROR(J216/K216,""))</f>
        <v/>
      </c>
      <c r="M216" s="105">
        <f>IFERROR(IF(OR(J216="",K216="",L216=""),0,IF(L216&lt;OBJECTIFS!$E$56,0,IF(L216&lt;OBJECTIFS!$G$56,M$8*OBJECTIFS!$F$60,IF(L216&lt;OBJECTIFS!$I$56,M$8*OBJECTIFS!$H$60,M$8)))),0)</f>
        <v>0</v>
      </c>
      <c r="N216" s="162"/>
      <c r="O216" s="106" t="str">
        <f>IF(OR($A216="",$D216="",N216=""),"",SUMIFS(OBJECTIFS!F$9:F$39,OBJECTIFS!$A$9:$A$39,$D216,OBJECTIFS!$C$9:$C$39,$F216))</f>
        <v/>
      </c>
      <c r="P216" s="104" t="str">
        <f>IF(OR(AND($D216=OBJECTIFS!$B$6,OBJECTIFS!$F$8="dmt"),AND($D216=OBJECTIFS!$B$13,OBJECTIFS!$F$15="dmt"),AND($D216=OBJECTIFS!$B$20,OBJECTIFS!$F$22="dmt"),AND($D216=OBJECTIFS!$B$27,OBJECTIFS!$F$29="dmt"),AND($D216=OBJECTIFS!$B$34,OBJECTIFS!$F$36="dmt"),AND($D216=OBJECTIFS!$B$6,OBJECTIFS!$F$8="taux de chute"),AND($D216=OBJECTIFS!$B$13,OBJECTIFS!$F$15="taux de chute"),AND($D216=OBJECTIFS!$B$20,OBJECTIFS!$F$22="taux de chute"),AND($D216=OBJECTIFS!$B$27,OBJECTIFS!$F$29="taux de chute"),AND($D216=OBJECTIFS!$B$34,OBJECTIFS!$F$36="taux de chute")),IFERROR(O216/N216,""),IFERROR(N216/O216,""))</f>
        <v/>
      </c>
      <c r="Q216" s="105">
        <f>IFERROR(IF(OR(N216="",O216="",P216=""),0,IF(P216&lt;OBJECTIFS!$E$56,0,IF(P216&lt;OBJECTIFS!$G$56,Q$8*OBJECTIFS!$F$60,IF(P216&lt;OBJECTIFS!$I$56,Q$8*OBJECTIFS!$H$60,Q$8)))),0)</f>
        <v>0</v>
      </c>
      <c r="R216" s="165"/>
      <c r="S216" s="107" t="str">
        <f>IF(OR($A216="",$D216="",R216=""),"",SUMIFS(OBJECTIFS!G$9:G$39,OBJECTIFS!$A$9:$A$39,$D216,OBJECTIFS!$C$9:$C$39,$F216))</f>
        <v/>
      </c>
      <c r="T216" s="104" t="str">
        <f>IF(OR(AND($D216=OBJECTIFS!$B$6,OBJECTIFS!G$8="dmt"),AND($D216=OBJECTIFS!$B$13,OBJECTIFS!$G$15="dmt"),AND($D216=OBJECTIFS!$B$20,OBJECTIFS!$G$22="dmt"),AND($D216=OBJECTIFS!$B$27,OBJECTIFS!$G$29="dmt"),AND($D216=OBJECTIFS!$B$34,OBJECTIFS!$G$36="dmt"),AND($D216=OBJECTIFS!$B$6,OBJECTIFS!$G$8="taux de chute"),AND($D216=OBJECTIFS!$B$13,OBJECTIFS!$G$15="taux de chute"),AND($D216=OBJECTIFS!$B$20,OBJECTIFS!$G$22="taux de chute"),AND($D216=OBJECTIFS!$B$27,OBJECTIFS!$G$29="taux de chute"),AND($D216=OBJECTIFS!$B$34,OBJECTIFS!$G$36="taux de chute")),IFERROR(S216/R216,""),IFERROR(R216/S216,""))</f>
        <v/>
      </c>
      <c r="U216" s="108">
        <f>IFERROR(IF(OR(R216="",S216="",T216=""),0,IF(T216&lt;OBJECTIFS!$E$56,0,IF(T216&lt;OBJECTIFS!$G$56,U$8*OBJECTIFS!$F$60,IF(T216&lt;OBJECTIFS!$I$56,U$8*OBJECTIFS!$H$60,U$8)))),0)</f>
        <v>0</v>
      </c>
      <c r="V216" s="30"/>
      <c r="W216" s="104" t="str">
        <f>IF(OR($A216="",$D216="",V216=""),"",SUMIFS(OBJECTIFS!H$9:H$39,OBJECTIFS!$A$9:$A$39,$D216,OBJECTIFS!$C$9:$C$39,$F216))</f>
        <v/>
      </c>
      <c r="X216" s="104" t="str">
        <f>IF(OR(AND($D216=OBJECTIFS!$B$6,OBJECTIFS!H$8="dmt"),AND($D216=OBJECTIFS!$B$13,OBJECTIFS!$H$15="dmt"),AND($D216=OBJECTIFS!$B$20,OBJECTIFS!$H$22="dmt"),AND($D216=OBJECTIFS!$B$27,OBJECTIFS!$H$29="dmt"),AND($D216=OBJECTIFS!$B$34,OBJECTIFS!$H$36="dmt"),AND($D216=OBJECTIFS!$B$6,OBJECTIFS!$H$8="taux de chute"),AND($D216=OBJECTIFS!$B$13,OBJECTIFS!$H$15="taux de chute"),AND($D216=OBJECTIFS!$B$20,OBJECTIFS!$H$22="taux de chute"),AND($D216=OBJECTIFS!$B$27,OBJECTIFS!$H$29="taux de chute"),AND($D216=OBJECTIFS!$B$34,OBJECTIFS!$H$36="taux de chute")),IFERROR(W216/V216,""),IFERROR(V216/W216,""))</f>
        <v/>
      </c>
      <c r="Y216" s="105">
        <f>IFERROR(IF(OR(V216="",W216="",X216=""),0,IF(X216&lt;OBJECTIFS!$E$56,0,IF(X216&lt;OBJECTIFS!$G$56,Y$8*OBJECTIFS!$F$60,IF(X216&lt;OBJECTIFS!$I$56,Y$8*OBJECTIFS!$H$60,Y$8)))),0)</f>
        <v>0</v>
      </c>
      <c r="Z216" s="168"/>
      <c r="AA216" s="104" t="str">
        <f>IF(OR($A216="",$D216="",Z216=""),"",SUMIFS(OBJECTIFS!I$9:I$39,OBJECTIFS!$A$9:$A$39,$D216,OBJECTIFS!$C$9:$C$39,$F216))</f>
        <v/>
      </c>
      <c r="AB216" s="104" t="str">
        <f>IF(OR(AND($D216=OBJECTIFS!$B$6,OBJECTIFS!I$8="dmt"),AND($D216=OBJECTIFS!$B$13,OBJECTIFS!$I$15="dmt"),AND($D216=OBJECTIFS!$B$20,OBJECTIFS!$I$22="dmt"),AND($D216=OBJECTIFS!$B$27,OBJECTIFS!$I$29="dmt"),AND($D216=OBJECTIFS!$B$34,OBJECTIFS!$I$36="dmt"),AND($D216=OBJECTIFS!$B$6,OBJECTIFS!$I$8="taux de chute"),AND($D216=OBJECTIFS!$B$13,OBJECTIFS!$I$15="taux de chute"),AND($D216=OBJECTIFS!$B$20,OBJECTIFS!$I$22="taux de chute"),AND($D216=OBJECTIFS!$B$27,OBJECTIFS!$I$29="taux de chute"),AND($D216=OBJECTIFS!$B$34,OBJECTIFS!$I$36="taux de chute")),IFERROR(AA216/Z216,""),IFERROR(Z216/AA216,""))</f>
        <v/>
      </c>
      <c r="AC216" s="109">
        <f>IFERROR(IF(OR(Z216="",AA216="",AB216=""),0,IF(AB216&lt;OBJECTIFS!$E$56,0,IF(AB216&lt;OBJECTIFS!$G$56,AC$8*OBJECTIFS!$F$60,IF(AB216&lt;OBJECTIFS!$I$56,AC$8*OBJECTIFS!$H$60,AC$8)))),0)</f>
        <v>0</v>
      </c>
      <c r="AD216" s="307"/>
      <c r="AE216" s="308"/>
      <c r="AF216" s="110">
        <f t="shared" ca="1" si="38"/>
        <v>0</v>
      </c>
      <c r="AG216" s="63"/>
      <c r="AH216" s="170"/>
      <c r="AI216" s="29"/>
      <c r="AJ216" s="29"/>
      <c r="AK216" s="29"/>
      <c r="AL216" s="29"/>
      <c r="AM216" s="111">
        <f t="shared" si="39"/>
        <v>0</v>
      </c>
      <c r="AN216" s="111">
        <f t="shared" si="40"/>
        <v>22</v>
      </c>
      <c r="AO216" s="112">
        <f t="shared" si="41"/>
        <v>0</v>
      </c>
      <c r="AP216" s="113" t="str">
        <f t="shared" ref="AP216" ca="1" si="45">IFERROR((H216*AF216/100)*(1+AO216),"")</f>
        <v/>
      </c>
      <c r="AQ216" s="82"/>
      <c r="AR216" s="114">
        <f>IFERROR(VLOOKUP(B216,OBJECTIFS!$C$76:$E$137,2,FALSE),0)</f>
        <v>0</v>
      </c>
      <c r="AS216" s="115">
        <f>IFERROR(VLOOKUP(B216,OBJECTIFS!$H$76:$J$137,2,FALSE),0)</f>
        <v>0</v>
      </c>
      <c r="AT216" s="115">
        <f>IFERROR(VLOOKUP(B216,OBJECTIFS!$C$142:$E$203,2,FALSE),0)</f>
        <v>0</v>
      </c>
      <c r="AU216" s="115">
        <f>IFERROR(VLOOKUP(B216,OBJECTIFS!$H$142:$J$203,2,FALSE),0)</f>
        <v>0</v>
      </c>
      <c r="AV216" s="115">
        <f>IFERROR(VLOOKUP(B216,OBJECTIFS!$F$208:$H$269,3,FALSE),0)</f>
        <v>0</v>
      </c>
      <c r="AW216" s="113">
        <f t="shared" si="42"/>
        <v>0</v>
      </c>
      <c r="AX216" s="82"/>
      <c r="AY216" s="116" t="str">
        <f t="shared" ca="1" si="43"/>
        <v/>
      </c>
      <c r="AZ216" s="63"/>
      <c r="BA216" s="117">
        <f t="shared" ca="1" si="44"/>
        <v>0</v>
      </c>
      <c r="BB216" s="64" t="str">
        <f t="shared" ref="BB216" ca="1" si="46">IF(BC216="","","è")</f>
        <v/>
      </c>
      <c r="BC216" s="118" t="str">
        <f ca="1">IF(BA216=0,"",IF(BA216&gt;=MAX($BA$9:$BA$215),A216,""))</f>
        <v/>
      </c>
    </row>
    <row r="217" spans="1:55" x14ac:dyDescent="0.2">
      <c r="AR217" s="61" t="str">
        <f>IF(SUM(AR9:AR216)=SUM(OBJECTIFS!D76:E137),"OK","ALERTE")</f>
        <v>OK</v>
      </c>
      <c r="AS217" s="61" t="str">
        <f>IF(SUM(AS9:AS216)=SUM(OBJECTIFS!I76:J137),"OK","ALERTE")</f>
        <v>OK</v>
      </c>
      <c r="AT217" s="61" t="str">
        <f>IF(SUM(AT9:AT216)=SUM(OBJECTIFS!D142:E203),"OK","ALERTE")</f>
        <v>OK</v>
      </c>
      <c r="AU217" s="61" t="str">
        <f>IF(SUM(AU9:AU216)=SUM(OBJECTIFS!I142:J203),"OK","ALERTE")</f>
        <v>OK</v>
      </c>
      <c r="AV217" s="61" t="str">
        <f>IF(SUM(AV9:AV216)=SUM(OBJECTIFS!H208:H269),"OK","ALERTE")</f>
        <v>OK</v>
      </c>
      <c r="AW217" s="175" t="s">
        <v>153</v>
      </c>
    </row>
    <row r="218" spans="1:55" x14ac:dyDescent="0.2">
      <c r="J218" s="295" t="str">
        <f>J7</f>
        <v>KPI1</v>
      </c>
      <c r="K218" s="296"/>
      <c r="L218" s="297"/>
      <c r="N218" s="295" t="str">
        <f>N7</f>
        <v>KPI2</v>
      </c>
      <c r="O218" s="296"/>
      <c r="P218" s="297"/>
      <c r="R218" s="295" t="str">
        <f>R7</f>
        <v>KPI3</v>
      </c>
      <c r="S218" s="296"/>
      <c r="T218" s="297"/>
      <c r="V218" s="295" t="str">
        <f>V7</f>
        <v>KPI4</v>
      </c>
      <c r="W218" s="296"/>
      <c r="X218" s="297"/>
      <c r="Z218" s="295" t="str">
        <f>Z7</f>
        <v>KPI5</v>
      </c>
      <c r="AA218" s="296"/>
      <c r="AB218" s="297"/>
      <c r="AR218" s="286" t="s">
        <v>77</v>
      </c>
      <c r="AS218" s="287"/>
      <c r="AT218" s="287"/>
      <c r="AU218" s="288"/>
      <c r="AV218" s="119"/>
      <c r="AW218" s="309" t="s">
        <v>78</v>
      </c>
      <c r="AX218" s="309"/>
      <c r="AY218" s="120" t="str">
        <f ca="1">IFERROR(AVERAGE($AY$9:$AY$216),"")</f>
        <v/>
      </c>
    </row>
    <row r="219" spans="1:55" x14ac:dyDescent="0.2">
      <c r="A219" s="121" t="s">
        <v>86</v>
      </c>
      <c r="J219" s="122" t="s">
        <v>79</v>
      </c>
      <c r="K219" s="122" t="s">
        <v>72</v>
      </c>
      <c r="L219" s="122" t="s">
        <v>80</v>
      </c>
      <c r="N219" s="122" t="s">
        <v>79</v>
      </c>
      <c r="O219" s="122" t="s">
        <v>72</v>
      </c>
      <c r="P219" s="122" t="s">
        <v>80</v>
      </c>
      <c r="R219" s="122" t="s">
        <v>79</v>
      </c>
      <c r="S219" s="122" t="s">
        <v>72</v>
      </c>
      <c r="T219" s="122" t="s">
        <v>80</v>
      </c>
      <c r="V219" s="122" t="s">
        <v>79</v>
      </c>
      <c r="W219" s="122" t="s">
        <v>72</v>
      </c>
      <c r="X219" s="122" t="s">
        <v>80</v>
      </c>
      <c r="Z219" s="122" t="s">
        <v>79</v>
      </c>
      <c r="AA219" s="122" t="s">
        <v>72</v>
      </c>
      <c r="AB219" s="122" t="s">
        <v>80</v>
      </c>
      <c r="AR219" s="289"/>
      <c r="AS219" s="290"/>
      <c r="AT219" s="290"/>
      <c r="AU219" s="291"/>
      <c r="AV219" s="123"/>
      <c r="AW219" s="309" t="s">
        <v>64</v>
      </c>
      <c r="AX219" s="310"/>
      <c r="AY219" s="120" t="str">
        <f>IFERROR(SUMIF($F$9:$F$216,AW219,$AY$9:$AY$216)/COUNTIF($F$9:$F$216,AW219),"")</f>
        <v/>
      </c>
    </row>
    <row r="220" spans="1:55" x14ac:dyDescent="0.2">
      <c r="J220" s="124" t="str">
        <f>IFERROR(AVERAGEIFS(J$9:J$216,$C$9:$C$216,$A$219),"")</f>
        <v/>
      </c>
      <c r="K220" s="124" t="str">
        <f>IFERROR(AVERAGEIFS(K$9:K$216,$C$9:$C$216,$A$219),"")</f>
        <v/>
      </c>
      <c r="L220" s="124" t="str">
        <f>IFERROR(J220/K220,"")</f>
        <v/>
      </c>
      <c r="N220" s="120" t="str">
        <f>IFERROR(AVERAGEIFS(N$9:N$216,$C$9:$C$216,$A$219),"")</f>
        <v/>
      </c>
      <c r="O220" s="120" t="str">
        <f>IFERROR(AVERAGEIFS(O$9:O$216,$C$9:$C$216,$A$219),"")</f>
        <v/>
      </c>
      <c r="P220" s="120" t="str">
        <f>IFERROR(N220/O220,"")</f>
        <v/>
      </c>
      <c r="R220" s="120" t="str">
        <f>IFERROR(AVERAGEIFS(R$9:R$216,$C$9:$C$216,$A$219),"")</f>
        <v/>
      </c>
      <c r="S220" s="120" t="str">
        <f>IFERROR(AVERAGEIFS(S$9:S$216,$C$9:$C$216,$A$219),"")</f>
        <v/>
      </c>
      <c r="T220" s="120" t="str">
        <f>IFERROR(R220/S220,"")</f>
        <v/>
      </c>
      <c r="V220" s="120" t="str">
        <f>IFERROR(AVERAGEIFS(V$9:V$216,$C$9:$C$216,$A$219),"")</f>
        <v/>
      </c>
      <c r="W220" s="120" t="str">
        <f>IFERROR(AVERAGEIFS(W$9:W$216,$C$9:$C$216,$A$219),"")</f>
        <v/>
      </c>
      <c r="X220" s="120" t="str">
        <f>IFERROR(V220/W220,"")</f>
        <v/>
      </c>
      <c r="Z220" s="120" t="str">
        <f>IFERROR(AVERAGEIFS(Z$9:Z$216,$C$9:$C$216,$A$219),"")</f>
        <v/>
      </c>
      <c r="AA220" s="120" t="str">
        <f>IFERROR(AVERAGEIFS(AA$9:AA$216,$C$9:$C$216,$A$219),"")</f>
        <v/>
      </c>
      <c r="AB220" s="120" t="str">
        <f>IFERROR(Z220/AA220,"")</f>
        <v/>
      </c>
      <c r="AR220" s="289"/>
      <c r="AS220" s="290"/>
      <c r="AT220" s="290"/>
      <c r="AU220" s="291"/>
      <c r="AV220" s="125"/>
      <c r="AW220" s="311" t="s">
        <v>27</v>
      </c>
      <c r="AX220" s="312"/>
      <c r="AY220" s="120" t="str">
        <f>IFERROR(SUMIF($F$9:$F$216,AW220,$AY$9:$AY$216)/COUNTIF($F$9:$F$216,AW220),"")</f>
        <v/>
      </c>
    </row>
    <row r="221" spans="1:55" x14ac:dyDescent="0.2">
      <c r="AR221" s="292"/>
      <c r="AS221" s="293"/>
      <c r="AT221" s="293"/>
      <c r="AU221" s="294"/>
      <c r="AV221" s="126"/>
      <c r="AW221" s="309" t="s">
        <v>65</v>
      </c>
      <c r="AX221" s="310"/>
      <c r="AY221" s="120" t="str">
        <f>IFERROR(SUMIF($F$9:$F$216,AW221,$AY$9:$AY$216)/COUNTIF($F$9:$F$216,AW221),"")</f>
        <v/>
      </c>
    </row>
    <row r="222" spans="1:55" ht="16.5" customHeight="1" x14ac:dyDescent="0.2">
      <c r="AR222" s="283" t="s">
        <v>81</v>
      </c>
      <c r="AS222" s="284"/>
      <c r="AT222" s="284"/>
      <c r="AU222" s="284"/>
      <c r="AV222" s="284"/>
      <c r="AW222" s="284"/>
      <c r="AX222" s="285"/>
      <c r="AY222" s="127">
        <f ca="1">SUM(AY9:AY216)</f>
        <v>0</v>
      </c>
    </row>
    <row r="223" spans="1:55" ht="4.5" customHeight="1" x14ac:dyDescent="0.2">
      <c r="AW223" s="128"/>
      <c r="AY223" s="61" t="str">
        <f>IFERROR(SUMIF($E$9:$E$215,AW223,$AY$9:$AY$216)/COUNTIF($E$9:$E$215,AW223),"")</f>
        <v/>
      </c>
    </row>
  </sheetData>
  <sheetProtection formatCells="0" formatColumns="0" formatRows="0" autoFilter="0" pivotTables="0"/>
  <autoFilter ref="A8:BC13">
    <filterColumn colId="29" showButton="0"/>
  </autoFilter>
  <mergeCells count="142">
    <mergeCell ref="AW220:AX220"/>
    <mergeCell ref="AW221:AX221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0:AE180"/>
    <mergeCell ref="AD181:AE181"/>
    <mergeCell ref="AD182:AE182"/>
    <mergeCell ref="AH7:AH8"/>
    <mergeCell ref="AJ7:AJ8"/>
    <mergeCell ref="AD216:AE216"/>
    <mergeCell ref="R218:T218"/>
    <mergeCell ref="N218:P218"/>
    <mergeCell ref="V218:X218"/>
    <mergeCell ref="Z218:AB218"/>
    <mergeCell ref="AW218:AX218"/>
    <mergeCell ref="AW219:AX219"/>
    <mergeCell ref="AD183:AE183"/>
    <mergeCell ref="AD184:AE184"/>
    <mergeCell ref="AD185:AE185"/>
    <mergeCell ref="AD186:AE186"/>
    <mergeCell ref="AD187:AE187"/>
    <mergeCell ref="AD197:AE197"/>
    <mergeCell ref="AD198:AE198"/>
    <mergeCell ref="AD199:AE199"/>
    <mergeCell ref="AD188:AE188"/>
    <mergeCell ref="AD189:AE189"/>
    <mergeCell ref="AD190:AE190"/>
    <mergeCell ref="AD191:AE191"/>
    <mergeCell ref="AD192:AE192"/>
    <mergeCell ref="AD193:AE193"/>
    <mergeCell ref="AD194:AE194"/>
    <mergeCell ref="AV6:AV8"/>
    <mergeCell ref="AD160:AE160"/>
    <mergeCell ref="AR222:AX222"/>
    <mergeCell ref="AR218:AU221"/>
    <mergeCell ref="J218:L218"/>
    <mergeCell ref="B2:D2"/>
    <mergeCell ref="B3:D3"/>
    <mergeCell ref="AD213:AE213"/>
    <mergeCell ref="AD214:AE214"/>
    <mergeCell ref="AD215:AE215"/>
    <mergeCell ref="AW6:AW8"/>
    <mergeCell ref="AD212:AE212"/>
    <mergeCell ref="AD15:AE15"/>
    <mergeCell ref="AD16:AE16"/>
    <mergeCell ref="AD17:AE17"/>
    <mergeCell ref="AL7:AL8"/>
    <mergeCell ref="AM7:AM8"/>
    <mergeCell ref="AN7:AN8"/>
    <mergeCell ref="AD9:AE9"/>
    <mergeCell ref="AD10:AE10"/>
    <mergeCell ref="AD11:AE11"/>
    <mergeCell ref="AA7:AA8"/>
    <mergeCell ref="AB7:AB8"/>
    <mergeCell ref="AD7:AE8"/>
    <mergeCell ref="AD155:AE155"/>
    <mergeCell ref="AD156:AE156"/>
    <mergeCell ref="AD157:AE157"/>
    <mergeCell ref="AD158:AE158"/>
    <mergeCell ref="AD159:AE159"/>
    <mergeCell ref="AD200:AE200"/>
    <mergeCell ref="AD12:AE12"/>
    <mergeCell ref="AD13:AE13"/>
    <mergeCell ref="AD14:AE14"/>
    <mergeCell ref="AD195:AE195"/>
    <mergeCell ref="AD196:AE196"/>
    <mergeCell ref="AD207:AE207"/>
    <mergeCell ref="AD208:AE208"/>
    <mergeCell ref="AD209:AE209"/>
    <mergeCell ref="AD210:AE210"/>
    <mergeCell ref="AD211:AE211"/>
    <mergeCell ref="AD201:AE201"/>
    <mergeCell ref="AD202:AE202"/>
    <mergeCell ref="AD203:AE203"/>
    <mergeCell ref="AD204:AE204"/>
    <mergeCell ref="AD205:AE205"/>
    <mergeCell ref="AD206:AE206"/>
    <mergeCell ref="BC6:BC8"/>
    <mergeCell ref="J7:J8"/>
    <mergeCell ref="K7:K8"/>
    <mergeCell ref="L7:L8"/>
    <mergeCell ref="N7:N8"/>
    <mergeCell ref="O7:O8"/>
    <mergeCell ref="P7:P8"/>
    <mergeCell ref="R7:R8"/>
    <mergeCell ref="S7:S8"/>
    <mergeCell ref="T7:T8"/>
    <mergeCell ref="AY6:AY8"/>
    <mergeCell ref="BA6:BA8"/>
    <mergeCell ref="AP6:AP8"/>
    <mergeCell ref="AR6:AR8"/>
    <mergeCell ref="AS6:AS8"/>
    <mergeCell ref="AT6:AT8"/>
    <mergeCell ref="AU6:AU8"/>
    <mergeCell ref="J6:U6"/>
    <mergeCell ref="V6:AC6"/>
    <mergeCell ref="AD6:AE6"/>
    <mergeCell ref="AF6:AF8"/>
    <mergeCell ref="AH6:AN6"/>
    <mergeCell ref="AO6:AO8"/>
    <mergeCell ref="AI7:AI8"/>
    <mergeCell ref="AR1:AW1"/>
    <mergeCell ref="A6:A8"/>
    <mergeCell ref="J1:T1"/>
    <mergeCell ref="AH1:AO1"/>
    <mergeCell ref="J2:N2"/>
    <mergeCell ref="O2:T2"/>
    <mergeCell ref="AH2:AL2"/>
    <mergeCell ref="AM2:AO2"/>
    <mergeCell ref="B6:B8"/>
    <mergeCell ref="C6:C8"/>
    <mergeCell ref="D6:D8"/>
    <mergeCell ref="E6:E8"/>
    <mergeCell ref="F6:F8"/>
    <mergeCell ref="V7:V8"/>
    <mergeCell ref="W7:W8"/>
    <mergeCell ref="X7:X8"/>
    <mergeCell ref="Z7:Z8"/>
    <mergeCell ref="AH3:AL3"/>
    <mergeCell ref="AM3:AO3"/>
    <mergeCell ref="H6:H8"/>
    <mergeCell ref="AK7:AK8"/>
    <mergeCell ref="AS2:AW2"/>
    <mergeCell ref="AS3:AW3"/>
    <mergeCell ref="AS4:AW4"/>
  </mergeCells>
  <conditionalFormatting sqref="AY220:XFD220 AW218:XFD219 AW220 AW221:XFD221 A221:AQ221 U218:U220 A218:Q220 Y218:Y220 AC219:AQ220 AC218:AR218 A222:XFD1048576 A217:AQ217 AX217:XFD217 A1:XFD216">
    <cfRule type="containsBlanks" dxfId="35" priority="36">
      <formula>LEN(TRIM(A1))=0</formula>
    </cfRule>
  </conditionalFormatting>
  <conditionalFormatting sqref="BA9:BA216">
    <cfRule type="dataBar" priority="33">
      <dataBar>
        <cfvo type="min"/>
        <cfvo type="max"/>
        <color rgb="FFD6007B"/>
      </dataBar>
    </cfRule>
  </conditionalFormatting>
  <conditionalFormatting sqref="AY9:AY216">
    <cfRule type="dataBar" priority="32">
      <dataBar>
        <cfvo type="min"/>
        <cfvo type="max"/>
        <color rgb="FF638EC6"/>
      </dataBar>
    </cfRule>
  </conditionalFormatting>
  <conditionalFormatting sqref="BC9:BC216">
    <cfRule type="notContainsBlanks" dxfId="34" priority="31" stopIfTrue="1">
      <formula>LEN(TRIM(BC9))&gt;0</formula>
    </cfRule>
  </conditionalFormatting>
  <conditionalFormatting sqref="AO9:AO216">
    <cfRule type="cellIs" dxfId="33" priority="30" operator="lessThan">
      <formula>0</formula>
    </cfRule>
  </conditionalFormatting>
  <conditionalFormatting sqref="AX223">
    <cfRule type="containsBlanks" dxfId="32" priority="28">
      <formula>LEN(TRIM(AX223))=0</formula>
    </cfRule>
  </conditionalFormatting>
  <conditionalFormatting sqref="A2">
    <cfRule type="containsBlanks" dxfId="31" priority="27">
      <formula>LEN(TRIM(A2))=0</formula>
    </cfRule>
  </conditionalFormatting>
  <conditionalFormatting sqref="A2">
    <cfRule type="containsText" dxfId="30" priority="26" operator="containsText" text="EG">
      <formula>NOT(ISERROR(SEARCH("EG",A2)))</formula>
    </cfRule>
  </conditionalFormatting>
  <conditionalFormatting sqref="A3">
    <cfRule type="containsBlanks" dxfId="29" priority="25">
      <formula>LEN(TRIM(A3))=0</formula>
    </cfRule>
  </conditionalFormatting>
  <conditionalFormatting sqref="A3">
    <cfRule type="containsText" dxfId="28" priority="24" operator="containsText" text="EG">
      <formula>NOT(ISERROR(SEARCH("EG",A3)))</formula>
    </cfRule>
  </conditionalFormatting>
  <conditionalFormatting sqref="B2">
    <cfRule type="containsBlanks" dxfId="27" priority="22" stopIfTrue="1">
      <formula>LEN(TRIM(B2))=0</formula>
    </cfRule>
  </conditionalFormatting>
  <conditionalFormatting sqref="B2">
    <cfRule type="containsBlanks" dxfId="26" priority="23">
      <formula>LEN(TRIM(B2))=0</formula>
    </cfRule>
  </conditionalFormatting>
  <conditionalFormatting sqref="B3">
    <cfRule type="containsBlanks" dxfId="25" priority="20" stopIfTrue="1">
      <formula>LEN(TRIM(B3))=0</formula>
    </cfRule>
  </conditionalFormatting>
  <conditionalFormatting sqref="B3">
    <cfRule type="containsBlanks" dxfId="24" priority="21">
      <formula>LEN(TRIM(B3))=0</formula>
    </cfRule>
  </conditionalFormatting>
  <conditionalFormatting sqref="R218:T220">
    <cfRule type="containsBlanks" dxfId="23" priority="19">
      <formula>LEN(TRIM(R218))=0</formula>
    </cfRule>
  </conditionalFormatting>
  <conditionalFormatting sqref="V218:X220">
    <cfRule type="containsBlanks" dxfId="22" priority="18">
      <formula>LEN(TRIM(V218))=0</formula>
    </cfRule>
  </conditionalFormatting>
  <conditionalFormatting sqref="Z218:AB220">
    <cfRule type="containsBlanks" dxfId="21" priority="17">
      <formula>LEN(TRIM(Z218))=0</formula>
    </cfRule>
  </conditionalFormatting>
  <conditionalFormatting sqref="AR217:AW217">
    <cfRule type="containsBlanks" dxfId="20" priority="3">
      <formula>LEN(TRIM(AR217))=0</formula>
    </cfRule>
  </conditionalFormatting>
  <conditionalFormatting sqref="AR217:AV217">
    <cfRule type="cellIs" dxfId="19" priority="1" operator="equal">
      <formula>"ALERTE"</formula>
    </cfRule>
    <cfRule type="cellIs" dxfId="18" priority="2" operator="equal">
      <formula>"OK"</formula>
    </cfRule>
  </conditionalFormatting>
  <dataValidations count="3">
    <dataValidation type="list" allowBlank="1" showInputMessage="1" showErrorMessage="1" sqref="A219">
      <formula1>$C$9:$C$216</formula1>
    </dataValidation>
    <dataValidation type="list" allowBlank="1" showInputMessage="1" showErrorMessage="1" sqref="E9:E216">
      <formula1>"Oui,Non"</formula1>
    </dataValidation>
    <dataValidation type="list" allowBlank="1" showInputMessage="1" showErrorMessage="1" sqref="B5">
      <formula1>"Interne,Client"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OBJECTIFS!$C$45:$C$49</xm:f>
          </x14:formula1>
          <xm:sqref>D9:D216</xm:sqref>
        </x14:dataValidation>
        <x14:dataValidation type="list" allowBlank="1" showInputMessage="1" showErrorMessage="1">
          <x14:formula1>
            <xm:f>OBJECTIFS!$C$9:$C$11</xm:f>
          </x14:formula1>
          <xm:sqref>F9:F216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1"/>
  <sheetViews>
    <sheetView showGridLines="0" tabSelected="1" topLeftCell="A91" zoomScaleNormal="100" workbookViewId="0">
      <selection activeCell="D37" sqref="D37"/>
    </sheetView>
  </sheetViews>
  <sheetFormatPr baseColWidth="10" defaultColWidth="11.42578125" defaultRowHeight="15" outlineLevelRow="1" x14ac:dyDescent="0.3"/>
  <cols>
    <col min="1" max="1" width="0.7109375" style="129" customWidth="1"/>
    <col min="2" max="2" width="22.28515625" style="129" bestFit="1" customWidth="1"/>
    <col min="3" max="3" width="12.28515625" style="129" bestFit="1" customWidth="1"/>
    <col min="4" max="4" width="13.28515625" style="129" bestFit="1" customWidth="1"/>
    <col min="5" max="5" width="19.5703125" style="131" customWidth="1"/>
    <col min="6" max="10" width="19.5703125" style="129" customWidth="1"/>
    <col min="11" max="11" width="1.7109375" style="129" customWidth="1"/>
    <col min="12" max="13" width="11.42578125" style="129" customWidth="1"/>
    <col min="14" max="15" width="11.42578125" style="129"/>
    <col min="16" max="16" width="11.42578125" style="129" customWidth="1"/>
    <col min="17" max="16384" width="11.42578125" style="129"/>
  </cols>
  <sheetData>
    <row r="1" spans="1:17" x14ac:dyDescent="0.3">
      <c r="B1" s="130" t="s">
        <v>18</v>
      </c>
      <c r="C1" s="336"/>
      <c r="D1" s="336"/>
      <c r="F1" s="131"/>
      <c r="G1" s="131"/>
      <c r="H1" s="131"/>
    </row>
    <row r="2" spans="1:17" x14ac:dyDescent="0.3">
      <c r="B2" s="132" t="s">
        <v>19</v>
      </c>
      <c r="C2" s="53"/>
      <c r="D2" s="53"/>
      <c r="F2" s="131"/>
      <c r="G2" s="131"/>
      <c r="H2" s="131"/>
      <c r="I2" s="134"/>
    </row>
    <row r="3" spans="1:17" ht="4.5" customHeight="1" x14ac:dyDescent="0.3">
      <c r="C3" s="133"/>
      <c r="D3" s="133"/>
    </row>
    <row r="4" spans="1:17" x14ac:dyDescent="0.3">
      <c r="B4" s="133"/>
      <c r="C4" s="131"/>
      <c r="D4" s="135" t="s">
        <v>52</v>
      </c>
      <c r="E4" s="31">
        <v>15</v>
      </c>
      <c r="F4" s="31">
        <v>27.5</v>
      </c>
      <c r="G4" s="31">
        <v>27.5</v>
      </c>
      <c r="H4" s="31">
        <v>20</v>
      </c>
      <c r="I4" s="31">
        <v>10</v>
      </c>
      <c r="J4" s="136" t="s">
        <v>85</v>
      </c>
    </row>
    <row r="5" spans="1:17" ht="15.75" customHeight="1" x14ac:dyDescent="0.3">
      <c r="E5" s="137" t="s">
        <v>67</v>
      </c>
      <c r="F5" s="137" t="s">
        <v>68</v>
      </c>
      <c r="G5" s="137" t="s">
        <v>69</v>
      </c>
      <c r="H5" s="137" t="s">
        <v>82</v>
      </c>
      <c r="I5" s="137" t="s">
        <v>83</v>
      </c>
      <c r="J5" s="137" t="s">
        <v>84</v>
      </c>
    </row>
    <row r="6" spans="1:17" ht="15" customHeight="1" x14ac:dyDescent="0.3">
      <c r="A6" s="129" t="str">
        <f>B6</f>
        <v>ACTIVITE 1</v>
      </c>
      <c r="B6" s="337" t="str">
        <f>IF($C$45=0,"",$C$45)</f>
        <v>ACTIVITE 1</v>
      </c>
      <c r="C6" s="338" t="s">
        <v>25</v>
      </c>
      <c r="D6" s="339" t="s">
        <v>61</v>
      </c>
      <c r="E6" s="340" t="s">
        <v>62</v>
      </c>
      <c r="F6" s="340"/>
      <c r="G6" s="340"/>
      <c r="H6" s="340"/>
      <c r="I6" s="340"/>
      <c r="J6" s="340"/>
    </row>
    <row r="7" spans="1:17" x14ac:dyDescent="0.3">
      <c r="A7" s="129" t="str">
        <f>B6</f>
        <v>ACTIVITE 1</v>
      </c>
      <c r="B7" s="337"/>
      <c r="C7" s="338"/>
      <c r="D7" s="339"/>
      <c r="E7" s="340" t="s">
        <v>40</v>
      </c>
      <c r="F7" s="340"/>
      <c r="G7" s="340"/>
      <c r="H7" s="340" t="s">
        <v>41</v>
      </c>
      <c r="I7" s="340"/>
      <c r="J7" s="138" t="s">
        <v>63</v>
      </c>
    </row>
    <row r="8" spans="1:17" ht="15" customHeight="1" x14ac:dyDescent="0.3">
      <c r="A8" s="129" t="str">
        <f>B6</f>
        <v>ACTIVITE 1</v>
      </c>
      <c r="B8" s="337"/>
      <c r="C8" s="338"/>
      <c r="D8" s="339"/>
      <c r="E8" s="139" t="str">
        <f>IFERROR(VLOOKUP($B6,Matrice,3,FALSE),"")</f>
        <v>INTITULE KPI1</v>
      </c>
      <c r="F8" s="139" t="str">
        <f>IFERROR(VLOOKUP($B6,Matrice,4,FALSE),"")</f>
        <v>INTITULE KPI2</v>
      </c>
      <c r="G8" s="139" t="str">
        <f>IFERROR(VLOOKUP($B6,Matrice,5,FALSE),"")</f>
        <v>INTITULE KPI3</v>
      </c>
      <c r="H8" s="139" t="str">
        <f>IFERROR(VLOOKUP($B6,Matrice,6,FALSE),"")</f>
        <v>INTITULE KPI4</v>
      </c>
      <c r="I8" s="139" t="str">
        <f>IFERROR(VLOOKUP($B6,Matrice,7,FALSE),"")</f>
        <v>INTITULE KPI5</v>
      </c>
      <c r="J8" s="139" t="str">
        <f>IFERROR(VLOOKUP($B6,Matrice,8,FALSE),"")</f>
        <v>INTITULE KPI6</v>
      </c>
    </row>
    <row r="9" spans="1:17" x14ac:dyDescent="0.3">
      <c r="A9" s="129" t="str">
        <f>B6</f>
        <v>ACTIVITE 1</v>
      </c>
      <c r="B9" s="337"/>
      <c r="C9" s="140" t="s">
        <v>64</v>
      </c>
      <c r="D9" s="180">
        <v>1200</v>
      </c>
      <c r="E9" s="36">
        <v>0.4</v>
      </c>
      <c r="F9" s="43">
        <v>3.8194444444444443E-3</v>
      </c>
      <c r="G9" s="38">
        <v>7</v>
      </c>
      <c r="H9" s="36">
        <v>0.92</v>
      </c>
      <c r="I9" s="39">
        <v>0.98</v>
      </c>
      <c r="J9" s="141">
        <v>0</v>
      </c>
      <c r="K9" s="142"/>
      <c r="L9" s="143"/>
      <c r="M9" s="143"/>
      <c r="N9" s="143"/>
      <c r="O9" s="143"/>
      <c r="P9" s="143"/>
      <c r="Q9" s="143"/>
    </row>
    <row r="10" spans="1:17" x14ac:dyDescent="0.3">
      <c r="A10" s="129" t="str">
        <f>B6</f>
        <v>ACTIVITE 1</v>
      </c>
      <c r="B10" s="337"/>
      <c r="C10" s="140" t="s">
        <v>27</v>
      </c>
      <c r="D10" s="180">
        <v>1200</v>
      </c>
      <c r="E10" s="36">
        <v>0.4</v>
      </c>
      <c r="F10" s="43">
        <v>3.8194444444444443E-3</v>
      </c>
      <c r="G10" s="38">
        <v>9</v>
      </c>
      <c r="H10" s="36">
        <v>0.92</v>
      </c>
      <c r="I10" s="39">
        <v>0.98</v>
      </c>
      <c r="J10" s="141">
        <v>0</v>
      </c>
      <c r="K10" s="142"/>
      <c r="L10" s="143"/>
      <c r="M10" s="143"/>
      <c r="N10" s="143"/>
      <c r="O10" s="143"/>
      <c r="P10" s="143"/>
      <c r="Q10" s="143"/>
    </row>
    <row r="11" spans="1:17" x14ac:dyDescent="0.3">
      <c r="A11" s="129" t="str">
        <f>B6</f>
        <v>ACTIVITE 1</v>
      </c>
      <c r="B11" s="337"/>
      <c r="C11" s="140" t="s">
        <v>65</v>
      </c>
      <c r="D11" s="180">
        <v>1200</v>
      </c>
      <c r="E11" s="36">
        <v>0.4</v>
      </c>
      <c r="F11" s="43">
        <v>3.8194444444444443E-3</v>
      </c>
      <c r="G11" s="38">
        <v>9</v>
      </c>
      <c r="H11" s="36">
        <v>0.92</v>
      </c>
      <c r="I11" s="39">
        <v>0.98</v>
      </c>
      <c r="J11" s="141">
        <v>0</v>
      </c>
      <c r="K11" s="142"/>
      <c r="L11" s="143"/>
      <c r="M11" s="143"/>
      <c r="N11" s="143"/>
      <c r="O11" s="143"/>
      <c r="P11" s="143"/>
      <c r="Q11" s="143"/>
    </row>
    <row r="12" spans="1:17" ht="4.5" customHeight="1" x14ac:dyDescent="0.3"/>
    <row r="13" spans="1:17" ht="15" customHeight="1" outlineLevel="1" x14ac:dyDescent="0.3">
      <c r="A13" s="129" t="str">
        <f>B13</f>
        <v>ACTIVITE 2</v>
      </c>
      <c r="B13" s="337" t="str">
        <f>IF($C$46=0,"",$C$46)</f>
        <v>ACTIVITE 2</v>
      </c>
      <c r="C13" s="338" t="str">
        <f>C6</f>
        <v>Statut</v>
      </c>
      <c r="D13" s="339" t="str">
        <f>D6</f>
        <v>Prime (Montant Brut)</v>
      </c>
      <c r="E13" s="340" t="s">
        <v>62</v>
      </c>
      <c r="F13" s="340"/>
      <c r="G13" s="340"/>
      <c r="H13" s="340"/>
      <c r="I13" s="340"/>
      <c r="J13" s="340"/>
    </row>
    <row r="14" spans="1:17" outlineLevel="1" x14ac:dyDescent="0.3">
      <c r="A14" s="129" t="str">
        <f>B13</f>
        <v>ACTIVITE 2</v>
      </c>
      <c r="B14" s="337"/>
      <c r="C14" s="338"/>
      <c r="D14" s="339"/>
      <c r="E14" s="340" t="s">
        <v>40</v>
      </c>
      <c r="F14" s="340"/>
      <c r="G14" s="340"/>
      <c r="H14" s="340" t="s">
        <v>41</v>
      </c>
      <c r="I14" s="340"/>
      <c r="J14" s="138" t="s">
        <v>63</v>
      </c>
    </row>
    <row r="15" spans="1:17" ht="15" customHeight="1" outlineLevel="1" x14ac:dyDescent="0.3">
      <c r="A15" s="129" t="str">
        <f>B13</f>
        <v>ACTIVITE 2</v>
      </c>
      <c r="B15" s="337"/>
      <c r="C15" s="338"/>
      <c r="D15" s="339"/>
      <c r="E15" s="139" t="str">
        <f>IFERROR(VLOOKUP($B13,Matrice,3,FALSE),"")</f>
        <v>INTITULE KPI1</v>
      </c>
      <c r="F15" s="139" t="str">
        <f>IFERROR(VLOOKUP($B13,Matrice,4,FALSE),"")</f>
        <v>INTITULE KPI2</v>
      </c>
      <c r="G15" s="139" t="str">
        <f>IFERROR(VLOOKUP($B13,Matrice,5,FALSE),"")</f>
        <v>INTITULE KPI3</v>
      </c>
      <c r="H15" s="139" t="str">
        <f>IFERROR(VLOOKUP($B13,Matrice,6,FALSE),"")</f>
        <v>INTITULE KPI4</v>
      </c>
      <c r="I15" s="139" t="str">
        <f>IFERROR(VLOOKUP($B13,Matrice,7,FALSE),"")</f>
        <v>INTITULE KPI5</v>
      </c>
      <c r="J15" s="139" t="str">
        <f>IFERROR(VLOOKUP($B13,Matrice,8,FALSE),"")</f>
        <v>INTITULE KPI6</v>
      </c>
      <c r="L15" s="143"/>
      <c r="M15" s="143"/>
      <c r="N15" s="143"/>
      <c r="O15" s="143"/>
      <c r="P15" s="143"/>
      <c r="Q15" s="143"/>
    </row>
    <row r="16" spans="1:17" outlineLevel="1" x14ac:dyDescent="0.3">
      <c r="A16" s="129" t="str">
        <f>B13</f>
        <v>ACTIVITE 2</v>
      </c>
      <c r="B16" s="337"/>
      <c r="C16" s="140" t="str">
        <f>C9</f>
        <v>Débutant</v>
      </c>
      <c r="D16" s="180">
        <v>1200</v>
      </c>
      <c r="E16" s="36"/>
      <c r="F16" s="40"/>
      <c r="G16" s="38"/>
      <c r="H16" s="36"/>
      <c r="I16" s="39"/>
      <c r="J16" s="141">
        <v>0</v>
      </c>
      <c r="L16" s="143"/>
      <c r="M16" s="143"/>
      <c r="N16" s="143"/>
      <c r="O16" s="143"/>
      <c r="P16" s="143"/>
      <c r="Q16" s="143"/>
    </row>
    <row r="17" spans="1:17" outlineLevel="1" x14ac:dyDescent="0.3">
      <c r="A17" s="129" t="str">
        <f>B13</f>
        <v>ACTIVITE 2</v>
      </c>
      <c r="B17" s="337"/>
      <c r="C17" s="140" t="str">
        <f>C10</f>
        <v>Confirmé</v>
      </c>
      <c r="D17" s="180">
        <v>1200</v>
      </c>
      <c r="E17" s="36"/>
      <c r="F17" s="40"/>
      <c r="G17" s="38"/>
      <c r="H17" s="36"/>
      <c r="I17" s="39"/>
      <c r="J17" s="141">
        <v>0</v>
      </c>
      <c r="L17" s="143"/>
      <c r="M17" s="143"/>
      <c r="N17" s="143"/>
      <c r="O17" s="143"/>
      <c r="P17" s="143"/>
      <c r="Q17" s="143"/>
    </row>
    <row r="18" spans="1:17" outlineLevel="1" x14ac:dyDescent="0.3">
      <c r="A18" s="129" t="str">
        <f>B13</f>
        <v>ACTIVITE 2</v>
      </c>
      <c r="B18" s="337"/>
      <c r="C18" s="140" t="str">
        <f>C11</f>
        <v>Sénior</v>
      </c>
      <c r="D18" s="180">
        <v>1200</v>
      </c>
      <c r="E18" s="36"/>
      <c r="F18" s="40"/>
      <c r="G18" s="38"/>
      <c r="H18" s="36"/>
      <c r="I18" s="39"/>
      <c r="J18" s="141">
        <v>0</v>
      </c>
      <c r="L18" s="143"/>
      <c r="M18" s="143"/>
      <c r="N18" s="143"/>
      <c r="O18" s="143"/>
      <c r="P18" s="143"/>
      <c r="Q18" s="143"/>
    </row>
    <row r="19" spans="1:17" ht="4.5" customHeight="1" x14ac:dyDescent="0.3"/>
    <row r="20" spans="1:17" ht="15" customHeight="1" outlineLevel="1" x14ac:dyDescent="0.3">
      <c r="A20" s="129" t="str">
        <f>B20</f>
        <v/>
      </c>
      <c r="B20" s="337" t="str">
        <f>IF($C$47=0,"",$C$47)</f>
        <v/>
      </c>
      <c r="C20" s="338" t="str">
        <f>C6</f>
        <v>Statut</v>
      </c>
      <c r="D20" s="339" t="str">
        <f>D6</f>
        <v>Prime (Montant Brut)</v>
      </c>
      <c r="E20" s="340" t="s">
        <v>62</v>
      </c>
      <c r="F20" s="340"/>
      <c r="G20" s="340"/>
      <c r="H20" s="340"/>
      <c r="I20" s="340"/>
      <c r="J20" s="340"/>
    </row>
    <row r="21" spans="1:17" outlineLevel="1" x14ac:dyDescent="0.3">
      <c r="A21" s="129" t="str">
        <f>B20</f>
        <v/>
      </c>
      <c r="B21" s="337"/>
      <c r="C21" s="338"/>
      <c r="D21" s="339"/>
      <c r="E21" s="340" t="s">
        <v>40</v>
      </c>
      <c r="F21" s="340"/>
      <c r="G21" s="340"/>
      <c r="H21" s="340" t="s">
        <v>41</v>
      </c>
      <c r="I21" s="340"/>
      <c r="J21" s="138" t="s">
        <v>63</v>
      </c>
    </row>
    <row r="22" spans="1:17" ht="15" customHeight="1" outlineLevel="1" x14ac:dyDescent="0.3">
      <c r="A22" s="129" t="str">
        <f>B20</f>
        <v/>
      </c>
      <c r="B22" s="337"/>
      <c r="C22" s="338"/>
      <c r="D22" s="339"/>
      <c r="E22" s="139" t="str">
        <f>IFERROR(VLOOKUP($B20,Matrice,3,FALSE),"")</f>
        <v/>
      </c>
      <c r="F22" s="139" t="str">
        <f>IFERROR(VLOOKUP($B20,Matrice,4,FALSE),"")</f>
        <v/>
      </c>
      <c r="G22" s="139" t="str">
        <f>IFERROR(VLOOKUP($B20,Matrice,5,FALSE),"")</f>
        <v/>
      </c>
      <c r="H22" s="139" t="str">
        <f>IFERROR(VLOOKUP($B20,Matrice,6,FALSE),"")</f>
        <v/>
      </c>
      <c r="I22" s="139" t="str">
        <f>IFERROR(VLOOKUP($B20,Matrice,7,FALSE),"")</f>
        <v/>
      </c>
      <c r="J22" s="139" t="str">
        <f>IFERROR(VLOOKUP($B20,Matrice,8,FALSE),"")</f>
        <v/>
      </c>
      <c r="L22" s="143"/>
      <c r="M22" s="143"/>
      <c r="N22" s="143"/>
      <c r="O22" s="143"/>
      <c r="P22" s="143"/>
      <c r="Q22" s="143"/>
    </row>
    <row r="23" spans="1:17" outlineLevel="1" x14ac:dyDescent="0.3">
      <c r="A23" s="129" t="str">
        <f>B20</f>
        <v/>
      </c>
      <c r="B23" s="337"/>
      <c r="C23" s="140" t="str">
        <f>C9</f>
        <v>Débutant</v>
      </c>
      <c r="D23" s="180">
        <v>1200</v>
      </c>
      <c r="E23" s="41"/>
      <c r="F23" s="37"/>
      <c r="G23" s="41"/>
      <c r="H23" s="36"/>
      <c r="I23" s="39"/>
      <c r="J23" s="141">
        <v>0</v>
      </c>
      <c r="L23" s="143"/>
      <c r="M23" s="143"/>
      <c r="N23" s="143"/>
      <c r="O23" s="143"/>
      <c r="P23" s="143"/>
      <c r="Q23" s="143"/>
    </row>
    <row r="24" spans="1:17" outlineLevel="1" x14ac:dyDescent="0.3">
      <c r="A24" s="129" t="str">
        <f>B20</f>
        <v/>
      </c>
      <c r="B24" s="337"/>
      <c r="C24" s="140" t="str">
        <f>C10</f>
        <v>Confirmé</v>
      </c>
      <c r="D24" s="180">
        <v>1200</v>
      </c>
      <c r="E24" s="41"/>
      <c r="F24" s="37"/>
      <c r="G24" s="41"/>
      <c r="H24" s="36"/>
      <c r="I24" s="39"/>
      <c r="J24" s="141">
        <v>0</v>
      </c>
      <c r="L24" s="143"/>
      <c r="M24" s="143"/>
      <c r="N24" s="143"/>
      <c r="O24" s="143"/>
      <c r="P24" s="143"/>
      <c r="Q24" s="143"/>
    </row>
    <row r="25" spans="1:17" outlineLevel="1" x14ac:dyDescent="0.3">
      <c r="A25" s="129" t="str">
        <f>B20</f>
        <v/>
      </c>
      <c r="B25" s="337"/>
      <c r="C25" s="140" t="str">
        <f>C11</f>
        <v>Sénior</v>
      </c>
      <c r="D25" s="180">
        <v>1200</v>
      </c>
      <c r="E25" s="41"/>
      <c r="F25" s="37"/>
      <c r="G25" s="41"/>
      <c r="H25" s="36"/>
      <c r="I25" s="39"/>
      <c r="J25" s="141">
        <v>0</v>
      </c>
      <c r="L25" s="143"/>
      <c r="M25" s="143"/>
      <c r="N25" s="143"/>
      <c r="O25" s="143"/>
      <c r="P25" s="143"/>
      <c r="Q25" s="143"/>
    </row>
    <row r="26" spans="1:17" ht="4.5" customHeight="1" x14ac:dyDescent="0.3"/>
    <row r="27" spans="1:17" ht="15" customHeight="1" outlineLevel="1" x14ac:dyDescent="0.3">
      <c r="A27" s="129" t="str">
        <f>B27</f>
        <v/>
      </c>
      <c r="B27" s="337" t="str">
        <f>IF($C$48=0,"",$C$48)</f>
        <v/>
      </c>
      <c r="C27" s="338" t="str">
        <f>C6</f>
        <v>Statut</v>
      </c>
      <c r="D27" s="339" t="str">
        <f>D6</f>
        <v>Prime (Montant Brut)</v>
      </c>
      <c r="E27" s="341" t="s">
        <v>62</v>
      </c>
      <c r="F27" s="341"/>
      <c r="G27" s="341"/>
      <c r="H27" s="341"/>
      <c r="I27" s="341"/>
      <c r="J27" s="341"/>
    </row>
    <row r="28" spans="1:17" outlineLevel="1" x14ac:dyDescent="0.3">
      <c r="A28" s="129" t="str">
        <f>B27</f>
        <v/>
      </c>
      <c r="B28" s="337"/>
      <c r="C28" s="338"/>
      <c r="D28" s="339"/>
      <c r="E28" s="341" t="s">
        <v>40</v>
      </c>
      <c r="F28" s="341"/>
      <c r="G28" s="341"/>
      <c r="H28" s="341" t="s">
        <v>41</v>
      </c>
      <c r="I28" s="341"/>
      <c r="J28" s="144" t="s">
        <v>63</v>
      </c>
    </row>
    <row r="29" spans="1:17" ht="15" customHeight="1" outlineLevel="1" x14ac:dyDescent="0.3">
      <c r="A29" s="129" t="str">
        <f>B27</f>
        <v/>
      </c>
      <c r="B29" s="337"/>
      <c r="C29" s="338"/>
      <c r="D29" s="339"/>
      <c r="E29" s="139" t="str">
        <f>IFERROR(VLOOKUP($B27,Matrice,3,FALSE),"")</f>
        <v/>
      </c>
      <c r="F29" s="139" t="str">
        <f>IFERROR(VLOOKUP($B27,Matrice,4,FALSE),"")</f>
        <v/>
      </c>
      <c r="G29" s="139" t="str">
        <f>IFERROR(VLOOKUP($B27,Matrice,5,FALSE),"")</f>
        <v/>
      </c>
      <c r="H29" s="139" t="str">
        <f>IFERROR(VLOOKUP($B27,Matrice,6,FALSE),"")</f>
        <v/>
      </c>
      <c r="I29" s="139" t="str">
        <f>IFERROR(VLOOKUP($B27,Matrice,7,FALSE),"")</f>
        <v/>
      </c>
      <c r="J29" s="139" t="str">
        <f>IFERROR(VLOOKUP($B27,Matrice,8,FALSE),"")</f>
        <v/>
      </c>
      <c r="L29" s="143"/>
      <c r="M29" s="143"/>
      <c r="N29" s="143"/>
      <c r="O29" s="143"/>
      <c r="P29" s="143"/>
      <c r="Q29" s="143"/>
    </row>
    <row r="30" spans="1:17" outlineLevel="1" x14ac:dyDescent="0.3">
      <c r="A30" s="129" t="str">
        <f>B27</f>
        <v/>
      </c>
      <c r="B30" s="337"/>
      <c r="C30" s="140" t="str">
        <f>C9</f>
        <v>Débutant</v>
      </c>
      <c r="D30" s="180">
        <v>1200</v>
      </c>
      <c r="E30" s="41"/>
      <c r="F30" s="42"/>
      <c r="G30" s="41"/>
      <c r="H30" s="36"/>
      <c r="I30" s="39"/>
      <c r="J30" s="141">
        <v>0</v>
      </c>
      <c r="L30" s="143"/>
      <c r="M30" s="143"/>
      <c r="N30" s="143"/>
      <c r="O30" s="143"/>
      <c r="P30" s="143"/>
      <c r="Q30" s="143"/>
    </row>
    <row r="31" spans="1:17" outlineLevel="1" x14ac:dyDescent="0.3">
      <c r="A31" s="129" t="str">
        <f>B27</f>
        <v/>
      </c>
      <c r="B31" s="337"/>
      <c r="C31" s="140" t="str">
        <f>C10</f>
        <v>Confirmé</v>
      </c>
      <c r="D31" s="180">
        <v>1200</v>
      </c>
      <c r="E31" s="41"/>
      <c r="F31" s="42"/>
      <c r="G31" s="41"/>
      <c r="H31" s="36"/>
      <c r="I31" s="39"/>
      <c r="J31" s="141">
        <v>0</v>
      </c>
      <c r="L31" s="143"/>
      <c r="M31" s="143"/>
      <c r="N31" s="143"/>
      <c r="O31" s="143"/>
      <c r="P31" s="143"/>
      <c r="Q31" s="143"/>
    </row>
    <row r="32" spans="1:17" outlineLevel="1" x14ac:dyDescent="0.3">
      <c r="A32" s="129" t="str">
        <f>B27</f>
        <v/>
      </c>
      <c r="B32" s="337"/>
      <c r="C32" s="140" t="str">
        <f>C11</f>
        <v>Sénior</v>
      </c>
      <c r="D32" s="180">
        <v>1200</v>
      </c>
      <c r="E32" s="41"/>
      <c r="F32" s="42"/>
      <c r="G32" s="41"/>
      <c r="H32" s="36"/>
      <c r="I32" s="39"/>
      <c r="J32" s="141">
        <v>0</v>
      </c>
      <c r="L32" s="143"/>
      <c r="M32" s="143"/>
      <c r="N32" s="143"/>
      <c r="O32" s="143"/>
      <c r="P32" s="143"/>
      <c r="Q32" s="143"/>
    </row>
    <row r="33" spans="1:17" ht="4.5" customHeight="1" x14ac:dyDescent="0.3"/>
    <row r="34" spans="1:17" ht="15" customHeight="1" outlineLevel="1" x14ac:dyDescent="0.3">
      <c r="A34" s="129" t="str">
        <f>B34</f>
        <v/>
      </c>
      <c r="B34" s="337" t="str">
        <f>IF($C$48=0,"",$C$49)</f>
        <v/>
      </c>
      <c r="C34" s="338" t="str">
        <f>C13</f>
        <v>Statut</v>
      </c>
      <c r="D34" s="339" t="str">
        <f>D13</f>
        <v>Prime (Montant Brut)</v>
      </c>
      <c r="E34" s="341" t="s">
        <v>62</v>
      </c>
      <c r="F34" s="341"/>
      <c r="G34" s="341"/>
      <c r="H34" s="341"/>
      <c r="I34" s="341"/>
      <c r="J34" s="341"/>
    </row>
    <row r="35" spans="1:17" outlineLevel="1" x14ac:dyDescent="0.3">
      <c r="A35" s="129" t="str">
        <f>B34</f>
        <v/>
      </c>
      <c r="B35" s="337"/>
      <c r="C35" s="338"/>
      <c r="D35" s="339"/>
      <c r="E35" s="341" t="s">
        <v>40</v>
      </c>
      <c r="F35" s="341"/>
      <c r="G35" s="341"/>
      <c r="H35" s="341" t="s">
        <v>41</v>
      </c>
      <c r="I35" s="341"/>
      <c r="J35" s="144" t="s">
        <v>63</v>
      </c>
    </row>
    <row r="36" spans="1:17" ht="15" customHeight="1" outlineLevel="1" x14ac:dyDescent="0.3">
      <c r="A36" s="129" t="str">
        <f>B34</f>
        <v/>
      </c>
      <c r="B36" s="337"/>
      <c r="C36" s="338"/>
      <c r="D36" s="339"/>
      <c r="E36" s="139" t="str">
        <f>IFERROR(VLOOKUP($B34,Matrice,3,FALSE),"")</f>
        <v/>
      </c>
      <c r="F36" s="139" t="str">
        <f>IFERROR(VLOOKUP($B34,Matrice,4,FALSE),"")</f>
        <v/>
      </c>
      <c r="G36" s="139" t="str">
        <f>IFERROR(VLOOKUP($B34,Matrice,5,FALSE),"")</f>
        <v/>
      </c>
      <c r="H36" s="139" t="str">
        <f>IFERROR(VLOOKUP($B34,Matrice,6,FALSE),"")</f>
        <v/>
      </c>
      <c r="I36" s="139" t="str">
        <f>IFERROR(VLOOKUP($B34,Matrice,7,FALSE),"")</f>
        <v/>
      </c>
      <c r="J36" s="139" t="str">
        <f>IFERROR(VLOOKUP($B34,Matrice,8,FALSE),"")</f>
        <v/>
      </c>
      <c r="L36" s="143"/>
      <c r="M36" s="143"/>
      <c r="N36" s="143"/>
      <c r="O36" s="143"/>
      <c r="P36" s="143"/>
      <c r="Q36" s="143"/>
    </row>
    <row r="37" spans="1:17" outlineLevel="1" x14ac:dyDescent="0.3">
      <c r="A37" s="129" t="str">
        <f>B34</f>
        <v/>
      </c>
      <c r="B37" s="337"/>
      <c r="C37" s="140" t="str">
        <f>C16</f>
        <v>Débutant</v>
      </c>
      <c r="D37" s="180">
        <v>1200</v>
      </c>
      <c r="E37" s="41"/>
      <c r="F37" s="42"/>
      <c r="G37" s="41"/>
      <c r="H37" s="36"/>
      <c r="I37" s="39"/>
      <c r="J37" s="141">
        <v>0</v>
      </c>
      <c r="L37" s="143"/>
      <c r="M37" s="143"/>
      <c r="N37" s="143"/>
      <c r="O37" s="143"/>
      <c r="P37" s="143"/>
      <c r="Q37" s="143"/>
    </row>
    <row r="38" spans="1:17" outlineLevel="1" x14ac:dyDescent="0.3">
      <c r="A38" s="129" t="str">
        <f>B34</f>
        <v/>
      </c>
      <c r="B38" s="337"/>
      <c r="C38" s="140" t="str">
        <f>C17</f>
        <v>Confirmé</v>
      </c>
      <c r="D38" s="180">
        <v>1200</v>
      </c>
      <c r="E38" s="41"/>
      <c r="F38" s="42"/>
      <c r="G38" s="41"/>
      <c r="H38" s="36"/>
      <c r="I38" s="39"/>
      <c r="J38" s="141">
        <v>0</v>
      </c>
      <c r="L38" s="143"/>
      <c r="M38" s="143"/>
      <c r="N38" s="143"/>
      <c r="O38" s="143"/>
      <c r="P38" s="143"/>
      <c r="Q38" s="143"/>
    </row>
    <row r="39" spans="1:17" outlineLevel="1" x14ac:dyDescent="0.3">
      <c r="A39" s="129" t="str">
        <f>B34</f>
        <v/>
      </c>
      <c r="B39" s="337"/>
      <c r="C39" s="140" t="str">
        <f>C18</f>
        <v>Sénior</v>
      </c>
      <c r="D39" s="180">
        <v>1200</v>
      </c>
      <c r="E39" s="41"/>
      <c r="F39" s="42"/>
      <c r="G39" s="41"/>
      <c r="H39" s="36"/>
      <c r="I39" s="39"/>
      <c r="J39" s="141">
        <v>0</v>
      </c>
      <c r="L39" s="143"/>
      <c r="M39" s="143"/>
      <c r="N39" s="143"/>
      <c r="O39" s="143"/>
      <c r="P39" s="143"/>
      <c r="Q39" s="143"/>
    </row>
    <row r="40" spans="1:17" ht="4.5" customHeight="1" x14ac:dyDescent="0.3"/>
    <row r="43" spans="1:17" x14ac:dyDescent="0.3">
      <c r="C43" s="320" t="s">
        <v>66</v>
      </c>
      <c r="D43" s="320"/>
      <c r="E43" s="320"/>
      <c r="F43" s="320"/>
      <c r="G43" s="320"/>
      <c r="H43" s="320"/>
      <c r="I43" s="320"/>
      <c r="J43" s="320"/>
    </row>
    <row r="44" spans="1:17" ht="4.5" customHeight="1" x14ac:dyDescent="0.3"/>
    <row r="45" spans="1:17" x14ac:dyDescent="0.3">
      <c r="C45" s="342" t="s">
        <v>142</v>
      </c>
      <c r="D45" s="343"/>
      <c r="E45" s="32" t="s">
        <v>144</v>
      </c>
      <c r="F45" s="32" t="s">
        <v>145</v>
      </c>
      <c r="G45" s="32" t="s">
        <v>146</v>
      </c>
      <c r="H45" s="32" t="s">
        <v>147</v>
      </c>
      <c r="I45" s="32" t="s">
        <v>148</v>
      </c>
      <c r="J45" s="32" t="s">
        <v>149</v>
      </c>
    </row>
    <row r="46" spans="1:17" x14ac:dyDescent="0.3">
      <c r="C46" s="342" t="s">
        <v>143</v>
      </c>
      <c r="D46" s="343"/>
      <c r="E46" s="32" t="s">
        <v>144</v>
      </c>
      <c r="F46" s="32" t="s">
        <v>145</v>
      </c>
      <c r="G46" s="32" t="s">
        <v>146</v>
      </c>
      <c r="H46" s="32" t="s">
        <v>147</v>
      </c>
      <c r="I46" s="32" t="s">
        <v>148</v>
      </c>
      <c r="J46" s="32" t="s">
        <v>149</v>
      </c>
    </row>
    <row r="47" spans="1:17" x14ac:dyDescent="0.3">
      <c r="C47" s="342"/>
      <c r="D47" s="343"/>
      <c r="E47" s="32"/>
      <c r="F47" s="32"/>
      <c r="G47" s="32"/>
      <c r="H47" s="32"/>
      <c r="I47" s="32"/>
      <c r="J47" s="32"/>
    </row>
    <row r="48" spans="1:17" x14ac:dyDescent="0.3">
      <c r="C48" s="342"/>
      <c r="D48" s="343"/>
      <c r="E48" s="32"/>
      <c r="F48" s="32"/>
      <c r="G48" s="32"/>
      <c r="H48" s="32"/>
      <c r="I48" s="32"/>
      <c r="J48" s="32"/>
    </row>
    <row r="49" spans="3:10" x14ac:dyDescent="0.3">
      <c r="C49" s="342"/>
      <c r="D49" s="343"/>
      <c r="E49" s="32"/>
      <c r="F49" s="32"/>
      <c r="G49" s="32"/>
      <c r="H49" s="32"/>
      <c r="I49" s="32"/>
      <c r="J49" s="32"/>
    </row>
    <row r="50" spans="3:10" ht="4.5" customHeight="1" x14ac:dyDescent="0.3"/>
    <row r="51" spans="3:10" x14ac:dyDescent="0.3">
      <c r="E51" s="146"/>
      <c r="F51" s="133"/>
    </row>
    <row r="52" spans="3:10" x14ac:dyDescent="0.3">
      <c r="E52" s="315" t="s">
        <v>70</v>
      </c>
      <c r="F52" s="315"/>
      <c r="G52" s="315"/>
      <c r="H52" s="315"/>
      <c r="I52" s="315"/>
      <c r="J52" s="315"/>
    </row>
    <row r="53" spans="3:10" ht="4.5" customHeight="1" x14ac:dyDescent="0.3">
      <c r="E53" s="129"/>
    </row>
    <row r="54" spans="3:10" x14ac:dyDescent="0.3">
      <c r="E54" s="147" t="s">
        <v>71</v>
      </c>
      <c r="G54" s="147" t="s">
        <v>72</v>
      </c>
      <c r="I54" s="147" t="s">
        <v>73</v>
      </c>
    </row>
    <row r="55" spans="3:10" ht="4.5" customHeight="1" x14ac:dyDescent="0.3">
      <c r="E55" s="129"/>
    </row>
    <row r="56" spans="3:10" x14ac:dyDescent="0.3">
      <c r="E56" s="148">
        <v>0.85</v>
      </c>
      <c r="G56" s="149">
        <v>0.9</v>
      </c>
      <c r="I56" s="148">
        <v>1</v>
      </c>
    </row>
    <row r="57" spans="3:10" ht="4.5" customHeight="1" x14ac:dyDescent="0.3">
      <c r="E57" s="129"/>
    </row>
    <row r="58" spans="3:10" x14ac:dyDescent="0.3">
      <c r="F58" s="147" t="s">
        <v>74</v>
      </c>
      <c r="H58" s="147" t="s">
        <v>75</v>
      </c>
      <c r="J58" s="147" t="s">
        <v>76</v>
      </c>
    </row>
    <row r="59" spans="3:10" ht="4.5" customHeight="1" x14ac:dyDescent="0.3"/>
    <row r="60" spans="3:10" x14ac:dyDescent="0.3">
      <c r="F60" s="150">
        <v>0.85</v>
      </c>
      <c r="H60" s="150">
        <v>0.9</v>
      </c>
      <c r="J60" s="150">
        <v>1</v>
      </c>
    </row>
    <row r="62" spans="3:10" ht="4.5" customHeight="1" x14ac:dyDescent="0.3">
      <c r="E62" s="133"/>
      <c r="F62" s="133"/>
      <c r="G62" s="133"/>
    </row>
    <row r="63" spans="3:10" s="151" customFormat="1" ht="29.25" customHeight="1" x14ac:dyDescent="0.2">
      <c r="E63" s="326" t="s">
        <v>87</v>
      </c>
      <c r="F63" s="326"/>
      <c r="G63" s="326"/>
      <c r="H63" s="326"/>
    </row>
    <row r="64" spans="3:10" ht="4.5" customHeight="1" x14ac:dyDescent="0.3"/>
    <row r="65" spans="2:10" ht="21" customHeight="1" x14ac:dyDescent="0.3">
      <c r="E65" s="325" t="s">
        <v>93</v>
      </c>
      <c r="F65" s="325"/>
      <c r="G65" s="325" t="s">
        <v>92</v>
      </c>
      <c r="H65" s="325"/>
    </row>
    <row r="66" spans="2:10" x14ac:dyDescent="0.3">
      <c r="E66" s="327" t="s">
        <v>88</v>
      </c>
      <c r="F66" s="328"/>
      <c r="G66" s="316" t="s">
        <v>95</v>
      </c>
      <c r="H66" s="317"/>
    </row>
    <row r="67" spans="2:10" x14ac:dyDescent="0.3">
      <c r="E67" s="329" t="s">
        <v>89</v>
      </c>
      <c r="F67" s="330"/>
      <c r="G67" s="316" t="s">
        <v>96</v>
      </c>
      <c r="H67" s="317"/>
    </row>
    <row r="68" spans="2:10" x14ac:dyDescent="0.3">
      <c r="E68" s="331" t="s">
        <v>90</v>
      </c>
      <c r="F68" s="332"/>
      <c r="G68" s="316"/>
      <c r="H68" s="317"/>
    </row>
    <row r="69" spans="2:10" x14ac:dyDescent="0.3">
      <c r="E69" s="333" t="s">
        <v>91</v>
      </c>
      <c r="F69" s="334"/>
      <c r="G69" s="316"/>
      <c r="H69" s="317"/>
    </row>
    <row r="71" spans="2:10" x14ac:dyDescent="0.3">
      <c r="E71" s="315" t="s">
        <v>140</v>
      </c>
      <c r="F71" s="315"/>
      <c r="G71" s="315"/>
      <c r="H71" s="315"/>
      <c r="I71" s="315"/>
      <c r="J71" s="315"/>
    </row>
    <row r="72" spans="2:10" ht="6.75" customHeight="1" x14ac:dyDescent="0.3"/>
    <row r="73" spans="2:10" x14ac:dyDescent="0.3">
      <c r="B73" s="318" t="str">
        <f>IF(G66="",E66,G66)</f>
        <v>MISSION</v>
      </c>
      <c r="C73" s="318"/>
      <c r="D73" s="318"/>
      <c r="E73" s="318"/>
      <c r="G73" s="323" t="str">
        <f>IF(G67="",E67,G67)</f>
        <v>PRIME DE LANGUE</v>
      </c>
      <c r="H73" s="323"/>
      <c r="I73" s="323"/>
      <c r="J73" s="323"/>
    </row>
    <row r="74" spans="2:10" ht="6.75" customHeight="1" x14ac:dyDescent="0.3">
      <c r="B74" s="131"/>
      <c r="E74" s="129"/>
      <c r="G74" s="131"/>
    </row>
    <row r="75" spans="2:10" x14ac:dyDescent="0.3">
      <c r="B75" s="147" t="s">
        <v>20</v>
      </c>
      <c r="C75" s="147" t="s">
        <v>21</v>
      </c>
      <c r="D75" s="147" t="s">
        <v>130</v>
      </c>
      <c r="E75" s="147"/>
      <c r="G75" s="147" t="s">
        <v>20</v>
      </c>
      <c r="H75" s="147" t="s">
        <v>21</v>
      </c>
      <c r="I75" s="324" t="s">
        <v>130</v>
      </c>
      <c r="J75" s="324"/>
    </row>
    <row r="76" spans="2:10" x14ac:dyDescent="0.3">
      <c r="B76" s="32"/>
      <c r="C76" s="32"/>
      <c r="D76" s="316"/>
      <c r="E76" s="317"/>
      <c r="G76" s="32"/>
      <c r="H76" s="32"/>
      <c r="I76" s="316"/>
      <c r="J76" s="317"/>
    </row>
    <row r="77" spans="2:10" x14ac:dyDescent="0.3">
      <c r="B77" s="32"/>
      <c r="C77" s="32"/>
      <c r="D77" s="316"/>
      <c r="E77" s="317"/>
      <c r="G77" s="32"/>
      <c r="H77" s="32"/>
      <c r="I77" s="316"/>
      <c r="J77" s="317"/>
    </row>
    <row r="78" spans="2:10" x14ac:dyDescent="0.3">
      <c r="B78" s="32"/>
      <c r="C78" s="32"/>
      <c r="D78" s="316"/>
      <c r="E78" s="317"/>
      <c r="G78" s="32"/>
      <c r="H78" s="32"/>
      <c r="I78" s="316"/>
      <c r="J78" s="317"/>
    </row>
    <row r="79" spans="2:10" x14ac:dyDescent="0.3">
      <c r="B79" s="32"/>
      <c r="C79" s="32"/>
      <c r="D79" s="316"/>
      <c r="E79" s="317"/>
      <c r="G79" s="32"/>
      <c r="H79" s="32"/>
      <c r="I79" s="316"/>
      <c r="J79" s="317"/>
    </row>
    <row r="80" spans="2:10" x14ac:dyDescent="0.3">
      <c r="B80" s="32"/>
      <c r="C80" s="32"/>
      <c r="D80" s="316"/>
      <c r="E80" s="317"/>
      <c r="G80" s="32"/>
      <c r="H80" s="32"/>
      <c r="I80" s="316"/>
      <c r="J80" s="317"/>
    </row>
    <row r="81" spans="2:10" x14ac:dyDescent="0.3">
      <c r="B81" s="32"/>
      <c r="C81" s="32"/>
      <c r="D81" s="316"/>
      <c r="E81" s="317"/>
      <c r="G81" s="32"/>
      <c r="H81" s="32"/>
      <c r="I81" s="316"/>
      <c r="J81" s="317"/>
    </row>
    <row r="82" spans="2:10" x14ac:dyDescent="0.3">
      <c r="B82" s="32"/>
      <c r="C82" s="32"/>
      <c r="D82" s="316"/>
      <c r="E82" s="317"/>
      <c r="G82" s="32"/>
      <c r="H82" s="32"/>
      <c r="I82" s="316"/>
      <c r="J82" s="317"/>
    </row>
    <row r="83" spans="2:10" x14ac:dyDescent="0.3">
      <c r="B83" s="32"/>
      <c r="C83" s="32"/>
      <c r="D83" s="316"/>
      <c r="E83" s="317"/>
      <c r="G83" s="32"/>
      <c r="H83" s="32"/>
      <c r="I83" s="316"/>
      <c r="J83" s="317"/>
    </row>
    <row r="84" spans="2:10" x14ac:dyDescent="0.3">
      <c r="B84" s="32"/>
      <c r="C84" s="32"/>
      <c r="D84" s="316"/>
      <c r="E84" s="317"/>
      <c r="G84" s="32"/>
      <c r="H84" s="32"/>
      <c r="I84" s="316"/>
      <c r="J84" s="317"/>
    </row>
    <row r="85" spans="2:10" x14ac:dyDescent="0.3">
      <c r="B85" s="32"/>
      <c r="C85" s="32"/>
      <c r="D85" s="316"/>
      <c r="E85" s="317"/>
      <c r="G85" s="32"/>
      <c r="H85" s="32"/>
      <c r="I85" s="316"/>
      <c r="J85" s="317"/>
    </row>
    <row r="86" spans="2:10" x14ac:dyDescent="0.3">
      <c r="B86" s="32"/>
      <c r="C86" s="32"/>
      <c r="D86" s="316"/>
      <c r="E86" s="317"/>
      <c r="G86" s="32"/>
      <c r="H86" s="32"/>
      <c r="I86" s="316"/>
      <c r="J86" s="317"/>
    </row>
    <row r="87" spans="2:10" x14ac:dyDescent="0.3">
      <c r="B87" s="32"/>
      <c r="C87" s="32"/>
      <c r="D87" s="316"/>
      <c r="E87" s="317"/>
      <c r="G87" s="32"/>
      <c r="H87" s="32"/>
      <c r="I87" s="316"/>
      <c r="J87" s="317"/>
    </row>
    <row r="88" spans="2:10" x14ac:dyDescent="0.3">
      <c r="B88" s="32"/>
      <c r="C88" s="32"/>
      <c r="D88" s="316"/>
      <c r="E88" s="317"/>
      <c r="G88" s="32"/>
      <c r="H88" s="32"/>
      <c r="I88" s="316"/>
      <c r="J88" s="317"/>
    </row>
    <row r="89" spans="2:10" x14ac:dyDescent="0.3">
      <c r="B89" s="32"/>
      <c r="C89" s="32"/>
      <c r="D89" s="316"/>
      <c r="E89" s="317"/>
      <c r="G89" s="32"/>
      <c r="H89" s="32"/>
      <c r="I89" s="316"/>
      <c r="J89" s="317"/>
    </row>
    <row r="90" spans="2:10" x14ac:dyDescent="0.3">
      <c r="B90" s="32"/>
      <c r="C90" s="32"/>
      <c r="D90" s="316"/>
      <c r="E90" s="317"/>
      <c r="G90" s="32"/>
      <c r="H90" s="32"/>
      <c r="I90" s="316"/>
      <c r="J90" s="317"/>
    </row>
    <row r="91" spans="2:10" x14ac:dyDescent="0.3">
      <c r="B91" s="32"/>
      <c r="C91" s="32"/>
      <c r="D91" s="316"/>
      <c r="E91" s="317"/>
      <c r="G91" s="32"/>
      <c r="H91" s="32"/>
      <c r="I91" s="316"/>
      <c r="J91" s="317"/>
    </row>
    <row r="92" spans="2:10" x14ac:dyDescent="0.3">
      <c r="B92" s="32"/>
      <c r="C92" s="32"/>
      <c r="D92" s="316"/>
      <c r="E92" s="317"/>
      <c r="G92" s="32"/>
      <c r="H92" s="32"/>
      <c r="I92" s="316"/>
      <c r="J92" s="317"/>
    </row>
    <row r="93" spans="2:10" x14ac:dyDescent="0.3">
      <c r="B93" s="32"/>
      <c r="C93" s="32"/>
      <c r="D93" s="316"/>
      <c r="E93" s="317"/>
      <c r="G93" s="32"/>
      <c r="H93" s="32"/>
      <c r="I93" s="316"/>
      <c r="J93" s="317"/>
    </row>
    <row r="94" spans="2:10" x14ac:dyDescent="0.3">
      <c r="B94" s="32"/>
      <c r="C94" s="32"/>
      <c r="D94" s="316"/>
      <c r="E94" s="317"/>
      <c r="G94" s="32"/>
      <c r="H94" s="32"/>
      <c r="I94" s="316"/>
      <c r="J94" s="317"/>
    </row>
    <row r="95" spans="2:10" x14ac:dyDescent="0.3">
      <c r="B95" s="32"/>
      <c r="C95" s="32"/>
      <c r="D95" s="316"/>
      <c r="E95" s="317"/>
      <c r="G95" s="32"/>
      <c r="H95" s="32"/>
      <c r="I95" s="316"/>
      <c r="J95" s="317"/>
    </row>
    <row r="96" spans="2:10" x14ac:dyDescent="0.3">
      <c r="B96" s="32"/>
      <c r="C96" s="32"/>
      <c r="D96" s="316"/>
      <c r="E96" s="317"/>
      <c r="G96" s="32"/>
      <c r="H96" s="32"/>
      <c r="I96" s="316"/>
      <c r="J96" s="317"/>
    </row>
    <row r="97" spans="2:10" x14ac:dyDescent="0.3">
      <c r="B97" s="32"/>
      <c r="C97" s="32"/>
      <c r="D97" s="316"/>
      <c r="E97" s="317"/>
      <c r="G97" s="32"/>
      <c r="H97" s="32"/>
      <c r="I97" s="316"/>
      <c r="J97" s="317"/>
    </row>
    <row r="98" spans="2:10" x14ac:dyDescent="0.3">
      <c r="B98" s="32"/>
      <c r="C98" s="32"/>
      <c r="D98" s="316"/>
      <c r="E98" s="317"/>
      <c r="G98" s="32"/>
      <c r="H98" s="32"/>
      <c r="I98" s="316"/>
      <c r="J98" s="317"/>
    </row>
    <row r="99" spans="2:10" x14ac:dyDescent="0.3">
      <c r="B99" s="32"/>
      <c r="C99" s="32"/>
      <c r="D99" s="316"/>
      <c r="E99" s="317"/>
      <c r="G99" s="32"/>
      <c r="H99" s="32"/>
      <c r="I99" s="316"/>
      <c r="J99" s="317"/>
    </row>
    <row r="100" spans="2:10" x14ac:dyDescent="0.3">
      <c r="B100" s="32"/>
      <c r="C100" s="32"/>
      <c r="D100" s="316"/>
      <c r="E100" s="317"/>
      <c r="G100" s="32"/>
      <c r="H100" s="32"/>
      <c r="I100" s="316"/>
      <c r="J100" s="317"/>
    </row>
    <row r="101" spans="2:10" x14ac:dyDescent="0.3">
      <c r="B101" s="32"/>
      <c r="C101" s="32"/>
      <c r="D101" s="316"/>
      <c r="E101" s="317"/>
      <c r="G101" s="32"/>
      <c r="H101" s="32"/>
      <c r="I101" s="316"/>
      <c r="J101" s="317"/>
    </row>
    <row r="102" spans="2:10" x14ac:dyDescent="0.3">
      <c r="B102" s="32"/>
      <c r="C102" s="32"/>
      <c r="D102" s="316"/>
      <c r="E102" s="317"/>
      <c r="G102" s="32"/>
      <c r="H102" s="32"/>
      <c r="I102" s="316"/>
      <c r="J102" s="317"/>
    </row>
    <row r="103" spans="2:10" x14ac:dyDescent="0.3">
      <c r="B103" s="32"/>
      <c r="C103" s="32"/>
      <c r="D103" s="316"/>
      <c r="E103" s="317"/>
      <c r="G103" s="32"/>
      <c r="H103" s="32"/>
      <c r="I103" s="316"/>
      <c r="J103" s="317"/>
    </row>
    <row r="104" spans="2:10" x14ac:dyDescent="0.3">
      <c r="B104" s="32"/>
      <c r="C104" s="32"/>
      <c r="D104" s="316"/>
      <c r="E104" s="317"/>
      <c r="G104" s="32"/>
      <c r="H104" s="32"/>
      <c r="I104" s="316"/>
      <c r="J104" s="317"/>
    </row>
    <row r="105" spans="2:10" x14ac:dyDescent="0.3">
      <c r="B105" s="32"/>
      <c r="C105" s="32"/>
      <c r="D105" s="316"/>
      <c r="E105" s="317"/>
      <c r="G105" s="32"/>
      <c r="H105" s="32"/>
      <c r="I105" s="316"/>
      <c r="J105" s="317"/>
    </row>
    <row r="106" spans="2:10" x14ac:dyDescent="0.3">
      <c r="B106" s="32"/>
      <c r="C106" s="32"/>
      <c r="D106" s="316"/>
      <c r="E106" s="317"/>
      <c r="G106" s="32"/>
      <c r="H106" s="32"/>
      <c r="I106" s="316"/>
      <c r="J106" s="317"/>
    </row>
    <row r="107" spans="2:10" x14ac:dyDescent="0.3">
      <c r="B107" s="32"/>
      <c r="C107" s="32"/>
      <c r="D107" s="316"/>
      <c r="E107" s="317"/>
      <c r="G107" s="32"/>
      <c r="H107" s="32"/>
      <c r="I107" s="316"/>
      <c r="J107" s="317"/>
    </row>
    <row r="108" spans="2:10" x14ac:dyDescent="0.3">
      <c r="B108" s="32"/>
      <c r="C108" s="32"/>
      <c r="D108" s="316"/>
      <c r="E108" s="317"/>
      <c r="G108" s="32"/>
      <c r="H108" s="32"/>
      <c r="I108" s="316"/>
      <c r="J108" s="317"/>
    </row>
    <row r="109" spans="2:10" x14ac:dyDescent="0.3">
      <c r="B109" s="32"/>
      <c r="C109" s="32"/>
      <c r="D109" s="316"/>
      <c r="E109" s="317"/>
      <c r="G109" s="32"/>
      <c r="H109" s="32"/>
      <c r="I109" s="316"/>
      <c r="J109" s="317"/>
    </row>
    <row r="110" spans="2:10" x14ac:dyDescent="0.3">
      <c r="B110" s="32"/>
      <c r="C110" s="32"/>
      <c r="D110" s="316"/>
      <c r="E110" s="317"/>
      <c r="G110" s="32"/>
      <c r="H110" s="32"/>
      <c r="I110" s="316"/>
      <c r="J110" s="317"/>
    </row>
    <row r="111" spans="2:10" x14ac:dyDescent="0.3">
      <c r="B111" s="32"/>
      <c r="C111" s="32"/>
      <c r="D111" s="316"/>
      <c r="E111" s="317"/>
      <c r="G111" s="32"/>
      <c r="H111" s="32"/>
      <c r="I111" s="316"/>
      <c r="J111" s="317"/>
    </row>
    <row r="112" spans="2:10" x14ac:dyDescent="0.3">
      <c r="B112" s="32"/>
      <c r="C112" s="32"/>
      <c r="D112" s="316"/>
      <c r="E112" s="317"/>
      <c r="G112" s="32"/>
      <c r="H112" s="32"/>
      <c r="I112" s="316"/>
      <c r="J112" s="317"/>
    </row>
    <row r="113" spans="2:10" x14ac:dyDescent="0.3">
      <c r="B113" s="32"/>
      <c r="C113" s="32"/>
      <c r="D113" s="316"/>
      <c r="E113" s="317"/>
      <c r="G113" s="32"/>
      <c r="H113" s="32"/>
      <c r="I113" s="316"/>
      <c r="J113" s="317"/>
    </row>
    <row r="114" spans="2:10" x14ac:dyDescent="0.3">
      <c r="B114" s="32"/>
      <c r="C114" s="32"/>
      <c r="D114" s="316"/>
      <c r="E114" s="317"/>
      <c r="G114" s="32"/>
      <c r="H114" s="32"/>
      <c r="I114" s="316"/>
      <c r="J114" s="317"/>
    </row>
    <row r="115" spans="2:10" x14ac:dyDescent="0.3">
      <c r="B115" s="32"/>
      <c r="C115" s="32"/>
      <c r="D115" s="316"/>
      <c r="E115" s="317"/>
      <c r="G115" s="32"/>
      <c r="H115" s="32"/>
      <c r="I115" s="316"/>
      <c r="J115" s="317"/>
    </row>
    <row r="116" spans="2:10" x14ac:dyDescent="0.3">
      <c r="B116" s="32"/>
      <c r="C116" s="32"/>
      <c r="D116" s="316"/>
      <c r="E116" s="317"/>
      <c r="G116" s="32"/>
      <c r="H116" s="32"/>
      <c r="I116" s="316"/>
      <c r="J116" s="317"/>
    </row>
    <row r="117" spans="2:10" x14ac:dyDescent="0.3">
      <c r="B117" s="32"/>
      <c r="C117" s="32"/>
      <c r="D117" s="316"/>
      <c r="E117" s="317"/>
      <c r="G117" s="32"/>
      <c r="H117" s="32"/>
      <c r="I117" s="316"/>
      <c r="J117" s="317"/>
    </row>
    <row r="118" spans="2:10" x14ac:dyDescent="0.3">
      <c r="B118" s="32"/>
      <c r="C118" s="32"/>
      <c r="D118" s="316"/>
      <c r="E118" s="317"/>
      <c r="G118" s="32"/>
      <c r="H118" s="32"/>
      <c r="I118" s="316"/>
      <c r="J118" s="317"/>
    </row>
    <row r="119" spans="2:10" x14ac:dyDescent="0.3">
      <c r="B119" s="32"/>
      <c r="C119" s="32"/>
      <c r="D119" s="316"/>
      <c r="E119" s="317"/>
      <c r="G119" s="32"/>
      <c r="H119" s="32"/>
      <c r="I119" s="316"/>
      <c r="J119" s="317"/>
    </row>
    <row r="120" spans="2:10" x14ac:dyDescent="0.3">
      <c r="B120" s="32"/>
      <c r="C120" s="32"/>
      <c r="D120" s="316"/>
      <c r="E120" s="317"/>
      <c r="G120" s="32"/>
      <c r="H120" s="32"/>
      <c r="I120" s="316"/>
      <c r="J120" s="317"/>
    </row>
    <row r="121" spans="2:10" x14ac:dyDescent="0.3">
      <c r="B121" s="32"/>
      <c r="C121" s="32"/>
      <c r="D121" s="316"/>
      <c r="E121" s="317"/>
      <c r="G121" s="32"/>
      <c r="H121" s="32"/>
      <c r="I121" s="316"/>
      <c r="J121" s="317"/>
    </row>
    <row r="122" spans="2:10" x14ac:dyDescent="0.3">
      <c r="B122" s="32"/>
      <c r="C122" s="32"/>
      <c r="D122" s="316"/>
      <c r="E122" s="317"/>
      <c r="G122" s="32"/>
      <c r="H122" s="32"/>
      <c r="I122" s="316"/>
      <c r="J122" s="317"/>
    </row>
    <row r="123" spans="2:10" x14ac:dyDescent="0.3">
      <c r="B123" s="32"/>
      <c r="C123" s="32"/>
      <c r="D123" s="316"/>
      <c r="E123" s="317"/>
      <c r="G123" s="32"/>
      <c r="H123" s="32"/>
      <c r="I123" s="316"/>
      <c r="J123" s="317"/>
    </row>
    <row r="124" spans="2:10" x14ac:dyDescent="0.3">
      <c r="B124" s="32"/>
      <c r="C124" s="32"/>
      <c r="D124" s="316"/>
      <c r="E124" s="317"/>
      <c r="G124" s="32"/>
      <c r="H124" s="32"/>
      <c r="I124" s="316"/>
      <c r="J124" s="317"/>
    </row>
    <row r="125" spans="2:10" x14ac:dyDescent="0.3">
      <c r="B125" s="32"/>
      <c r="C125" s="32"/>
      <c r="D125" s="316"/>
      <c r="E125" s="317"/>
      <c r="G125" s="32"/>
      <c r="H125" s="32"/>
      <c r="I125" s="316"/>
      <c r="J125" s="317"/>
    </row>
    <row r="126" spans="2:10" x14ac:dyDescent="0.3">
      <c r="B126" s="32"/>
      <c r="C126" s="32"/>
      <c r="D126" s="316"/>
      <c r="E126" s="317"/>
      <c r="G126" s="32"/>
      <c r="H126" s="32"/>
      <c r="I126" s="316"/>
      <c r="J126" s="317"/>
    </row>
    <row r="127" spans="2:10" x14ac:dyDescent="0.3">
      <c r="B127" s="32"/>
      <c r="C127" s="32"/>
      <c r="D127" s="316"/>
      <c r="E127" s="317"/>
      <c r="G127" s="32"/>
      <c r="H127" s="32"/>
      <c r="I127" s="316"/>
      <c r="J127" s="317"/>
    </row>
    <row r="128" spans="2:10" x14ac:dyDescent="0.3">
      <c r="B128" s="32"/>
      <c r="C128" s="32"/>
      <c r="D128" s="316"/>
      <c r="E128" s="317"/>
      <c r="G128" s="32"/>
      <c r="H128" s="32"/>
      <c r="I128" s="316"/>
      <c r="J128" s="317"/>
    </row>
    <row r="129" spans="2:10" x14ac:dyDescent="0.3">
      <c r="B129" s="32"/>
      <c r="C129" s="32"/>
      <c r="D129" s="316"/>
      <c r="E129" s="317"/>
      <c r="G129" s="32"/>
      <c r="H129" s="32"/>
      <c r="I129" s="316"/>
      <c r="J129" s="317"/>
    </row>
    <row r="130" spans="2:10" x14ac:dyDescent="0.3">
      <c r="B130" s="32"/>
      <c r="C130" s="32"/>
      <c r="D130" s="316"/>
      <c r="E130" s="317"/>
      <c r="G130" s="32"/>
      <c r="H130" s="32"/>
      <c r="I130" s="316"/>
      <c r="J130" s="317"/>
    </row>
    <row r="131" spans="2:10" x14ac:dyDescent="0.3">
      <c r="B131" s="32"/>
      <c r="C131" s="32"/>
      <c r="D131" s="316"/>
      <c r="E131" s="317"/>
      <c r="G131" s="32"/>
      <c r="H131" s="32"/>
      <c r="I131" s="316"/>
      <c r="J131" s="317"/>
    </row>
    <row r="132" spans="2:10" x14ac:dyDescent="0.3">
      <c r="B132" s="32"/>
      <c r="C132" s="32"/>
      <c r="D132" s="316"/>
      <c r="E132" s="317"/>
      <c r="G132" s="32"/>
      <c r="H132" s="32"/>
      <c r="I132" s="316"/>
      <c r="J132" s="317"/>
    </row>
    <row r="133" spans="2:10" x14ac:dyDescent="0.3">
      <c r="B133" s="32"/>
      <c r="C133" s="32"/>
      <c r="D133" s="316"/>
      <c r="E133" s="317"/>
      <c r="G133" s="32"/>
      <c r="H133" s="32"/>
      <c r="I133" s="316"/>
      <c r="J133" s="317"/>
    </row>
    <row r="134" spans="2:10" x14ac:dyDescent="0.3">
      <c r="B134" s="32"/>
      <c r="C134" s="32"/>
      <c r="D134" s="316"/>
      <c r="E134" s="317"/>
      <c r="G134" s="32"/>
      <c r="H134" s="32"/>
      <c r="I134" s="316"/>
      <c r="J134" s="317"/>
    </row>
    <row r="135" spans="2:10" x14ac:dyDescent="0.3">
      <c r="B135" s="32"/>
      <c r="C135" s="32"/>
      <c r="D135" s="316"/>
      <c r="E135" s="317"/>
      <c r="G135" s="32"/>
      <c r="H135" s="32"/>
      <c r="I135" s="316"/>
      <c r="J135" s="317"/>
    </row>
    <row r="136" spans="2:10" x14ac:dyDescent="0.3">
      <c r="B136" s="32"/>
      <c r="C136" s="32"/>
      <c r="D136" s="316"/>
      <c r="E136" s="317"/>
      <c r="G136" s="32"/>
      <c r="H136" s="32"/>
      <c r="I136" s="316"/>
      <c r="J136" s="317"/>
    </row>
    <row r="137" spans="2:10" x14ac:dyDescent="0.3">
      <c r="B137" s="32"/>
      <c r="C137" s="32"/>
      <c r="D137" s="316"/>
      <c r="E137" s="317"/>
      <c r="G137" s="32"/>
      <c r="H137" s="32"/>
      <c r="I137" s="316"/>
      <c r="J137" s="317"/>
    </row>
    <row r="139" spans="2:10" x14ac:dyDescent="0.3">
      <c r="B139" s="319" t="str">
        <f>IF(G68="",E68,G68)</f>
        <v>PRIME 3</v>
      </c>
      <c r="C139" s="319"/>
      <c r="D139" s="319"/>
      <c r="E139" s="319"/>
      <c r="G139" s="335" t="str">
        <f>IF(G69="",E69,G69)</f>
        <v>PRIME 4</v>
      </c>
      <c r="H139" s="335"/>
      <c r="I139" s="335"/>
      <c r="J139" s="335"/>
    </row>
    <row r="140" spans="2:10" ht="6.75" customHeight="1" x14ac:dyDescent="0.3">
      <c r="B140" s="131"/>
      <c r="E140" s="129"/>
      <c r="G140" s="131"/>
    </row>
    <row r="141" spans="2:10" x14ac:dyDescent="0.3">
      <c r="B141" s="147" t="s">
        <v>20</v>
      </c>
      <c r="C141" s="147" t="s">
        <v>21</v>
      </c>
      <c r="D141" s="147" t="s">
        <v>130</v>
      </c>
      <c r="E141" s="147"/>
      <c r="G141" s="147" t="s">
        <v>20</v>
      </c>
      <c r="H141" s="147" t="s">
        <v>21</v>
      </c>
      <c r="I141" s="324" t="s">
        <v>130</v>
      </c>
      <c r="J141" s="324"/>
    </row>
    <row r="142" spans="2:10" x14ac:dyDescent="0.3">
      <c r="B142" s="32"/>
      <c r="C142" s="32"/>
      <c r="D142" s="316"/>
      <c r="E142" s="317"/>
      <c r="G142" s="32"/>
      <c r="H142" s="32"/>
      <c r="I142" s="316"/>
      <c r="J142" s="317"/>
    </row>
    <row r="143" spans="2:10" x14ac:dyDescent="0.3">
      <c r="B143" s="32"/>
      <c r="C143" s="32"/>
      <c r="D143" s="316"/>
      <c r="E143" s="317"/>
      <c r="G143" s="32"/>
      <c r="H143" s="32"/>
      <c r="I143" s="316"/>
      <c r="J143" s="317"/>
    </row>
    <row r="144" spans="2:10" x14ac:dyDescent="0.3">
      <c r="B144" s="32"/>
      <c r="C144" s="32"/>
      <c r="D144" s="316"/>
      <c r="E144" s="317"/>
      <c r="G144" s="32"/>
      <c r="H144" s="32"/>
      <c r="I144" s="316"/>
      <c r="J144" s="317"/>
    </row>
    <row r="145" spans="2:10" x14ac:dyDescent="0.3">
      <c r="B145" s="32"/>
      <c r="C145" s="32"/>
      <c r="D145" s="316"/>
      <c r="E145" s="317"/>
      <c r="G145" s="32"/>
      <c r="H145" s="32"/>
      <c r="I145" s="316"/>
      <c r="J145" s="317"/>
    </row>
    <row r="146" spans="2:10" x14ac:dyDescent="0.3">
      <c r="B146" s="32"/>
      <c r="C146" s="32"/>
      <c r="D146" s="316"/>
      <c r="E146" s="317"/>
      <c r="G146" s="32"/>
      <c r="H146" s="32"/>
      <c r="I146" s="316"/>
      <c r="J146" s="317"/>
    </row>
    <row r="147" spans="2:10" x14ac:dyDescent="0.3">
      <c r="B147" s="32"/>
      <c r="C147" s="32"/>
      <c r="D147" s="316"/>
      <c r="E147" s="317"/>
      <c r="G147" s="32"/>
      <c r="H147" s="32"/>
      <c r="I147" s="316"/>
      <c r="J147" s="317"/>
    </row>
    <row r="148" spans="2:10" x14ac:dyDescent="0.3">
      <c r="B148" s="32"/>
      <c r="C148" s="32"/>
      <c r="D148" s="316"/>
      <c r="E148" s="317"/>
      <c r="G148" s="32"/>
      <c r="H148" s="32"/>
      <c r="I148" s="316"/>
      <c r="J148" s="317"/>
    </row>
    <row r="149" spans="2:10" x14ac:dyDescent="0.3">
      <c r="B149" s="32"/>
      <c r="C149" s="32"/>
      <c r="D149" s="316"/>
      <c r="E149" s="317"/>
      <c r="G149" s="32"/>
      <c r="H149" s="32"/>
      <c r="I149" s="316"/>
      <c r="J149" s="317"/>
    </row>
    <row r="150" spans="2:10" x14ac:dyDescent="0.3">
      <c r="B150" s="32"/>
      <c r="C150" s="32"/>
      <c r="D150" s="316"/>
      <c r="E150" s="317"/>
      <c r="G150" s="32"/>
      <c r="H150" s="32"/>
      <c r="I150" s="316"/>
      <c r="J150" s="317"/>
    </row>
    <row r="151" spans="2:10" x14ac:dyDescent="0.3">
      <c r="B151" s="32"/>
      <c r="C151" s="32"/>
      <c r="D151" s="316"/>
      <c r="E151" s="317"/>
      <c r="G151" s="32"/>
      <c r="H151" s="32"/>
      <c r="I151" s="316"/>
      <c r="J151" s="317"/>
    </row>
    <row r="152" spans="2:10" x14ac:dyDescent="0.3">
      <c r="B152" s="32"/>
      <c r="C152" s="32"/>
      <c r="D152" s="316"/>
      <c r="E152" s="317"/>
      <c r="G152" s="32"/>
      <c r="H152" s="32"/>
      <c r="I152" s="316"/>
      <c r="J152" s="317"/>
    </row>
    <row r="153" spans="2:10" x14ac:dyDescent="0.3">
      <c r="B153" s="32"/>
      <c r="C153" s="32"/>
      <c r="D153" s="316"/>
      <c r="E153" s="317"/>
      <c r="G153" s="32"/>
      <c r="H153" s="32"/>
      <c r="I153" s="316"/>
      <c r="J153" s="317"/>
    </row>
    <row r="154" spans="2:10" x14ac:dyDescent="0.3">
      <c r="B154" s="32"/>
      <c r="C154" s="32"/>
      <c r="D154" s="316"/>
      <c r="E154" s="317"/>
      <c r="G154" s="32"/>
      <c r="H154" s="32"/>
      <c r="I154" s="316"/>
      <c r="J154" s="317"/>
    </row>
    <row r="155" spans="2:10" x14ac:dyDescent="0.3">
      <c r="B155" s="32"/>
      <c r="C155" s="32"/>
      <c r="D155" s="316"/>
      <c r="E155" s="317"/>
      <c r="G155" s="32"/>
      <c r="H155" s="32"/>
      <c r="I155" s="316"/>
      <c r="J155" s="317"/>
    </row>
    <row r="156" spans="2:10" x14ac:dyDescent="0.3">
      <c r="B156" s="32"/>
      <c r="C156" s="32"/>
      <c r="D156" s="316"/>
      <c r="E156" s="317"/>
      <c r="G156" s="32"/>
      <c r="H156" s="32"/>
      <c r="I156" s="316"/>
      <c r="J156" s="317"/>
    </row>
    <row r="157" spans="2:10" x14ac:dyDescent="0.3">
      <c r="B157" s="32"/>
      <c r="C157" s="32"/>
      <c r="D157" s="316"/>
      <c r="E157" s="317"/>
      <c r="G157" s="32"/>
      <c r="H157" s="32"/>
      <c r="I157" s="316"/>
      <c r="J157" s="317"/>
    </row>
    <row r="158" spans="2:10" x14ac:dyDescent="0.3">
      <c r="B158" s="32"/>
      <c r="C158" s="32"/>
      <c r="D158" s="316"/>
      <c r="E158" s="317"/>
      <c r="G158" s="32"/>
      <c r="H158" s="32"/>
      <c r="I158" s="316"/>
      <c r="J158" s="317"/>
    </row>
    <row r="159" spans="2:10" x14ac:dyDescent="0.3">
      <c r="B159" s="32"/>
      <c r="C159" s="32"/>
      <c r="D159" s="316"/>
      <c r="E159" s="317"/>
      <c r="G159" s="32"/>
      <c r="H159" s="32"/>
      <c r="I159" s="316"/>
      <c r="J159" s="317"/>
    </row>
    <row r="160" spans="2:10" x14ac:dyDescent="0.3">
      <c r="B160" s="32"/>
      <c r="C160" s="32"/>
      <c r="D160" s="316"/>
      <c r="E160" s="317"/>
      <c r="G160" s="32"/>
      <c r="H160" s="32"/>
      <c r="I160" s="316"/>
      <c r="J160" s="317"/>
    </row>
    <row r="161" spans="2:10" x14ac:dyDescent="0.3">
      <c r="B161" s="32"/>
      <c r="C161" s="32"/>
      <c r="D161" s="316"/>
      <c r="E161" s="317"/>
      <c r="G161" s="32"/>
      <c r="H161" s="32"/>
      <c r="I161" s="316"/>
      <c r="J161" s="317"/>
    </row>
    <row r="162" spans="2:10" x14ac:dyDescent="0.3">
      <c r="B162" s="32"/>
      <c r="C162" s="32"/>
      <c r="D162" s="316"/>
      <c r="E162" s="317"/>
      <c r="G162" s="32"/>
      <c r="H162" s="32"/>
      <c r="I162" s="316"/>
      <c r="J162" s="317"/>
    </row>
    <row r="163" spans="2:10" x14ac:dyDescent="0.3">
      <c r="B163" s="32"/>
      <c r="C163" s="32"/>
      <c r="D163" s="316"/>
      <c r="E163" s="317"/>
      <c r="G163" s="32"/>
      <c r="H163" s="32"/>
      <c r="I163" s="316"/>
      <c r="J163" s="317"/>
    </row>
    <row r="164" spans="2:10" x14ac:dyDescent="0.3">
      <c r="B164" s="32"/>
      <c r="C164" s="32"/>
      <c r="D164" s="316"/>
      <c r="E164" s="317"/>
      <c r="G164" s="32"/>
      <c r="H164" s="32"/>
      <c r="I164" s="316"/>
      <c r="J164" s="317"/>
    </row>
    <row r="165" spans="2:10" x14ac:dyDescent="0.3">
      <c r="B165" s="32"/>
      <c r="C165" s="32"/>
      <c r="D165" s="316"/>
      <c r="E165" s="317"/>
      <c r="G165" s="32"/>
      <c r="H165" s="32"/>
      <c r="I165" s="316"/>
      <c r="J165" s="317"/>
    </row>
    <row r="166" spans="2:10" x14ac:dyDescent="0.3">
      <c r="B166" s="32"/>
      <c r="C166" s="32"/>
      <c r="D166" s="316"/>
      <c r="E166" s="317"/>
      <c r="G166" s="32"/>
      <c r="H166" s="32"/>
      <c r="I166" s="316"/>
      <c r="J166" s="317"/>
    </row>
    <row r="167" spans="2:10" x14ac:dyDescent="0.3">
      <c r="B167" s="32"/>
      <c r="C167" s="32"/>
      <c r="D167" s="316"/>
      <c r="E167" s="317"/>
      <c r="G167" s="32"/>
      <c r="H167" s="32"/>
      <c r="I167" s="316"/>
      <c r="J167" s="317"/>
    </row>
    <row r="168" spans="2:10" x14ac:dyDescent="0.3">
      <c r="B168" s="32"/>
      <c r="C168" s="32"/>
      <c r="D168" s="316"/>
      <c r="E168" s="317"/>
      <c r="G168" s="32"/>
      <c r="H168" s="32"/>
      <c r="I168" s="316"/>
      <c r="J168" s="317"/>
    </row>
    <row r="169" spans="2:10" x14ac:dyDescent="0.3">
      <c r="B169" s="32"/>
      <c r="C169" s="32"/>
      <c r="D169" s="316"/>
      <c r="E169" s="317"/>
      <c r="G169" s="32"/>
      <c r="H169" s="32"/>
      <c r="I169" s="316"/>
      <c r="J169" s="317"/>
    </row>
    <row r="170" spans="2:10" x14ac:dyDescent="0.3">
      <c r="B170" s="32"/>
      <c r="C170" s="32"/>
      <c r="D170" s="316"/>
      <c r="E170" s="317"/>
      <c r="G170" s="32"/>
      <c r="H170" s="32"/>
      <c r="I170" s="316"/>
      <c r="J170" s="317"/>
    </row>
    <row r="171" spans="2:10" x14ac:dyDescent="0.3">
      <c r="B171" s="32"/>
      <c r="C171" s="32"/>
      <c r="D171" s="316"/>
      <c r="E171" s="317"/>
      <c r="G171" s="32"/>
      <c r="H171" s="32"/>
      <c r="I171" s="316"/>
      <c r="J171" s="317"/>
    </row>
    <row r="172" spans="2:10" x14ac:dyDescent="0.3">
      <c r="B172" s="32"/>
      <c r="C172" s="32"/>
      <c r="D172" s="316"/>
      <c r="E172" s="317"/>
      <c r="G172" s="32"/>
      <c r="H172" s="32"/>
      <c r="I172" s="316"/>
      <c r="J172" s="317"/>
    </row>
    <row r="173" spans="2:10" x14ac:dyDescent="0.3">
      <c r="B173" s="32"/>
      <c r="C173" s="32"/>
      <c r="D173" s="316"/>
      <c r="E173" s="317"/>
      <c r="G173" s="32"/>
      <c r="H173" s="32"/>
      <c r="I173" s="316"/>
      <c r="J173" s="317"/>
    </row>
    <row r="174" spans="2:10" x14ac:dyDescent="0.3">
      <c r="B174" s="32"/>
      <c r="C174" s="32"/>
      <c r="D174" s="316"/>
      <c r="E174" s="317"/>
      <c r="G174" s="32"/>
      <c r="H174" s="32"/>
      <c r="I174" s="316"/>
      <c r="J174" s="317"/>
    </row>
    <row r="175" spans="2:10" x14ac:dyDescent="0.3">
      <c r="B175" s="32"/>
      <c r="C175" s="32"/>
      <c r="D175" s="316"/>
      <c r="E175" s="317"/>
      <c r="G175" s="32"/>
      <c r="H175" s="32"/>
      <c r="I175" s="316"/>
      <c r="J175" s="317"/>
    </row>
    <row r="176" spans="2:10" x14ac:dyDescent="0.3">
      <c r="B176" s="32"/>
      <c r="C176" s="32"/>
      <c r="D176" s="316"/>
      <c r="E176" s="317"/>
      <c r="G176" s="32"/>
      <c r="H176" s="32"/>
      <c r="I176" s="316"/>
      <c r="J176" s="317"/>
    </row>
    <row r="177" spans="2:10" x14ac:dyDescent="0.3">
      <c r="B177" s="32"/>
      <c r="C177" s="32"/>
      <c r="D177" s="316"/>
      <c r="E177" s="317"/>
      <c r="G177" s="32"/>
      <c r="H177" s="32"/>
      <c r="I177" s="316"/>
      <c r="J177" s="317"/>
    </row>
    <row r="178" spans="2:10" x14ac:dyDescent="0.3">
      <c r="B178" s="32"/>
      <c r="C178" s="32"/>
      <c r="D178" s="316"/>
      <c r="E178" s="317"/>
      <c r="G178" s="32"/>
      <c r="H178" s="32"/>
      <c r="I178" s="316"/>
      <c r="J178" s="317"/>
    </row>
    <row r="179" spans="2:10" x14ac:dyDescent="0.3">
      <c r="B179" s="32"/>
      <c r="C179" s="32"/>
      <c r="D179" s="316"/>
      <c r="E179" s="317"/>
      <c r="G179" s="32"/>
      <c r="H179" s="32"/>
      <c r="I179" s="316"/>
      <c r="J179" s="317"/>
    </row>
    <row r="180" spans="2:10" x14ac:dyDescent="0.3">
      <c r="B180" s="32"/>
      <c r="C180" s="32"/>
      <c r="D180" s="316"/>
      <c r="E180" s="317"/>
      <c r="G180" s="32"/>
      <c r="H180" s="32"/>
      <c r="I180" s="316"/>
      <c r="J180" s="317"/>
    </row>
    <row r="181" spans="2:10" x14ac:dyDescent="0.3">
      <c r="B181" s="32"/>
      <c r="C181" s="32"/>
      <c r="D181" s="316"/>
      <c r="E181" s="317"/>
      <c r="G181" s="32"/>
      <c r="H181" s="32"/>
      <c r="I181" s="316"/>
      <c r="J181" s="317"/>
    </row>
    <row r="182" spans="2:10" x14ac:dyDescent="0.3">
      <c r="B182" s="32"/>
      <c r="C182" s="32"/>
      <c r="D182" s="316"/>
      <c r="E182" s="317"/>
      <c r="G182" s="32"/>
      <c r="H182" s="32"/>
      <c r="I182" s="316"/>
      <c r="J182" s="317"/>
    </row>
    <row r="183" spans="2:10" x14ac:dyDescent="0.3">
      <c r="B183" s="32"/>
      <c r="C183" s="32"/>
      <c r="D183" s="316"/>
      <c r="E183" s="317"/>
      <c r="G183" s="32"/>
      <c r="H183" s="32"/>
      <c r="I183" s="316"/>
      <c r="J183" s="317"/>
    </row>
    <row r="184" spans="2:10" x14ac:dyDescent="0.3">
      <c r="B184" s="32"/>
      <c r="C184" s="32"/>
      <c r="D184" s="316"/>
      <c r="E184" s="317"/>
      <c r="G184" s="32"/>
      <c r="H184" s="32"/>
      <c r="I184" s="316"/>
      <c r="J184" s="317"/>
    </row>
    <row r="185" spans="2:10" x14ac:dyDescent="0.3">
      <c r="B185" s="32"/>
      <c r="C185" s="32"/>
      <c r="D185" s="316"/>
      <c r="E185" s="317"/>
      <c r="G185" s="32"/>
      <c r="H185" s="32"/>
      <c r="I185" s="316"/>
      <c r="J185" s="317"/>
    </row>
    <row r="186" spans="2:10" x14ac:dyDescent="0.3">
      <c r="B186" s="32"/>
      <c r="C186" s="32"/>
      <c r="D186" s="316"/>
      <c r="E186" s="317"/>
      <c r="G186" s="32"/>
      <c r="H186" s="32"/>
      <c r="I186" s="316"/>
      <c r="J186" s="317"/>
    </row>
    <row r="187" spans="2:10" x14ac:dyDescent="0.3">
      <c r="B187" s="32"/>
      <c r="C187" s="32"/>
      <c r="D187" s="316"/>
      <c r="E187" s="317"/>
      <c r="G187" s="32"/>
      <c r="H187" s="32"/>
      <c r="I187" s="316"/>
      <c r="J187" s="317"/>
    </row>
    <row r="188" spans="2:10" x14ac:dyDescent="0.3">
      <c r="B188" s="32"/>
      <c r="C188" s="32"/>
      <c r="D188" s="316"/>
      <c r="E188" s="317"/>
      <c r="G188" s="32"/>
      <c r="H188" s="32"/>
      <c r="I188" s="316"/>
      <c r="J188" s="317"/>
    </row>
    <row r="189" spans="2:10" x14ac:dyDescent="0.3">
      <c r="B189" s="32"/>
      <c r="C189" s="32"/>
      <c r="D189" s="316"/>
      <c r="E189" s="317"/>
      <c r="G189" s="32"/>
      <c r="H189" s="32"/>
      <c r="I189" s="316"/>
      <c r="J189" s="317"/>
    </row>
    <row r="190" spans="2:10" x14ac:dyDescent="0.3">
      <c r="B190" s="32"/>
      <c r="C190" s="32"/>
      <c r="D190" s="316"/>
      <c r="E190" s="317"/>
      <c r="G190" s="32"/>
      <c r="H190" s="32"/>
      <c r="I190" s="316"/>
      <c r="J190" s="317"/>
    </row>
    <row r="191" spans="2:10" x14ac:dyDescent="0.3">
      <c r="B191" s="32"/>
      <c r="C191" s="32"/>
      <c r="D191" s="316"/>
      <c r="E191" s="317"/>
      <c r="G191" s="32"/>
      <c r="H191" s="32"/>
      <c r="I191" s="173"/>
      <c r="J191" s="174"/>
    </row>
    <row r="192" spans="2:10" x14ac:dyDescent="0.3">
      <c r="B192" s="32"/>
      <c r="C192" s="32"/>
      <c r="D192" s="316"/>
      <c r="E192" s="317"/>
      <c r="G192" s="32"/>
      <c r="H192" s="32"/>
      <c r="I192" s="173"/>
      <c r="J192" s="174"/>
    </row>
    <row r="193" spans="2:10" x14ac:dyDescent="0.3">
      <c r="B193" s="32"/>
      <c r="C193" s="32"/>
      <c r="D193" s="316"/>
      <c r="E193" s="317"/>
      <c r="G193" s="32"/>
      <c r="H193" s="32"/>
      <c r="I193" s="316"/>
      <c r="J193" s="317"/>
    </row>
    <row r="194" spans="2:10" x14ac:dyDescent="0.3">
      <c r="B194" s="32"/>
      <c r="C194" s="32"/>
      <c r="D194" s="316"/>
      <c r="E194" s="317"/>
      <c r="G194" s="32"/>
      <c r="H194" s="32"/>
      <c r="I194" s="316"/>
      <c r="J194" s="317"/>
    </row>
    <row r="195" spans="2:10" x14ac:dyDescent="0.3">
      <c r="B195" s="32"/>
      <c r="C195" s="32"/>
      <c r="D195" s="316"/>
      <c r="E195" s="317"/>
      <c r="G195" s="32"/>
      <c r="H195" s="32"/>
      <c r="I195" s="316"/>
      <c r="J195" s="317"/>
    </row>
    <row r="196" spans="2:10" x14ac:dyDescent="0.3">
      <c r="B196" s="32"/>
      <c r="C196" s="32"/>
      <c r="D196" s="316"/>
      <c r="E196" s="317"/>
      <c r="G196" s="32"/>
      <c r="H196" s="32"/>
      <c r="I196" s="316"/>
      <c r="J196" s="317"/>
    </row>
    <row r="197" spans="2:10" x14ac:dyDescent="0.3">
      <c r="B197" s="32"/>
      <c r="C197" s="32"/>
      <c r="D197" s="316"/>
      <c r="E197" s="317"/>
      <c r="G197" s="32"/>
      <c r="H197" s="32"/>
      <c r="I197" s="316"/>
      <c r="J197" s="317"/>
    </row>
    <row r="198" spans="2:10" x14ac:dyDescent="0.3">
      <c r="B198" s="32"/>
      <c r="C198" s="32"/>
      <c r="D198" s="316"/>
      <c r="E198" s="317"/>
      <c r="G198" s="32"/>
      <c r="H198" s="32"/>
      <c r="I198" s="316"/>
      <c r="J198" s="317"/>
    </row>
    <row r="199" spans="2:10" x14ac:dyDescent="0.3">
      <c r="B199" s="32"/>
      <c r="C199" s="32"/>
      <c r="D199" s="316"/>
      <c r="E199" s="317"/>
      <c r="G199" s="32"/>
      <c r="H199" s="32"/>
      <c r="I199" s="316"/>
      <c r="J199" s="317"/>
    </row>
    <row r="200" spans="2:10" x14ac:dyDescent="0.3">
      <c r="B200" s="32"/>
      <c r="C200" s="32"/>
      <c r="D200" s="316"/>
      <c r="E200" s="317"/>
      <c r="G200" s="32"/>
      <c r="H200" s="32"/>
      <c r="I200" s="316"/>
      <c r="J200" s="317"/>
    </row>
    <row r="201" spans="2:10" x14ac:dyDescent="0.3">
      <c r="B201" s="32"/>
      <c r="C201" s="32"/>
      <c r="D201" s="316"/>
      <c r="E201" s="317"/>
      <c r="G201" s="32"/>
      <c r="H201" s="32"/>
      <c r="I201" s="316"/>
      <c r="J201" s="317"/>
    </row>
    <row r="202" spans="2:10" x14ac:dyDescent="0.3">
      <c r="B202" s="32"/>
      <c r="C202" s="32"/>
      <c r="D202" s="316"/>
      <c r="E202" s="317"/>
      <c r="G202" s="32"/>
      <c r="H202" s="32"/>
      <c r="I202" s="316"/>
      <c r="J202" s="317"/>
    </row>
    <row r="203" spans="2:10" x14ac:dyDescent="0.3">
      <c r="B203" s="32"/>
      <c r="C203" s="32"/>
      <c r="D203" s="316"/>
      <c r="E203" s="317"/>
      <c r="G203" s="32"/>
      <c r="H203" s="32"/>
      <c r="I203" s="316"/>
      <c r="J203" s="317"/>
    </row>
    <row r="205" spans="2:10" x14ac:dyDescent="0.3">
      <c r="D205" s="315" t="s">
        <v>131</v>
      </c>
      <c r="E205" s="315"/>
      <c r="F205" s="315"/>
      <c r="G205" s="315"/>
      <c r="H205" s="315"/>
    </row>
    <row r="206" spans="2:10" ht="6" customHeight="1" x14ac:dyDescent="0.3">
      <c r="D206" s="131"/>
      <c r="E206" s="129"/>
    </row>
    <row r="207" spans="2:10" x14ac:dyDescent="0.3">
      <c r="D207" s="131"/>
      <c r="E207" s="137" t="s">
        <v>20</v>
      </c>
      <c r="F207" s="137" t="s">
        <v>21</v>
      </c>
      <c r="G207" s="137" t="s">
        <v>141</v>
      </c>
      <c r="H207" s="137" t="s">
        <v>130</v>
      </c>
    </row>
    <row r="208" spans="2:10" x14ac:dyDescent="0.3">
      <c r="D208" s="131"/>
      <c r="E208" s="32"/>
      <c r="F208" s="32"/>
      <c r="G208" s="32"/>
      <c r="H208" s="145">
        <f>IFERROR(VLOOKUP(G208,$C$276:$G$328,4,TRUE),0)</f>
        <v>0</v>
      </c>
    </row>
    <row r="209" spans="4:8" x14ac:dyDescent="0.3">
      <c r="D209" s="131"/>
      <c r="E209" s="32"/>
      <c r="F209" s="32"/>
      <c r="G209" s="32"/>
      <c r="H209" s="145">
        <f t="shared" ref="H209:H269" si="0">IFERROR(VLOOKUP(G209,$C$276:$G$328,4,TRUE),0)</f>
        <v>0</v>
      </c>
    </row>
    <row r="210" spans="4:8" x14ac:dyDescent="0.3">
      <c r="D210" s="131"/>
      <c r="E210" s="32"/>
      <c r="F210" s="32"/>
      <c r="G210" s="32"/>
      <c r="H210" s="145">
        <f t="shared" si="0"/>
        <v>0</v>
      </c>
    </row>
    <row r="211" spans="4:8" x14ac:dyDescent="0.3">
      <c r="D211" s="131"/>
      <c r="E211" s="32"/>
      <c r="F211" s="32"/>
      <c r="G211" s="32"/>
      <c r="H211" s="145">
        <f t="shared" si="0"/>
        <v>0</v>
      </c>
    </row>
    <row r="212" spans="4:8" x14ac:dyDescent="0.3">
      <c r="D212" s="131"/>
      <c r="E212" s="32"/>
      <c r="F212" s="32"/>
      <c r="G212" s="32"/>
      <c r="H212" s="145">
        <f t="shared" si="0"/>
        <v>0</v>
      </c>
    </row>
    <row r="213" spans="4:8" x14ac:dyDescent="0.3">
      <c r="D213" s="131"/>
      <c r="E213" s="32"/>
      <c r="F213" s="32"/>
      <c r="G213" s="32"/>
      <c r="H213" s="145">
        <f t="shared" si="0"/>
        <v>0</v>
      </c>
    </row>
    <row r="214" spans="4:8" x14ac:dyDescent="0.3">
      <c r="D214" s="131"/>
      <c r="E214" s="32"/>
      <c r="F214" s="32"/>
      <c r="G214" s="32"/>
      <c r="H214" s="145">
        <f t="shared" si="0"/>
        <v>0</v>
      </c>
    </row>
    <row r="215" spans="4:8" x14ac:dyDescent="0.3">
      <c r="D215" s="131"/>
      <c r="E215" s="32"/>
      <c r="F215" s="32"/>
      <c r="G215" s="32"/>
      <c r="H215" s="145">
        <f t="shared" si="0"/>
        <v>0</v>
      </c>
    </row>
    <row r="216" spans="4:8" x14ac:dyDescent="0.3">
      <c r="D216" s="131"/>
      <c r="E216" s="32"/>
      <c r="F216" s="32"/>
      <c r="G216" s="32"/>
      <c r="H216" s="145">
        <f t="shared" si="0"/>
        <v>0</v>
      </c>
    </row>
    <row r="217" spans="4:8" x14ac:dyDescent="0.3">
      <c r="D217" s="131"/>
      <c r="E217" s="32"/>
      <c r="F217" s="32"/>
      <c r="G217" s="32"/>
      <c r="H217" s="145">
        <f t="shared" si="0"/>
        <v>0</v>
      </c>
    </row>
    <row r="218" spans="4:8" x14ac:dyDescent="0.3">
      <c r="D218" s="131"/>
      <c r="E218" s="32"/>
      <c r="F218" s="32"/>
      <c r="G218" s="32"/>
      <c r="H218" s="145">
        <f t="shared" si="0"/>
        <v>0</v>
      </c>
    </row>
    <row r="219" spans="4:8" x14ac:dyDescent="0.3">
      <c r="D219" s="131"/>
      <c r="E219" s="32"/>
      <c r="F219" s="32"/>
      <c r="G219" s="32"/>
      <c r="H219" s="145">
        <f t="shared" si="0"/>
        <v>0</v>
      </c>
    </row>
    <row r="220" spans="4:8" x14ac:dyDescent="0.3">
      <c r="D220" s="131"/>
      <c r="E220" s="32"/>
      <c r="F220" s="32"/>
      <c r="G220" s="32"/>
      <c r="H220" s="145">
        <f t="shared" si="0"/>
        <v>0</v>
      </c>
    </row>
    <row r="221" spans="4:8" x14ac:dyDescent="0.3">
      <c r="D221" s="131"/>
      <c r="E221" s="32"/>
      <c r="F221" s="32"/>
      <c r="G221" s="32"/>
      <c r="H221" s="145">
        <f t="shared" si="0"/>
        <v>0</v>
      </c>
    </row>
    <row r="222" spans="4:8" x14ac:dyDescent="0.3">
      <c r="D222" s="131"/>
      <c r="E222" s="32"/>
      <c r="F222" s="32"/>
      <c r="G222" s="32"/>
      <c r="H222" s="145">
        <f t="shared" si="0"/>
        <v>0</v>
      </c>
    </row>
    <row r="223" spans="4:8" x14ac:dyDescent="0.3">
      <c r="D223" s="131"/>
      <c r="E223" s="32"/>
      <c r="F223" s="32"/>
      <c r="G223" s="32"/>
      <c r="H223" s="145">
        <f t="shared" si="0"/>
        <v>0</v>
      </c>
    </row>
    <row r="224" spans="4:8" x14ac:dyDescent="0.3">
      <c r="D224" s="131"/>
      <c r="E224" s="32"/>
      <c r="F224" s="32"/>
      <c r="G224" s="32"/>
      <c r="H224" s="145">
        <f t="shared" si="0"/>
        <v>0</v>
      </c>
    </row>
    <row r="225" spans="4:8" x14ac:dyDescent="0.3">
      <c r="D225" s="131"/>
      <c r="E225" s="32"/>
      <c r="F225" s="32"/>
      <c r="G225" s="32"/>
      <c r="H225" s="145">
        <f t="shared" si="0"/>
        <v>0</v>
      </c>
    </row>
    <row r="226" spans="4:8" x14ac:dyDescent="0.3">
      <c r="D226" s="131"/>
      <c r="E226" s="32"/>
      <c r="F226" s="32"/>
      <c r="G226" s="32"/>
      <c r="H226" s="145">
        <f t="shared" si="0"/>
        <v>0</v>
      </c>
    </row>
    <row r="227" spans="4:8" x14ac:dyDescent="0.3">
      <c r="D227" s="131"/>
      <c r="E227" s="32"/>
      <c r="F227" s="32"/>
      <c r="G227" s="32"/>
      <c r="H227" s="145">
        <f t="shared" si="0"/>
        <v>0</v>
      </c>
    </row>
    <row r="228" spans="4:8" x14ac:dyDescent="0.3">
      <c r="D228" s="131"/>
      <c r="E228" s="32"/>
      <c r="F228" s="32"/>
      <c r="G228" s="32"/>
      <c r="H228" s="145">
        <f t="shared" si="0"/>
        <v>0</v>
      </c>
    </row>
    <row r="229" spans="4:8" x14ac:dyDescent="0.3">
      <c r="D229" s="131"/>
      <c r="E229" s="32"/>
      <c r="F229" s="32"/>
      <c r="G229" s="32"/>
      <c r="H229" s="145">
        <f t="shared" si="0"/>
        <v>0</v>
      </c>
    </row>
    <row r="230" spans="4:8" x14ac:dyDescent="0.3">
      <c r="D230" s="131"/>
      <c r="E230" s="32"/>
      <c r="F230" s="32"/>
      <c r="G230" s="32"/>
      <c r="H230" s="145">
        <f t="shared" si="0"/>
        <v>0</v>
      </c>
    </row>
    <row r="231" spans="4:8" x14ac:dyDescent="0.3">
      <c r="D231" s="131"/>
      <c r="E231" s="32"/>
      <c r="F231" s="32"/>
      <c r="G231" s="32"/>
      <c r="H231" s="145">
        <f t="shared" si="0"/>
        <v>0</v>
      </c>
    </row>
    <row r="232" spans="4:8" x14ac:dyDescent="0.3">
      <c r="D232" s="131"/>
      <c r="E232" s="32"/>
      <c r="F232" s="32"/>
      <c r="G232" s="32"/>
      <c r="H232" s="145">
        <f t="shared" si="0"/>
        <v>0</v>
      </c>
    </row>
    <row r="233" spans="4:8" x14ac:dyDescent="0.3">
      <c r="D233" s="131"/>
      <c r="E233" s="32"/>
      <c r="F233" s="32"/>
      <c r="G233" s="32"/>
      <c r="H233" s="145">
        <f t="shared" si="0"/>
        <v>0</v>
      </c>
    </row>
    <row r="234" spans="4:8" x14ac:dyDescent="0.3">
      <c r="D234" s="131"/>
      <c r="E234" s="32"/>
      <c r="F234" s="32"/>
      <c r="G234" s="32"/>
      <c r="H234" s="145">
        <f t="shared" si="0"/>
        <v>0</v>
      </c>
    </row>
    <row r="235" spans="4:8" x14ac:dyDescent="0.3">
      <c r="D235" s="131"/>
      <c r="E235" s="32"/>
      <c r="F235" s="32"/>
      <c r="G235" s="32"/>
      <c r="H235" s="145">
        <f t="shared" si="0"/>
        <v>0</v>
      </c>
    </row>
    <row r="236" spans="4:8" x14ac:dyDescent="0.3">
      <c r="D236" s="131"/>
      <c r="E236" s="32"/>
      <c r="F236" s="32"/>
      <c r="G236" s="32"/>
      <c r="H236" s="145">
        <f t="shared" si="0"/>
        <v>0</v>
      </c>
    </row>
    <row r="237" spans="4:8" x14ac:dyDescent="0.3">
      <c r="D237" s="131"/>
      <c r="E237" s="32"/>
      <c r="F237" s="32"/>
      <c r="G237" s="32"/>
      <c r="H237" s="145">
        <f t="shared" si="0"/>
        <v>0</v>
      </c>
    </row>
    <row r="238" spans="4:8" x14ac:dyDescent="0.3">
      <c r="D238" s="131"/>
      <c r="E238" s="32"/>
      <c r="F238" s="32"/>
      <c r="G238" s="32"/>
      <c r="H238" s="145">
        <f t="shared" si="0"/>
        <v>0</v>
      </c>
    </row>
    <row r="239" spans="4:8" x14ac:dyDescent="0.3">
      <c r="D239" s="131"/>
      <c r="E239" s="32"/>
      <c r="F239" s="32"/>
      <c r="G239" s="32"/>
      <c r="H239" s="145">
        <f t="shared" si="0"/>
        <v>0</v>
      </c>
    </row>
    <row r="240" spans="4:8" x14ac:dyDescent="0.3">
      <c r="D240" s="131"/>
      <c r="E240" s="32"/>
      <c r="F240" s="32"/>
      <c r="G240" s="32"/>
      <c r="H240" s="145">
        <f t="shared" si="0"/>
        <v>0</v>
      </c>
    </row>
    <row r="241" spans="4:8" x14ac:dyDescent="0.3">
      <c r="D241" s="131"/>
      <c r="E241" s="32"/>
      <c r="F241" s="32"/>
      <c r="G241" s="32"/>
      <c r="H241" s="145">
        <f t="shared" si="0"/>
        <v>0</v>
      </c>
    </row>
    <row r="242" spans="4:8" x14ac:dyDescent="0.3">
      <c r="D242" s="131"/>
      <c r="E242" s="32"/>
      <c r="F242" s="32"/>
      <c r="G242" s="32"/>
      <c r="H242" s="145">
        <f t="shared" si="0"/>
        <v>0</v>
      </c>
    </row>
    <row r="243" spans="4:8" x14ac:dyDescent="0.3">
      <c r="D243" s="131"/>
      <c r="E243" s="32"/>
      <c r="F243" s="32"/>
      <c r="G243" s="32"/>
      <c r="H243" s="145">
        <f t="shared" si="0"/>
        <v>0</v>
      </c>
    </row>
    <row r="244" spans="4:8" x14ac:dyDescent="0.3">
      <c r="D244" s="131"/>
      <c r="E244" s="32"/>
      <c r="F244" s="32"/>
      <c r="G244" s="32"/>
      <c r="H244" s="145">
        <f t="shared" si="0"/>
        <v>0</v>
      </c>
    </row>
    <row r="245" spans="4:8" x14ac:dyDescent="0.3">
      <c r="D245" s="131"/>
      <c r="E245" s="32"/>
      <c r="F245" s="32"/>
      <c r="G245" s="32"/>
      <c r="H245" s="145">
        <f t="shared" si="0"/>
        <v>0</v>
      </c>
    </row>
    <row r="246" spans="4:8" x14ac:dyDescent="0.3">
      <c r="D246" s="131"/>
      <c r="E246" s="32"/>
      <c r="F246" s="32"/>
      <c r="G246" s="32"/>
      <c r="H246" s="145">
        <f t="shared" si="0"/>
        <v>0</v>
      </c>
    </row>
    <row r="247" spans="4:8" x14ac:dyDescent="0.3">
      <c r="D247" s="131"/>
      <c r="E247" s="32"/>
      <c r="F247" s="32"/>
      <c r="G247" s="32"/>
      <c r="H247" s="145">
        <f t="shared" si="0"/>
        <v>0</v>
      </c>
    </row>
    <row r="248" spans="4:8" x14ac:dyDescent="0.3">
      <c r="D248" s="131"/>
      <c r="E248" s="32"/>
      <c r="F248" s="32"/>
      <c r="G248" s="32"/>
      <c r="H248" s="145">
        <f t="shared" si="0"/>
        <v>0</v>
      </c>
    </row>
    <row r="249" spans="4:8" x14ac:dyDescent="0.3">
      <c r="D249" s="131"/>
      <c r="E249" s="32"/>
      <c r="F249" s="32"/>
      <c r="G249" s="32"/>
      <c r="H249" s="145">
        <f t="shared" si="0"/>
        <v>0</v>
      </c>
    </row>
    <row r="250" spans="4:8" x14ac:dyDescent="0.3">
      <c r="D250" s="131"/>
      <c r="E250" s="32"/>
      <c r="F250" s="32"/>
      <c r="G250" s="32"/>
      <c r="H250" s="145">
        <f t="shared" si="0"/>
        <v>0</v>
      </c>
    </row>
    <row r="251" spans="4:8" x14ac:dyDescent="0.3">
      <c r="D251" s="131"/>
      <c r="E251" s="32"/>
      <c r="F251" s="32"/>
      <c r="G251" s="32"/>
      <c r="H251" s="145">
        <f t="shared" si="0"/>
        <v>0</v>
      </c>
    </row>
    <row r="252" spans="4:8" x14ac:dyDescent="0.3">
      <c r="D252" s="131"/>
      <c r="E252" s="32"/>
      <c r="F252" s="32"/>
      <c r="G252" s="32"/>
      <c r="H252" s="145">
        <f t="shared" si="0"/>
        <v>0</v>
      </c>
    </row>
    <row r="253" spans="4:8" x14ac:dyDescent="0.3">
      <c r="D253" s="131"/>
      <c r="E253" s="32"/>
      <c r="F253" s="32"/>
      <c r="G253" s="32"/>
      <c r="H253" s="145">
        <f t="shared" si="0"/>
        <v>0</v>
      </c>
    </row>
    <row r="254" spans="4:8" x14ac:dyDescent="0.3">
      <c r="D254" s="131"/>
      <c r="E254" s="32"/>
      <c r="F254" s="32"/>
      <c r="G254" s="32"/>
      <c r="H254" s="145">
        <f t="shared" si="0"/>
        <v>0</v>
      </c>
    </row>
    <row r="255" spans="4:8" x14ac:dyDescent="0.3">
      <c r="D255" s="131"/>
      <c r="E255" s="32"/>
      <c r="F255" s="32"/>
      <c r="G255" s="32"/>
      <c r="H255" s="145">
        <f t="shared" si="0"/>
        <v>0</v>
      </c>
    </row>
    <row r="256" spans="4:8" x14ac:dyDescent="0.3">
      <c r="D256" s="131"/>
      <c r="E256" s="32"/>
      <c r="F256" s="32"/>
      <c r="G256" s="32"/>
      <c r="H256" s="145">
        <f t="shared" si="0"/>
        <v>0</v>
      </c>
    </row>
    <row r="257" spans="3:10" x14ac:dyDescent="0.3">
      <c r="D257" s="131"/>
      <c r="E257" s="32"/>
      <c r="F257" s="32"/>
      <c r="G257" s="32"/>
      <c r="H257" s="145">
        <f t="shared" si="0"/>
        <v>0</v>
      </c>
    </row>
    <row r="258" spans="3:10" x14ac:dyDescent="0.3">
      <c r="D258" s="131"/>
      <c r="E258" s="32"/>
      <c r="F258" s="32"/>
      <c r="G258" s="32"/>
      <c r="H258" s="145">
        <f t="shared" si="0"/>
        <v>0</v>
      </c>
    </row>
    <row r="259" spans="3:10" x14ac:dyDescent="0.3">
      <c r="D259" s="131"/>
      <c r="E259" s="32"/>
      <c r="F259" s="32"/>
      <c r="G259" s="32"/>
      <c r="H259" s="145">
        <f t="shared" si="0"/>
        <v>0</v>
      </c>
    </row>
    <row r="260" spans="3:10" x14ac:dyDescent="0.3">
      <c r="D260" s="131"/>
      <c r="E260" s="56"/>
      <c r="F260" s="57"/>
      <c r="G260" s="57"/>
      <c r="H260" s="145">
        <f t="shared" si="0"/>
        <v>0</v>
      </c>
    </row>
    <row r="261" spans="3:10" x14ac:dyDescent="0.3">
      <c r="D261" s="131"/>
      <c r="E261" s="56"/>
      <c r="F261" s="57"/>
      <c r="G261" s="57"/>
      <c r="H261" s="145">
        <f t="shared" si="0"/>
        <v>0</v>
      </c>
    </row>
    <row r="262" spans="3:10" x14ac:dyDescent="0.3">
      <c r="E262" s="56"/>
      <c r="F262" s="57"/>
      <c r="G262" s="57"/>
      <c r="H262" s="145">
        <f t="shared" si="0"/>
        <v>0</v>
      </c>
    </row>
    <row r="263" spans="3:10" x14ac:dyDescent="0.3">
      <c r="E263" s="56"/>
      <c r="F263" s="57"/>
      <c r="G263" s="57"/>
      <c r="H263" s="145">
        <f t="shared" si="0"/>
        <v>0</v>
      </c>
    </row>
    <row r="264" spans="3:10" x14ac:dyDescent="0.3">
      <c r="E264" s="56"/>
      <c r="F264" s="57"/>
      <c r="G264" s="57"/>
      <c r="H264" s="145">
        <f t="shared" si="0"/>
        <v>0</v>
      </c>
    </row>
    <row r="265" spans="3:10" x14ac:dyDescent="0.3">
      <c r="E265" s="56"/>
      <c r="F265" s="57"/>
      <c r="G265" s="57"/>
      <c r="H265" s="145">
        <f t="shared" si="0"/>
        <v>0</v>
      </c>
    </row>
    <row r="266" spans="3:10" x14ac:dyDescent="0.3">
      <c r="E266" s="56"/>
      <c r="F266" s="57"/>
      <c r="G266" s="57"/>
      <c r="H266" s="145">
        <f t="shared" si="0"/>
        <v>0</v>
      </c>
    </row>
    <row r="267" spans="3:10" x14ac:dyDescent="0.3">
      <c r="E267" s="56"/>
      <c r="F267" s="57"/>
      <c r="G267" s="57"/>
      <c r="H267" s="145">
        <f t="shared" si="0"/>
        <v>0</v>
      </c>
    </row>
    <row r="268" spans="3:10" x14ac:dyDescent="0.3">
      <c r="E268" s="56"/>
      <c r="F268" s="57"/>
      <c r="G268" s="57"/>
      <c r="H268" s="145">
        <f t="shared" si="0"/>
        <v>0</v>
      </c>
    </row>
    <row r="269" spans="3:10" x14ac:dyDescent="0.3">
      <c r="E269" s="56"/>
      <c r="F269" s="57"/>
      <c r="G269" s="57"/>
      <c r="H269" s="145">
        <f t="shared" si="0"/>
        <v>0</v>
      </c>
    </row>
    <row r="271" spans="3:10" x14ac:dyDescent="0.3">
      <c r="C271" s="320" t="s">
        <v>152</v>
      </c>
      <c r="D271" s="320"/>
      <c r="E271" s="320"/>
      <c r="F271" s="320"/>
      <c r="G271" s="320"/>
      <c r="H271" s="320"/>
      <c r="I271" s="320"/>
      <c r="J271" s="320"/>
    </row>
    <row r="273" spans="2:9" x14ac:dyDescent="0.3">
      <c r="B273" s="153" t="s">
        <v>134</v>
      </c>
      <c r="C273" s="154">
        <v>10.5</v>
      </c>
      <c r="E273" s="155" t="s">
        <v>138</v>
      </c>
      <c r="F273" s="54" t="s">
        <v>139</v>
      </c>
      <c r="H273" s="156" t="s">
        <v>137</v>
      </c>
      <c r="I273" s="55"/>
    </row>
    <row r="276" spans="2:9" x14ac:dyDescent="0.3">
      <c r="C276" s="321" t="s">
        <v>136</v>
      </c>
      <c r="D276" s="322"/>
      <c r="E276" s="157" t="s">
        <v>132</v>
      </c>
      <c r="F276" s="157" t="s">
        <v>133</v>
      </c>
      <c r="G276" s="157" t="s">
        <v>135</v>
      </c>
    </row>
    <row r="277" spans="2:9" x14ac:dyDescent="0.3">
      <c r="C277" s="313"/>
      <c r="D277" s="314"/>
      <c r="E277" s="158">
        <f>IFERROR(G277*C277,"")</f>
        <v>0</v>
      </c>
      <c r="F277" s="58"/>
      <c r="G277" s="159">
        <f>IFERROR((IF($F$273="VENTES",F277/(C277*$C$273),IF($F$273="RDV",F277/(C277*$I$273*$C$273),0))),"")</f>
        <v>0</v>
      </c>
    </row>
    <row r="278" spans="2:9" x14ac:dyDescent="0.3">
      <c r="C278" s="313"/>
      <c r="D278" s="314"/>
      <c r="E278" s="158">
        <f t="shared" ref="E278:E305" si="1">IFERROR(G278*C278,"")</f>
        <v>0</v>
      </c>
      <c r="F278" s="58"/>
      <c r="G278" s="159">
        <f t="shared" ref="G278:G341" si="2">IFERROR((IF($F$273="VENTES",F278/(C278*$C$273),IF($F$273="RDV",F278/(C278*$I$273*$C$273),0))),"")</f>
        <v>0</v>
      </c>
    </row>
    <row r="279" spans="2:9" x14ac:dyDescent="0.3">
      <c r="C279" s="313"/>
      <c r="D279" s="314"/>
      <c r="E279" s="158">
        <f t="shared" si="1"/>
        <v>0</v>
      </c>
      <c r="F279" s="58"/>
      <c r="G279" s="159">
        <f t="shared" si="2"/>
        <v>0</v>
      </c>
    </row>
    <row r="280" spans="2:9" x14ac:dyDescent="0.3">
      <c r="C280" s="313"/>
      <c r="D280" s="314"/>
      <c r="E280" s="158">
        <f t="shared" si="1"/>
        <v>0</v>
      </c>
      <c r="F280" s="58"/>
      <c r="G280" s="159">
        <f t="shared" si="2"/>
        <v>0</v>
      </c>
    </row>
    <row r="281" spans="2:9" x14ac:dyDescent="0.3">
      <c r="C281" s="313"/>
      <c r="D281" s="314"/>
      <c r="E281" s="158">
        <f t="shared" si="1"/>
        <v>0</v>
      </c>
      <c r="F281" s="58"/>
      <c r="G281" s="159">
        <f t="shared" si="2"/>
        <v>0</v>
      </c>
    </row>
    <row r="282" spans="2:9" x14ac:dyDescent="0.3">
      <c r="C282" s="313"/>
      <c r="D282" s="314"/>
      <c r="E282" s="158">
        <f t="shared" si="1"/>
        <v>0</v>
      </c>
      <c r="F282" s="58"/>
      <c r="G282" s="159">
        <f t="shared" si="2"/>
        <v>0</v>
      </c>
    </row>
    <row r="283" spans="2:9" x14ac:dyDescent="0.3">
      <c r="C283" s="313"/>
      <c r="D283" s="314"/>
      <c r="E283" s="158">
        <f t="shared" si="1"/>
        <v>0</v>
      </c>
      <c r="F283" s="58"/>
      <c r="G283" s="159">
        <f t="shared" si="2"/>
        <v>0</v>
      </c>
    </row>
    <row r="284" spans="2:9" x14ac:dyDescent="0.3">
      <c r="C284" s="313"/>
      <c r="D284" s="314"/>
      <c r="E284" s="158">
        <f t="shared" si="1"/>
        <v>0</v>
      </c>
      <c r="F284" s="58"/>
      <c r="G284" s="159">
        <f t="shared" si="2"/>
        <v>0</v>
      </c>
    </row>
    <row r="285" spans="2:9" x14ac:dyDescent="0.3">
      <c r="C285" s="313"/>
      <c r="D285" s="314"/>
      <c r="E285" s="158">
        <f t="shared" si="1"/>
        <v>0</v>
      </c>
      <c r="F285" s="58"/>
      <c r="G285" s="159">
        <f t="shared" si="2"/>
        <v>0</v>
      </c>
    </row>
    <row r="286" spans="2:9" x14ac:dyDescent="0.3">
      <c r="C286" s="313"/>
      <c r="D286" s="314"/>
      <c r="E286" s="158">
        <f t="shared" si="1"/>
        <v>0</v>
      </c>
      <c r="F286" s="58"/>
      <c r="G286" s="159">
        <f t="shared" si="2"/>
        <v>0</v>
      </c>
    </row>
    <row r="287" spans="2:9" x14ac:dyDescent="0.3">
      <c r="C287" s="313"/>
      <c r="D287" s="314"/>
      <c r="E287" s="158">
        <f t="shared" si="1"/>
        <v>0</v>
      </c>
      <c r="F287" s="58"/>
      <c r="G287" s="159">
        <f t="shared" si="2"/>
        <v>0</v>
      </c>
    </row>
    <row r="288" spans="2:9" x14ac:dyDescent="0.3">
      <c r="C288" s="313"/>
      <c r="D288" s="314"/>
      <c r="E288" s="158">
        <f t="shared" si="1"/>
        <v>0</v>
      </c>
      <c r="F288" s="58"/>
      <c r="G288" s="159">
        <f t="shared" si="2"/>
        <v>0</v>
      </c>
    </row>
    <row r="289" spans="3:7" x14ac:dyDescent="0.3">
      <c r="C289" s="313"/>
      <c r="D289" s="314"/>
      <c r="E289" s="158">
        <f t="shared" si="1"/>
        <v>0</v>
      </c>
      <c r="F289" s="58"/>
      <c r="G289" s="159">
        <f t="shared" si="2"/>
        <v>0</v>
      </c>
    </row>
    <row r="290" spans="3:7" x14ac:dyDescent="0.3">
      <c r="C290" s="313"/>
      <c r="D290" s="314"/>
      <c r="E290" s="158">
        <f t="shared" si="1"/>
        <v>0</v>
      </c>
      <c r="F290" s="58"/>
      <c r="G290" s="159">
        <f t="shared" si="2"/>
        <v>0</v>
      </c>
    </row>
    <row r="291" spans="3:7" x14ac:dyDescent="0.3">
      <c r="C291" s="313"/>
      <c r="D291" s="314"/>
      <c r="E291" s="158">
        <f t="shared" si="1"/>
        <v>0</v>
      </c>
      <c r="F291" s="58"/>
      <c r="G291" s="159">
        <f t="shared" si="2"/>
        <v>0</v>
      </c>
    </row>
    <row r="292" spans="3:7" x14ac:dyDescent="0.3">
      <c r="C292" s="313"/>
      <c r="D292" s="314"/>
      <c r="E292" s="158">
        <f t="shared" si="1"/>
        <v>0</v>
      </c>
      <c r="F292" s="58"/>
      <c r="G292" s="159">
        <f t="shared" si="2"/>
        <v>0</v>
      </c>
    </row>
    <row r="293" spans="3:7" x14ac:dyDescent="0.3">
      <c r="C293" s="313"/>
      <c r="D293" s="314"/>
      <c r="E293" s="158">
        <f t="shared" si="1"/>
        <v>0</v>
      </c>
      <c r="F293" s="58"/>
      <c r="G293" s="159">
        <f t="shared" si="2"/>
        <v>0</v>
      </c>
    </row>
    <row r="294" spans="3:7" x14ac:dyDescent="0.3">
      <c r="C294" s="313"/>
      <c r="D294" s="314"/>
      <c r="E294" s="158">
        <f t="shared" si="1"/>
        <v>0</v>
      </c>
      <c r="F294" s="58"/>
      <c r="G294" s="159">
        <f t="shared" si="2"/>
        <v>0</v>
      </c>
    </row>
    <row r="295" spans="3:7" x14ac:dyDescent="0.3">
      <c r="C295" s="313"/>
      <c r="D295" s="314"/>
      <c r="E295" s="158">
        <f t="shared" si="1"/>
        <v>0</v>
      </c>
      <c r="F295" s="58"/>
      <c r="G295" s="159">
        <f t="shared" si="2"/>
        <v>0</v>
      </c>
    </row>
    <row r="296" spans="3:7" x14ac:dyDescent="0.3">
      <c r="C296" s="313"/>
      <c r="D296" s="314"/>
      <c r="E296" s="158">
        <f t="shared" si="1"/>
        <v>0</v>
      </c>
      <c r="F296" s="58"/>
      <c r="G296" s="159">
        <f t="shared" si="2"/>
        <v>0</v>
      </c>
    </row>
    <row r="297" spans="3:7" x14ac:dyDescent="0.3">
      <c r="C297" s="313"/>
      <c r="D297" s="314"/>
      <c r="E297" s="158">
        <f t="shared" si="1"/>
        <v>0</v>
      </c>
      <c r="F297" s="58"/>
      <c r="G297" s="159">
        <f t="shared" si="2"/>
        <v>0</v>
      </c>
    </row>
    <row r="298" spans="3:7" x14ac:dyDescent="0.3">
      <c r="C298" s="313"/>
      <c r="D298" s="314"/>
      <c r="E298" s="158">
        <f t="shared" si="1"/>
        <v>0</v>
      </c>
      <c r="F298" s="58"/>
      <c r="G298" s="159">
        <f t="shared" si="2"/>
        <v>0</v>
      </c>
    </row>
    <row r="299" spans="3:7" x14ac:dyDescent="0.3">
      <c r="C299" s="313"/>
      <c r="D299" s="314"/>
      <c r="E299" s="158">
        <f t="shared" si="1"/>
        <v>0</v>
      </c>
      <c r="F299" s="58"/>
      <c r="G299" s="159">
        <f t="shared" si="2"/>
        <v>0</v>
      </c>
    </row>
    <row r="300" spans="3:7" x14ac:dyDescent="0.3">
      <c r="C300" s="313"/>
      <c r="D300" s="314"/>
      <c r="E300" s="158">
        <f t="shared" si="1"/>
        <v>0</v>
      </c>
      <c r="F300" s="58"/>
      <c r="G300" s="159">
        <f t="shared" si="2"/>
        <v>0</v>
      </c>
    </row>
    <row r="301" spans="3:7" x14ac:dyDescent="0.3">
      <c r="C301" s="313"/>
      <c r="D301" s="314"/>
      <c r="E301" s="158">
        <f t="shared" si="1"/>
        <v>0</v>
      </c>
      <c r="F301" s="58"/>
      <c r="G301" s="159">
        <f t="shared" si="2"/>
        <v>0</v>
      </c>
    </row>
    <row r="302" spans="3:7" x14ac:dyDescent="0.3">
      <c r="C302" s="313"/>
      <c r="D302" s="314"/>
      <c r="E302" s="158">
        <f t="shared" si="1"/>
        <v>0</v>
      </c>
      <c r="F302" s="58"/>
      <c r="G302" s="159">
        <f t="shared" si="2"/>
        <v>0</v>
      </c>
    </row>
    <row r="303" spans="3:7" x14ac:dyDescent="0.3">
      <c r="C303" s="313"/>
      <c r="D303" s="314"/>
      <c r="E303" s="158">
        <f t="shared" si="1"/>
        <v>0</v>
      </c>
      <c r="F303" s="58"/>
      <c r="G303" s="159">
        <f t="shared" si="2"/>
        <v>0</v>
      </c>
    </row>
    <row r="304" spans="3:7" x14ac:dyDescent="0.3">
      <c r="C304" s="313"/>
      <c r="D304" s="314"/>
      <c r="E304" s="158">
        <f t="shared" si="1"/>
        <v>0</v>
      </c>
      <c r="F304" s="58"/>
      <c r="G304" s="159">
        <f t="shared" si="2"/>
        <v>0</v>
      </c>
    </row>
    <row r="305" spans="3:7" x14ac:dyDescent="0.3">
      <c r="C305" s="313"/>
      <c r="D305" s="314"/>
      <c r="E305" s="158">
        <f t="shared" si="1"/>
        <v>0</v>
      </c>
      <c r="F305" s="58"/>
      <c r="G305" s="159">
        <f t="shared" si="2"/>
        <v>0</v>
      </c>
    </row>
    <row r="306" spans="3:7" x14ac:dyDescent="0.3">
      <c r="C306" s="313"/>
      <c r="D306" s="314"/>
      <c r="E306" s="152"/>
      <c r="F306" s="58"/>
      <c r="G306" s="159">
        <f t="shared" si="2"/>
        <v>0</v>
      </c>
    </row>
    <row r="307" spans="3:7" x14ac:dyDescent="0.3">
      <c r="C307" s="313"/>
      <c r="D307" s="314"/>
      <c r="E307" s="152"/>
      <c r="F307" s="58"/>
      <c r="G307" s="159">
        <f t="shared" si="2"/>
        <v>0</v>
      </c>
    </row>
    <row r="308" spans="3:7" x14ac:dyDescent="0.3">
      <c r="C308" s="313"/>
      <c r="D308" s="314"/>
      <c r="E308" s="152"/>
      <c r="F308" s="58"/>
      <c r="G308" s="159">
        <f t="shared" si="2"/>
        <v>0</v>
      </c>
    </row>
    <row r="309" spans="3:7" x14ac:dyDescent="0.3">
      <c r="C309" s="313"/>
      <c r="D309" s="314"/>
      <c r="E309" s="152"/>
      <c r="F309" s="58"/>
      <c r="G309" s="159">
        <f t="shared" si="2"/>
        <v>0</v>
      </c>
    </row>
    <row r="310" spans="3:7" x14ac:dyDescent="0.3">
      <c r="C310" s="313"/>
      <c r="D310" s="314"/>
      <c r="E310" s="152"/>
      <c r="F310" s="58"/>
      <c r="G310" s="159">
        <f t="shared" si="2"/>
        <v>0</v>
      </c>
    </row>
    <row r="311" spans="3:7" x14ac:dyDescent="0.3">
      <c r="C311" s="313"/>
      <c r="D311" s="314"/>
      <c r="E311" s="152"/>
      <c r="F311" s="58"/>
      <c r="G311" s="159">
        <f t="shared" si="2"/>
        <v>0</v>
      </c>
    </row>
    <row r="312" spans="3:7" x14ac:dyDescent="0.3">
      <c r="C312" s="313"/>
      <c r="D312" s="314"/>
      <c r="E312" s="152"/>
      <c r="F312" s="58"/>
      <c r="G312" s="159">
        <f t="shared" si="2"/>
        <v>0</v>
      </c>
    </row>
    <row r="313" spans="3:7" x14ac:dyDescent="0.3">
      <c r="C313" s="313"/>
      <c r="D313" s="314"/>
      <c r="E313" s="152"/>
      <c r="F313" s="58"/>
      <c r="G313" s="159">
        <f t="shared" si="2"/>
        <v>0</v>
      </c>
    </row>
    <row r="314" spans="3:7" x14ac:dyDescent="0.3">
      <c r="C314" s="313"/>
      <c r="D314" s="314"/>
      <c r="E314" s="152"/>
      <c r="F314" s="58"/>
      <c r="G314" s="159">
        <f t="shared" si="2"/>
        <v>0</v>
      </c>
    </row>
    <row r="315" spans="3:7" x14ac:dyDescent="0.3">
      <c r="C315" s="313"/>
      <c r="D315" s="314"/>
      <c r="E315" s="152"/>
      <c r="F315" s="58"/>
      <c r="G315" s="159">
        <f t="shared" si="2"/>
        <v>0</v>
      </c>
    </row>
    <row r="316" spans="3:7" x14ac:dyDescent="0.3">
      <c r="C316" s="313"/>
      <c r="D316" s="314"/>
      <c r="E316" s="152"/>
      <c r="F316" s="58"/>
      <c r="G316" s="159">
        <f t="shared" si="2"/>
        <v>0</v>
      </c>
    </row>
    <row r="317" spans="3:7" x14ac:dyDescent="0.3">
      <c r="C317" s="313"/>
      <c r="D317" s="314"/>
      <c r="E317" s="152"/>
      <c r="F317" s="58"/>
      <c r="G317" s="159">
        <f t="shared" si="2"/>
        <v>0</v>
      </c>
    </row>
    <row r="318" spans="3:7" x14ac:dyDescent="0.3">
      <c r="C318" s="313"/>
      <c r="D318" s="314"/>
      <c r="E318" s="152"/>
      <c r="F318" s="58"/>
      <c r="G318" s="159">
        <f t="shared" si="2"/>
        <v>0</v>
      </c>
    </row>
    <row r="319" spans="3:7" x14ac:dyDescent="0.3">
      <c r="C319" s="313"/>
      <c r="D319" s="314"/>
      <c r="E319" s="152"/>
      <c r="F319" s="58"/>
      <c r="G319" s="159">
        <f t="shared" si="2"/>
        <v>0</v>
      </c>
    </row>
    <row r="320" spans="3:7" x14ac:dyDescent="0.3">
      <c r="C320" s="313"/>
      <c r="D320" s="314"/>
      <c r="E320" s="152"/>
      <c r="F320" s="58"/>
      <c r="G320" s="159">
        <f t="shared" si="2"/>
        <v>0</v>
      </c>
    </row>
    <row r="321" spans="3:7" x14ac:dyDescent="0.3">
      <c r="C321" s="313"/>
      <c r="D321" s="314"/>
      <c r="E321" s="152"/>
      <c r="F321" s="58"/>
      <c r="G321" s="159">
        <f t="shared" si="2"/>
        <v>0</v>
      </c>
    </row>
    <row r="322" spans="3:7" x14ac:dyDescent="0.3">
      <c r="C322" s="313"/>
      <c r="D322" s="314"/>
      <c r="E322" s="152"/>
      <c r="F322" s="58"/>
      <c r="G322" s="159">
        <f t="shared" si="2"/>
        <v>0</v>
      </c>
    </row>
    <row r="323" spans="3:7" x14ac:dyDescent="0.3">
      <c r="C323" s="313"/>
      <c r="D323" s="314"/>
      <c r="E323" s="152"/>
      <c r="F323" s="58"/>
      <c r="G323" s="159">
        <f t="shared" si="2"/>
        <v>0</v>
      </c>
    </row>
    <row r="324" spans="3:7" x14ac:dyDescent="0.3">
      <c r="C324" s="313"/>
      <c r="D324" s="314"/>
      <c r="E324" s="152"/>
      <c r="F324" s="58"/>
      <c r="G324" s="159">
        <f t="shared" si="2"/>
        <v>0</v>
      </c>
    </row>
    <row r="325" spans="3:7" x14ac:dyDescent="0.3">
      <c r="C325" s="313"/>
      <c r="D325" s="314"/>
      <c r="E325" s="152"/>
      <c r="F325" s="58"/>
      <c r="G325" s="159">
        <f t="shared" si="2"/>
        <v>0</v>
      </c>
    </row>
    <row r="326" spans="3:7" x14ac:dyDescent="0.3">
      <c r="C326" s="313"/>
      <c r="D326" s="314"/>
      <c r="E326" s="152"/>
      <c r="F326" s="58"/>
      <c r="G326" s="159">
        <f t="shared" si="2"/>
        <v>0</v>
      </c>
    </row>
    <row r="327" spans="3:7" x14ac:dyDescent="0.3">
      <c r="C327" s="313"/>
      <c r="D327" s="314"/>
      <c r="E327" s="152"/>
      <c r="F327" s="58"/>
      <c r="G327" s="159">
        <f t="shared" si="2"/>
        <v>0</v>
      </c>
    </row>
    <row r="328" spans="3:7" x14ac:dyDescent="0.3">
      <c r="C328" s="313"/>
      <c r="D328" s="314"/>
      <c r="E328" s="152"/>
      <c r="F328" s="58"/>
      <c r="G328" s="159">
        <f t="shared" si="2"/>
        <v>0</v>
      </c>
    </row>
    <row r="329" spans="3:7" x14ac:dyDescent="0.3">
      <c r="C329" s="313"/>
      <c r="D329" s="314"/>
      <c r="E329" s="152"/>
      <c r="F329" s="58"/>
      <c r="G329" s="159">
        <f t="shared" si="2"/>
        <v>0</v>
      </c>
    </row>
    <row r="330" spans="3:7" x14ac:dyDescent="0.3">
      <c r="C330" s="313"/>
      <c r="D330" s="314"/>
      <c r="E330" s="152"/>
      <c r="F330" s="58"/>
      <c r="G330" s="159">
        <f t="shared" si="2"/>
        <v>0</v>
      </c>
    </row>
    <row r="331" spans="3:7" x14ac:dyDescent="0.3">
      <c r="C331" s="313"/>
      <c r="D331" s="314"/>
      <c r="E331" s="152"/>
      <c r="F331" s="58"/>
      <c r="G331" s="159">
        <f t="shared" si="2"/>
        <v>0</v>
      </c>
    </row>
    <row r="332" spans="3:7" x14ac:dyDescent="0.3">
      <c r="C332" s="313"/>
      <c r="D332" s="314"/>
      <c r="E332" s="152"/>
      <c r="F332" s="58"/>
      <c r="G332" s="159">
        <f t="shared" si="2"/>
        <v>0</v>
      </c>
    </row>
    <row r="333" spans="3:7" x14ac:dyDescent="0.3">
      <c r="C333" s="313"/>
      <c r="D333" s="314"/>
      <c r="E333" s="152"/>
      <c r="F333" s="58"/>
      <c r="G333" s="159">
        <f t="shared" si="2"/>
        <v>0</v>
      </c>
    </row>
    <row r="334" spans="3:7" x14ac:dyDescent="0.3">
      <c r="C334" s="313"/>
      <c r="D334" s="314"/>
      <c r="E334" s="152"/>
      <c r="F334" s="58"/>
      <c r="G334" s="159">
        <f t="shared" si="2"/>
        <v>0</v>
      </c>
    </row>
    <row r="335" spans="3:7" x14ac:dyDescent="0.3">
      <c r="C335" s="313"/>
      <c r="D335" s="314"/>
      <c r="E335" s="152"/>
      <c r="F335" s="58"/>
      <c r="G335" s="159">
        <f t="shared" si="2"/>
        <v>0</v>
      </c>
    </row>
    <row r="336" spans="3:7" x14ac:dyDescent="0.3">
      <c r="C336" s="313"/>
      <c r="D336" s="314"/>
      <c r="E336" s="152"/>
      <c r="F336" s="58"/>
      <c r="G336" s="159">
        <f t="shared" si="2"/>
        <v>0</v>
      </c>
    </row>
    <row r="337" spans="3:7" x14ac:dyDescent="0.3">
      <c r="C337" s="313"/>
      <c r="D337" s="314"/>
      <c r="E337" s="152"/>
      <c r="F337" s="58"/>
      <c r="G337" s="159">
        <f t="shared" si="2"/>
        <v>0</v>
      </c>
    </row>
    <row r="338" spans="3:7" x14ac:dyDescent="0.3">
      <c r="C338" s="313"/>
      <c r="D338" s="314"/>
      <c r="E338" s="152"/>
      <c r="F338" s="58"/>
      <c r="G338" s="159">
        <f t="shared" si="2"/>
        <v>0</v>
      </c>
    </row>
    <row r="339" spans="3:7" x14ac:dyDescent="0.3">
      <c r="C339" s="313"/>
      <c r="D339" s="314"/>
      <c r="E339" s="152"/>
      <c r="F339" s="58"/>
      <c r="G339" s="159">
        <f t="shared" si="2"/>
        <v>0</v>
      </c>
    </row>
    <row r="340" spans="3:7" x14ac:dyDescent="0.3">
      <c r="C340" s="313"/>
      <c r="D340" s="314"/>
      <c r="E340" s="152"/>
      <c r="F340" s="58"/>
      <c r="G340" s="159">
        <f t="shared" si="2"/>
        <v>0</v>
      </c>
    </row>
    <row r="341" spans="3:7" x14ac:dyDescent="0.3">
      <c r="C341" s="313"/>
      <c r="D341" s="314"/>
      <c r="E341" s="152"/>
      <c r="F341" s="58"/>
      <c r="G341" s="159">
        <f t="shared" si="2"/>
        <v>0</v>
      </c>
    </row>
  </sheetData>
  <sheetProtection formatCells="0" formatColumns="0" formatRows="0" autoFilter="0" pivotTables="0"/>
  <mergeCells count="370"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D190:E190"/>
    <mergeCell ref="D191:E191"/>
    <mergeCell ref="D192:E19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I120:J120"/>
    <mergeCell ref="I121:J121"/>
    <mergeCell ref="I122:J122"/>
    <mergeCell ref="I123:J123"/>
    <mergeCell ref="I124:J124"/>
    <mergeCell ref="I125:J125"/>
    <mergeCell ref="I126:J126"/>
    <mergeCell ref="D143:E143"/>
    <mergeCell ref="D144:E144"/>
    <mergeCell ref="I134:J134"/>
    <mergeCell ref="I135:J135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E52:J52"/>
    <mergeCell ref="C43:J43"/>
    <mergeCell ref="B34:B39"/>
    <mergeCell ref="C34:C36"/>
    <mergeCell ref="D34:D36"/>
    <mergeCell ref="E34:J34"/>
    <mergeCell ref="E35:G35"/>
    <mergeCell ref="H35:I35"/>
    <mergeCell ref="C45:D45"/>
    <mergeCell ref="C46:D46"/>
    <mergeCell ref="C47:D47"/>
    <mergeCell ref="C48:D48"/>
    <mergeCell ref="C49:D49"/>
    <mergeCell ref="B20:B25"/>
    <mergeCell ref="C20:C22"/>
    <mergeCell ref="D20:D22"/>
    <mergeCell ref="E20:J20"/>
    <mergeCell ref="E21:G21"/>
    <mergeCell ref="H21:I21"/>
    <mergeCell ref="B27:B32"/>
    <mergeCell ref="C27:C29"/>
    <mergeCell ref="D27:D29"/>
    <mergeCell ref="E27:J27"/>
    <mergeCell ref="E28:G28"/>
    <mergeCell ref="H28:I28"/>
    <mergeCell ref="C1:D1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G73:J73"/>
    <mergeCell ref="I75:J75"/>
    <mergeCell ref="I76:J76"/>
    <mergeCell ref="I127:J127"/>
    <mergeCell ref="I193:J193"/>
    <mergeCell ref="G69:H69"/>
    <mergeCell ref="E65:F65"/>
    <mergeCell ref="G65:H65"/>
    <mergeCell ref="E63:H63"/>
    <mergeCell ref="G66:H66"/>
    <mergeCell ref="G67:H67"/>
    <mergeCell ref="G68:H68"/>
    <mergeCell ref="E66:F66"/>
    <mergeCell ref="E67:F67"/>
    <mergeCell ref="E68:F68"/>
    <mergeCell ref="E69:F69"/>
    <mergeCell ref="I136:J136"/>
    <mergeCell ref="I137:J137"/>
    <mergeCell ref="G139:J139"/>
    <mergeCell ref="I141:J141"/>
    <mergeCell ref="I142:J142"/>
    <mergeCell ref="I128:J128"/>
    <mergeCell ref="I132:J132"/>
    <mergeCell ref="I133:J133"/>
    <mergeCell ref="C271:J271"/>
    <mergeCell ref="C276:D276"/>
    <mergeCell ref="C277:D277"/>
    <mergeCell ref="C278:D278"/>
    <mergeCell ref="C279:D279"/>
    <mergeCell ref="I202:J202"/>
    <mergeCell ref="I203:J203"/>
    <mergeCell ref="D195:E195"/>
    <mergeCell ref="D196:E196"/>
    <mergeCell ref="D197:E197"/>
    <mergeCell ref="I194:J194"/>
    <mergeCell ref="I198:J198"/>
    <mergeCell ref="I199:J199"/>
    <mergeCell ref="I200:J200"/>
    <mergeCell ref="I201:J201"/>
    <mergeCell ref="D203:E203"/>
    <mergeCell ref="I195:J195"/>
    <mergeCell ref="I196:J196"/>
    <mergeCell ref="I197:J197"/>
    <mergeCell ref="D198:E198"/>
    <mergeCell ref="D199:E199"/>
    <mergeCell ref="D200:E200"/>
    <mergeCell ref="D201:E201"/>
    <mergeCell ref="D202:E202"/>
    <mergeCell ref="B73:E73"/>
    <mergeCell ref="B139:E139"/>
    <mergeCell ref="D134:E134"/>
    <mergeCell ref="D135:E135"/>
    <mergeCell ref="D136:E136"/>
    <mergeCell ref="D137:E137"/>
    <mergeCell ref="D142:E142"/>
    <mergeCell ref="D193:E193"/>
    <mergeCell ref="D194:E1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40:D340"/>
    <mergeCell ref="C341:D341"/>
    <mergeCell ref="E71:J71"/>
    <mergeCell ref="D205:H205"/>
    <mergeCell ref="I129:J129"/>
    <mergeCell ref="I130:J130"/>
    <mergeCell ref="I131:J131"/>
    <mergeCell ref="D76:E76"/>
    <mergeCell ref="D127:E127"/>
    <mergeCell ref="D128:E128"/>
    <mergeCell ref="D129:E129"/>
    <mergeCell ref="D130:E130"/>
    <mergeCell ref="D131:E131"/>
    <mergeCell ref="D132:E132"/>
    <mergeCell ref="D133:E133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</mergeCells>
  <conditionalFormatting sqref="C1 C2:D2">
    <cfRule type="containsBlanks" dxfId="17" priority="21" stopIfTrue="1">
      <formula>LEN(TRIM(C1))=0</formula>
    </cfRule>
  </conditionalFormatting>
  <conditionalFormatting sqref="A73:A137 B74:E74 K73:XFD137 G75:I75 G73:J74 F73:F137 B73 A342:XFD1048576 H276:XFD276 C277 A276:B341 E277:XFD341 A204:XFD204 A270:XFD275 H206:XFD206 I205:XFD205 A205:C261 E260:G261 A262:G269 I207:XFD269 G132:J137 G129:I131 B75:D137 G76:J128 A1:XFD72">
    <cfRule type="containsBlanks" dxfId="16" priority="22">
      <formula>LEN(TRIM(A1))=0</formula>
    </cfRule>
  </conditionalFormatting>
  <conditionalFormatting sqref="B1:B2">
    <cfRule type="containsText" dxfId="15" priority="19" operator="containsText" text="EG">
      <formula>NOT(ISERROR(SEARCH("EG",B1)))</formula>
    </cfRule>
  </conditionalFormatting>
  <conditionalFormatting sqref="A64:B65 E64:H64 K63:XFD69 E65 G65:G69">
    <cfRule type="containsBlanks" dxfId="14" priority="18">
      <formula>LEN(TRIM(A63))=0</formula>
    </cfRule>
  </conditionalFormatting>
  <conditionalFormatting sqref="D76:D137">
    <cfRule type="containsBlanks" dxfId="13" priority="17">
      <formula>LEN(TRIM(D76))=0</formula>
    </cfRule>
  </conditionalFormatting>
  <conditionalFormatting sqref="D142:D203">
    <cfRule type="containsBlanks" dxfId="12" priority="13">
      <formula>LEN(TRIM(D142))=0</formula>
    </cfRule>
  </conditionalFormatting>
  <conditionalFormatting sqref="I76:I137">
    <cfRule type="containsBlanks" dxfId="11" priority="15">
      <formula>LEN(TRIM(I76))=0</formula>
    </cfRule>
  </conditionalFormatting>
  <conditionalFormatting sqref="A138:XFD138 A139:A203 B140:E140 K139:XFD203 G141:I141 G139:J140 F139:F203 B139 G198:J203 G195:I197 B141:D203 G142:J194">
    <cfRule type="containsBlanks" dxfId="10" priority="14">
      <formula>LEN(TRIM(A138))=0</formula>
    </cfRule>
  </conditionalFormatting>
  <conditionalFormatting sqref="I142:I203">
    <cfRule type="containsBlanks" dxfId="9" priority="12">
      <formula>LEN(TRIM(I142))=0</formula>
    </cfRule>
  </conditionalFormatting>
  <conditionalFormatting sqref="E276:G276">
    <cfRule type="containsBlanks" dxfId="8" priority="9">
      <formula>LEN(TRIM(E276))=0</formula>
    </cfRule>
  </conditionalFormatting>
  <conditionalFormatting sqref="C276">
    <cfRule type="containsBlanks" dxfId="7" priority="10">
      <formula>LEN(TRIM(C276))=0</formula>
    </cfRule>
  </conditionalFormatting>
  <conditionalFormatting sqref="C278:C341">
    <cfRule type="containsBlanks" dxfId="6" priority="8">
      <formula>LEN(TRIM(C278))=0</formula>
    </cfRule>
  </conditionalFormatting>
  <conditionalFormatting sqref="F208:F259">
    <cfRule type="containsBlanks" dxfId="5" priority="6">
      <formula>LEN(TRIM(F208))=0</formula>
    </cfRule>
  </conditionalFormatting>
  <conditionalFormatting sqref="E207:F207 D206:G206 E208:G259 D205 D207:D261">
    <cfRule type="containsBlanks" dxfId="4" priority="7">
      <formula>LEN(TRIM(D205))=0</formula>
    </cfRule>
  </conditionalFormatting>
  <conditionalFormatting sqref="H208">
    <cfRule type="containsBlanks" dxfId="3" priority="4">
      <formula>LEN(TRIM(H208))=0</formula>
    </cfRule>
  </conditionalFormatting>
  <conditionalFormatting sqref="H209:H269">
    <cfRule type="containsBlanks" dxfId="2" priority="3">
      <formula>LEN(TRIM(H209))=0</formula>
    </cfRule>
  </conditionalFormatting>
  <conditionalFormatting sqref="C273 F273 I273">
    <cfRule type="containsBlanks" dxfId="1" priority="2">
      <formula>LEN(TRIM(C273))=0</formula>
    </cfRule>
  </conditionalFormatting>
  <conditionalFormatting sqref="F273">
    <cfRule type="containsText" dxfId="0" priority="1" operator="containsText" text="A RENSEIGNER">
      <formula>NOT(ISERROR(SEARCH("A RENSEIGNER",F273)))</formula>
    </cfRule>
  </conditionalFormatting>
  <dataValidations count="3">
    <dataValidation type="list" allowBlank="1" showInputMessage="1" showErrorMessage="1" sqref="D2:D3 B6:B11 B13:B18 B20:B25 B27:B32 B34:B39">
      <formula1>Typologie</formula1>
    </dataValidation>
    <dataValidation type="list" allowBlank="1" showInputMessage="1" showErrorMessage="1" sqref="F273">
      <formula1>"RDV,VENTES,A RENSEIGNER"</formula1>
    </dataValidation>
    <dataValidation type="list" allowBlank="1" showInputMessage="1" showErrorMessage="1" sqref="D9:D11 D16:D18 D23:D25 D30:D32 D37:D39">
      <mc:AlternateContent xmlns:x12ac="http://schemas.microsoft.com/office/spreadsheetml/2011/1/ac" xmlns:mc="http://schemas.openxmlformats.org/markup-compatibility/2006">
        <mc:Choice Requires="x12ac">
          <x12ac:list>960,1200,1440,1500,"2273,25","1571,10",1600</x12ac:list>
        </mc:Choice>
        <mc:Fallback>
          <formula1>"960,1200,1440,1500,2273,25,1571,10,1600"</formula1>
        </mc:Fallback>
      </mc:AlternateContent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2026-04-24T16:45:02Z</dcterms:modified>
</cp:coreProperties>
</file>