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333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Variable!$A$8:$BE$13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AB79" i="2" l="1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BA84" i="2" l="1"/>
  <c r="BA83" i="2"/>
  <c r="BA82" i="2"/>
  <c r="AO9" i="2" l="1"/>
  <c r="AX7" i="2"/>
  <c r="AW7" i="2"/>
  <c r="O79" i="2" l="1"/>
  <c r="O78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8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AM9" i="2"/>
  <c r="O11" i="2" l="1"/>
  <c r="O12" i="2"/>
  <c r="K11" i="2"/>
  <c r="K12" i="2"/>
  <c r="H12" i="2"/>
  <c r="AY12" i="2"/>
  <c r="AX12" i="2"/>
  <c r="AW12" i="2"/>
  <c r="AT12" i="2"/>
  <c r="AU12" i="2" s="1"/>
  <c r="AR12" i="2"/>
  <c r="AM12" i="2"/>
  <c r="AA12" i="2"/>
  <c r="W12" i="2"/>
  <c r="S12" i="2"/>
  <c r="AY13" i="2"/>
  <c r="AX13" i="2"/>
  <c r="AW13" i="2"/>
  <c r="AT13" i="2"/>
  <c r="AU13" i="2" s="1"/>
  <c r="AR13" i="2"/>
  <c r="AM13" i="2"/>
  <c r="AA13" i="2"/>
  <c r="W13" i="2"/>
  <c r="S13" i="2"/>
  <c r="H13" i="2"/>
  <c r="AY14" i="2"/>
  <c r="AX14" i="2"/>
  <c r="AW14" i="2"/>
  <c r="AT14" i="2"/>
  <c r="AU14" i="2" s="1"/>
  <c r="AR14" i="2"/>
  <c r="AM14" i="2"/>
  <c r="AA14" i="2"/>
  <c r="W14" i="2"/>
  <c r="S14" i="2"/>
  <c r="H14" i="2"/>
  <c r="AY15" i="2"/>
  <c r="AX15" i="2"/>
  <c r="AW15" i="2"/>
  <c r="AT15" i="2"/>
  <c r="AU15" i="2" s="1"/>
  <c r="AR15" i="2"/>
  <c r="AM15" i="2"/>
  <c r="AA15" i="2"/>
  <c r="W15" i="2"/>
  <c r="S15" i="2"/>
  <c r="H15" i="2"/>
  <c r="H210" i="3" l="1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AY63" i="2"/>
  <c r="AX63" i="2"/>
  <c r="AW63" i="2"/>
  <c r="AT63" i="2"/>
  <c r="AU63" i="2" s="1"/>
  <c r="AR63" i="2"/>
  <c r="AM63" i="2"/>
  <c r="AA63" i="2"/>
  <c r="W63" i="2"/>
  <c r="S63" i="2"/>
  <c r="H63" i="2"/>
  <c r="AY62" i="2"/>
  <c r="AX62" i="2"/>
  <c r="AW62" i="2"/>
  <c r="AT62" i="2"/>
  <c r="AU62" i="2" s="1"/>
  <c r="AR62" i="2"/>
  <c r="AM62" i="2"/>
  <c r="AA62" i="2"/>
  <c r="W62" i="2"/>
  <c r="S62" i="2"/>
  <c r="H62" i="2"/>
  <c r="AY61" i="2"/>
  <c r="AX61" i="2"/>
  <c r="AW61" i="2"/>
  <c r="AT61" i="2"/>
  <c r="AU61" i="2" s="1"/>
  <c r="AR61" i="2"/>
  <c r="AM61" i="2"/>
  <c r="AA61" i="2"/>
  <c r="W61" i="2"/>
  <c r="S61" i="2"/>
  <c r="H61" i="2"/>
  <c r="AY60" i="2"/>
  <c r="AX60" i="2"/>
  <c r="AW60" i="2"/>
  <c r="AT60" i="2"/>
  <c r="AU60" i="2" s="1"/>
  <c r="AR60" i="2"/>
  <c r="AM60" i="2"/>
  <c r="AA60" i="2"/>
  <c r="W60" i="2"/>
  <c r="S60" i="2"/>
  <c r="H60" i="2"/>
  <c r="AY59" i="2"/>
  <c r="AX59" i="2"/>
  <c r="AW59" i="2"/>
  <c r="AT59" i="2"/>
  <c r="AU59" i="2" s="1"/>
  <c r="AR59" i="2"/>
  <c r="AM59" i="2"/>
  <c r="AA59" i="2"/>
  <c r="W59" i="2"/>
  <c r="S59" i="2"/>
  <c r="H59" i="2"/>
  <c r="AY58" i="2"/>
  <c r="AX58" i="2"/>
  <c r="AW58" i="2"/>
  <c r="AT58" i="2"/>
  <c r="AU58" i="2" s="1"/>
  <c r="AR58" i="2"/>
  <c r="AM58" i="2"/>
  <c r="AA58" i="2"/>
  <c r="W58" i="2"/>
  <c r="S58" i="2"/>
  <c r="H58" i="2"/>
  <c r="AY57" i="2"/>
  <c r="AX57" i="2"/>
  <c r="AW57" i="2"/>
  <c r="AT57" i="2"/>
  <c r="AU57" i="2" s="1"/>
  <c r="AR57" i="2"/>
  <c r="AM57" i="2"/>
  <c r="AA57" i="2"/>
  <c r="W57" i="2"/>
  <c r="S57" i="2"/>
  <c r="H57" i="2"/>
  <c r="AY56" i="2"/>
  <c r="AX56" i="2"/>
  <c r="AW56" i="2"/>
  <c r="AT56" i="2"/>
  <c r="AU56" i="2" s="1"/>
  <c r="AR56" i="2"/>
  <c r="AM56" i="2"/>
  <c r="AA56" i="2"/>
  <c r="W56" i="2"/>
  <c r="S56" i="2"/>
  <c r="H56" i="2"/>
  <c r="AY55" i="2"/>
  <c r="AX55" i="2"/>
  <c r="AW55" i="2"/>
  <c r="AT55" i="2"/>
  <c r="AU55" i="2" s="1"/>
  <c r="AR55" i="2"/>
  <c r="AM55" i="2"/>
  <c r="AA55" i="2"/>
  <c r="W55" i="2"/>
  <c r="S55" i="2"/>
  <c r="H55" i="2"/>
  <c r="AY54" i="2"/>
  <c r="AX54" i="2"/>
  <c r="AW54" i="2"/>
  <c r="AT54" i="2"/>
  <c r="AU54" i="2" s="1"/>
  <c r="AR54" i="2"/>
  <c r="AM54" i="2"/>
  <c r="AA54" i="2"/>
  <c r="W54" i="2"/>
  <c r="S54" i="2"/>
  <c r="H54" i="2"/>
  <c r="AY53" i="2"/>
  <c r="AX53" i="2"/>
  <c r="AW53" i="2"/>
  <c r="AT53" i="2"/>
  <c r="AU53" i="2" s="1"/>
  <c r="AR53" i="2"/>
  <c r="AM53" i="2"/>
  <c r="AA53" i="2"/>
  <c r="W53" i="2"/>
  <c r="S53" i="2"/>
  <c r="H53" i="2"/>
  <c r="AY52" i="2"/>
  <c r="AX52" i="2"/>
  <c r="AW52" i="2"/>
  <c r="AT52" i="2"/>
  <c r="AU52" i="2" s="1"/>
  <c r="AR52" i="2"/>
  <c r="AM52" i="2"/>
  <c r="AA52" i="2"/>
  <c r="W52" i="2"/>
  <c r="S52" i="2"/>
  <c r="H52" i="2"/>
  <c r="AY51" i="2"/>
  <c r="AX51" i="2"/>
  <c r="AW51" i="2"/>
  <c r="AT51" i="2"/>
  <c r="AU51" i="2" s="1"/>
  <c r="AR51" i="2"/>
  <c r="AM51" i="2"/>
  <c r="AA51" i="2"/>
  <c r="W51" i="2"/>
  <c r="S51" i="2"/>
  <c r="H51" i="2"/>
  <c r="AY50" i="2"/>
  <c r="AX50" i="2"/>
  <c r="AW50" i="2"/>
  <c r="AT50" i="2"/>
  <c r="AU50" i="2" s="1"/>
  <c r="AR50" i="2"/>
  <c r="AM50" i="2"/>
  <c r="AA50" i="2"/>
  <c r="W50" i="2"/>
  <c r="S50" i="2"/>
  <c r="H50" i="2"/>
  <c r="AY49" i="2"/>
  <c r="AX49" i="2"/>
  <c r="AW49" i="2"/>
  <c r="AT49" i="2"/>
  <c r="AU49" i="2" s="1"/>
  <c r="AR49" i="2"/>
  <c r="AM49" i="2"/>
  <c r="AA49" i="2"/>
  <c r="W49" i="2"/>
  <c r="S49" i="2"/>
  <c r="H49" i="2"/>
  <c r="AY48" i="2"/>
  <c r="AX48" i="2"/>
  <c r="AW48" i="2"/>
  <c r="AT48" i="2"/>
  <c r="AU48" i="2" s="1"/>
  <c r="AR48" i="2"/>
  <c r="AM48" i="2"/>
  <c r="AA48" i="2"/>
  <c r="W48" i="2"/>
  <c r="S48" i="2"/>
  <c r="H48" i="2"/>
  <c r="AY47" i="2"/>
  <c r="AX47" i="2"/>
  <c r="AW47" i="2"/>
  <c r="AT47" i="2"/>
  <c r="AU47" i="2" s="1"/>
  <c r="AR47" i="2"/>
  <c r="AM47" i="2"/>
  <c r="AA47" i="2"/>
  <c r="W47" i="2"/>
  <c r="S47" i="2"/>
  <c r="H47" i="2"/>
  <c r="AY46" i="2"/>
  <c r="AX46" i="2"/>
  <c r="AW46" i="2"/>
  <c r="AT46" i="2"/>
  <c r="AU46" i="2" s="1"/>
  <c r="AR46" i="2"/>
  <c r="AM46" i="2"/>
  <c r="AA46" i="2"/>
  <c r="W46" i="2"/>
  <c r="S46" i="2"/>
  <c r="H46" i="2"/>
  <c r="AY45" i="2"/>
  <c r="AX45" i="2"/>
  <c r="AW45" i="2"/>
  <c r="AT45" i="2"/>
  <c r="AU45" i="2" s="1"/>
  <c r="AR45" i="2"/>
  <c r="AM45" i="2"/>
  <c r="AA45" i="2"/>
  <c r="W45" i="2"/>
  <c r="S45" i="2"/>
  <c r="H45" i="2"/>
  <c r="AY44" i="2"/>
  <c r="AX44" i="2"/>
  <c r="AW44" i="2"/>
  <c r="AT44" i="2"/>
  <c r="AU44" i="2" s="1"/>
  <c r="AR44" i="2"/>
  <c r="AM44" i="2"/>
  <c r="AA44" i="2"/>
  <c r="W44" i="2"/>
  <c r="S44" i="2"/>
  <c r="H44" i="2"/>
  <c r="AY43" i="2"/>
  <c r="AX43" i="2"/>
  <c r="AW43" i="2"/>
  <c r="AT43" i="2"/>
  <c r="AU43" i="2" s="1"/>
  <c r="AR43" i="2"/>
  <c r="AM43" i="2"/>
  <c r="AA43" i="2"/>
  <c r="W43" i="2"/>
  <c r="S43" i="2"/>
  <c r="H43" i="2"/>
  <c r="AY42" i="2"/>
  <c r="AX42" i="2"/>
  <c r="AW42" i="2"/>
  <c r="AT42" i="2"/>
  <c r="AU42" i="2" s="1"/>
  <c r="AR42" i="2"/>
  <c r="AM42" i="2"/>
  <c r="AA42" i="2"/>
  <c r="W42" i="2"/>
  <c r="S42" i="2"/>
  <c r="H42" i="2"/>
  <c r="AY41" i="2"/>
  <c r="AX41" i="2"/>
  <c r="AW41" i="2"/>
  <c r="AT41" i="2"/>
  <c r="AU41" i="2" s="1"/>
  <c r="AR41" i="2"/>
  <c r="AM41" i="2"/>
  <c r="AA41" i="2"/>
  <c r="W41" i="2"/>
  <c r="S41" i="2"/>
  <c r="H41" i="2"/>
  <c r="AY40" i="2"/>
  <c r="AX40" i="2"/>
  <c r="AW40" i="2"/>
  <c r="AT40" i="2"/>
  <c r="AU40" i="2" s="1"/>
  <c r="AR40" i="2"/>
  <c r="AM40" i="2"/>
  <c r="AA40" i="2"/>
  <c r="W40" i="2"/>
  <c r="S40" i="2"/>
  <c r="H40" i="2"/>
  <c r="AY39" i="2"/>
  <c r="AX39" i="2"/>
  <c r="AW39" i="2"/>
  <c r="AT39" i="2"/>
  <c r="AU39" i="2" s="1"/>
  <c r="AR39" i="2"/>
  <c r="AM39" i="2"/>
  <c r="AA39" i="2"/>
  <c r="W39" i="2"/>
  <c r="S39" i="2"/>
  <c r="H39" i="2"/>
  <c r="AY38" i="2"/>
  <c r="AX38" i="2"/>
  <c r="AW38" i="2"/>
  <c r="AT38" i="2"/>
  <c r="AU38" i="2" s="1"/>
  <c r="AR38" i="2"/>
  <c r="AM38" i="2"/>
  <c r="AA38" i="2"/>
  <c r="W38" i="2"/>
  <c r="S38" i="2"/>
  <c r="H38" i="2"/>
  <c r="AY37" i="2"/>
  <c r="AX37" i="2"/>
  <c r="AW37" i="2"/>
  <c r="AT37" i="2"/>
  <c r="AU37" i="2" s="1"/>
  <c r="AR37" i="2"/>
  <c r="AM37" i="2"/>
  <c r="AA37" i="2"/>
  <c r="W37" i="2"/>
  <c r="S37" i="2"/>
  <c r="H37" i="2"/>
  <c r="AY36" i="2"/>
  <c r="AX36" i="2"/>
  <c r="AW36" i="2"/>
  <c r="AT36" i="2"/>
  <c r="AU36" i="2" s="1"/>
  <c r="AR36" i="2"/>
  <c r="AM36" i="2"/>
  <c r="AA36" i="2"/>
  <c r="W36" i="2"/>
  <c r="S36" i="2"/>
  <c r="H36" i="2"/>
  <c r="AY35" i="2"/>
  <c r="AX35" i="2"/>
  <c r="AW35" i="2"/>
  <c r="AT35" i="2"/>
  <c r="AU35" i="2" s="1"/>
  <c r="AR35" i="2"/>
  <c r="AM35" i="2"/>
  <c r="AA35" i="2"/>
  <c r="W35" i="2"/>
  <c r="S35" i="2"/>
  <c r="H35" i="2"/>
  <c r="AY34" i="2"/>
  <c r="AX34" i="2"/>
  <c r="AW34" i="2"/>
  <c r="AT34" i="2"/>
  <c r="AU34" i="2" s="1"/>
  <c r="AR34" i="2"/>
  <c r="AM34" i="2"/>
  <c r="AA34" i="2"/>
  <c r="W34" i="2"/>
  <c r="S34" i="2"/>
  <c r="H34" i="2"/>
  <c r="AY33" i="2"/>
  <c r="AX33" i="2"/>
  <c r="AW33" i="2"/>
  <c r="AT33" i="2"/>
  <c r="AU33" i="2" s="1"/>
  <c r="AR33" i="2"/>
  <c r="AM33" i="2"/>
  <c r="AA33" i="2"/>
  <c r="W33" i="2"/>
  <c r="S33" i="2"/>
  <c r="H33" i="2"/>
  <c r="AY32" i="2"/>
  <c r="AX32" i="2"/>
  <c r="AW32" i="2"/>
  <c r="AT32" i="2"/>
  <c r="AU32" i="2" s="1"/>
  <c r="AR32" i="2"/>
  <c r="AM32" i="2"/>
  <c r="AA32" i="2"/>
  <c r="W32" i="2"/>
  <c r="S32" i="2"/>
  <c r="H32" i="2"/>
  <c r="AY31" i="2"/>
  <c r="AX31" i="2"/>
  <c r="AW31" i="2"/>
  <c r="AT31" i="2"/>
  <c r="AU31" i="2" s="1"/>
  <c r="AR31" i="2"/>
  <c r="AM31" i="2"/>
  <c r="AA31" i="2"/>
  <c r="W31" i="2"/>
  <c r="S31" i="2"/>
  <c r="H31" i="2"/>
  <c r="AY30" i="2"/>
  <c r="AX30" i="2"/>
  <c r="AW30" i="2"/>
  <c r="AT30" i="2"/>
  <c r="AU30" i="2" s="1"/>
  <c r="AR30" i="2"/>
  <c r="AM30" i="2"/>
  <c r="AA30" i="2"/>
  <c r="W30" i="2"/>
  <c r="S30" i="2"/>
  <c r="H30" i="2"/>
  <c r="AY29" i="2"/>
  <c r="AX29" i="2"/>
  <c r="AW29" i="2"/>
  <c r="AT29" i="2"/>
  <c r="AU29" i="2" s="1"/>
  <c r="AR29" i="2"/>
  <c r="AM29" i="2"/>
  <c r="AA29" i="2"/>
  <c r="W29" i="2"/>
  <c r="S29" i="2"/>
  <c r="H29" i="2"/>
  <c r="AY28" i="2"/>
  <c r="AX28" i="2"/>
  <c r="AW28" i="2"/>
  <c r="AT28" i="2"/>
  <c r="AU28" i="2" s="1"/>
  <c r="AR28" i="2"/>
  <c r="AM28" i="2"/>
  <c r="AA28" i="2"/>
  <c r="W28" i="2"/>
  <c r="S28" i="2"/>
  <c r="H28" i="2"/>
  <c r="AY27" i="2"/>
  <c r="AX27" i="2"/>
  <c r="AW27" i="2"/>
  <c r="AT27" i="2"/>
  <c r="AU27" i="2" s="1"/>
  <c r="AR27" i="2"/>
  <c r="AM27" i="2"/>
  <c r="AA27" i="2"/>
  <c r="W27" i="2"/>
  <c r="S27" i="2"/>
  <c r="H27" i="2"/>
  <c r="AY26" i="2"/>
  <c r="AX26" i="2"/>
  <c r="AW26" i="2"/>
  <c r="AT26" i="2"/>
  <c r="AU26" i="2" s="1"/>
  <c r="AR26" i="2"/>
  <c r="AM26" i="2"/>
  <c r="AA26" i="2"/>
  <c r="W26" i="2"/>
  <c r="S26" i="2"/>
  <c r="H26" i="2"/>
  <c r="AY25" i="2"/>
  <c r="AX25" i="2"/>
  <c r="AW25" i="2"/>
  <c r="AT25" i="2"/>
  <c r="AU25" i="2" s="1"/>
  <c r="AR25" i="2"/>
  <c r="AM25" i="2"/>
  <c r="AA25" i="2"/>
  <c r="W25" i="2"/>
  <c r="S25" i="2"/>
  <c r="H25" i="2"/>
  <c r="AY24" i="2"/>
  <c r="AX24" i="2"/>
  <c r="AW24" i="2"/>
  <c r="AT24" i="2"/>
  <c r="AU24" i="2" s="1"/>
  <c r="AR24" i="2"/>
  <c r="AM24" i="2"/>
  <c r="AA24" i="2"/>
  <c r="W24" i="2"/>
  <c r="S24" i="2"/>
  <c r="H24" i="2"/>
  <c r="AY23" i="2"/>
  <c r="AX23" i="2"/>
  <c r="AW23" i="2"/>
  <c r="AT23" i="2"/>
  <c r="AU23" i="2" s="1"/>
  <c r="AR23" i="2"/>
  <c r="AM23" i="2"/>
  <c r="AA23" i="2"/>
  <c r="W23" i="2"/>
  <c r="S23" i="2"/>
  <c r="H23" i="2"/>
  <c r="G139" i="3" l="1"/>
  <c r="B139" i="3"/>
  <c r="G73" i="3"/>
  <c r="B73" i="3"/>
  <c r="AY79" i="2" l="1"/>
  <c r="AX79" i="2"/>
  <c r="AW79" i="2"/>
  <c r="AT79" i="2"/>
  <c r="AU79" i="2" s="1"/>
  <c r="AR79" i="2"/>
  <c r="AY78" i="2"/>
  <c r="AX78" i="2"/>
  <c r="AW78" i="2"/>
  <c r="AT78" i="2"/>
  <c r="AU78" i="2" s="1"/>
  <c r="AR78" i="2"/>
  <c r="AY77" i="2"/>
  <c r="AX77" i="2"/>
  <c r="AW77" i="2"/>
  <c r="AT77" i="2"/>
  <c r="AU77" i="2" s="1"/>
  <c r="AR77" i="2"/>
  <c r="AY76" i="2"/>
  <c r="AX76" i="2"/>
  <c r="AW76" i="2"/>
  <c r="AT76" i="2"/>
  <c r="AU76" i="2" s="1"/>
  <c r="AR76" i="2"/>
  <c r="AY75" i="2"/>
  <c r="AX75" i="2"/>
  <c r="AW75" i="2"/>
  <c r="AT75" i="2"/>
  <c r="AU75" i="2" s="1"/>
  <c r="AR75" i="2"/>
  <c r="AY74" i="2"/>
  <c r="AX74" i="2"/>
  <c r="AW74" i="2"/>
  <c r="AT74" i="2"/>
  <c r="AU74" i="2" s="1"/>
  <c r="AR74" i="2"/>
  <c r="AY73" i="2"/>
  <c r="AX73" i="2"/>
  <c r="AW73" i="2"/>
  <c r="AT73" i="2"/>
  <c r="AU73" i="2" s="1"/>
  <c r="AR73" i="2"/>
  <c r="AY72" i="2"/>
  <c r="AX72" i="2"/>
  <c r="AW72" i="2"/>
  <c r="AT72" i="2"/>
  <c r="AU72" i="2" s="1"/>
  <c r="AR72" i="2"/>
  <c r="AY71" i="2"/>
  <c r="AX71" i="2"/>
  <c r="AW71" i="2"/>
  <c r="AT71" i="2"/>
  <c r="AU71" i="2" s="1"/>
  <c r="AR71" i="2"/>
  <c r="AY70" i="2"/>
  <c r="AX70" i="2"/>
  <c r="AW70" i="2"/>
  <c r="AT70" i="2"/>
  <c r="AU70" i="2" s="1"/>
  <c r="AR70" i="2"/>
  <c r="AY69" i="2"/>
  <c r="AX69" i="2"/>
  <c r="AW69" i="2"/>
  <c r="AT69" i="2"/>
  <c r="AU69" i="2" s="1"/>
  <c r="AR69" i="2"/>
  <c r="AY68" i="2"/>
  <c r="AX68" i="2"/>
  <c r="AW68" i="2"/>
  <c r="AT68" i="2"/>
  <c r="AU68" i="2" s="1"/>
  <c r="AR68" i="2"/>
  <c r="AY67" i="2"/>
  <c r="AX67" i="2"/>
  <c r="AW67" i="2"/>
  <c r="AT67" i="2"/>
  <c r="AU67" i="2" s="1"/>
  <c r="AR67" i="2"/>
  <c r="AY66" i="2"/>
  <c r="AX66" i="2"/>
  <c r="AW66" i="2"/>
  <c r="AT66" i="2"/>
  <c r="AU66" i="2" s="1"/>
  <c r="AR66" i="2"/>
  <c r="AY65" i="2"/>
  <c r="AX65" i="2"/>
  <c r="AW65" i="2"/>
  <c r="AT65" i="2"/>
  <c r="AU65" i="2" s="1"/>
  <c r="AR65" i="2"/>
  <c r="AY64" i="2"/>
  <c r="AX64" i="2"/>
  <c r="AW64" i="2"/>
  <c r="AT64" i="2"/>
  <c r="AU64" i="2" s="1"/>
  <c r="AR64" i="2"/>
  <c r="AY22" i="2"/>
  <c r="AX22" i="2"/>
  <c r="AW22" i="2"/>
  <c r="AT22" i="2"/>
  <c r="AU22" i="2" s="1"/>
  <c r="AR22" i="2"/>
  <c r="AY21" i="2"/>
  <c r="AX21" i="2"/>
  <c r="AW21" i="2"/>
  <c r="AT21" i="2"/>
  <c r="AU21" i="2" s="1"/>
  <c r="AR21" i="2"/>
  <c r="AY20" i="2"/>
  <c r="AX20" i="2"/>
  <c r="AW20" i="2"/>
  <c r="AT20" i="2"/>
  <c r="AU20" i="2" s="1"/>
  <c r="AR20" i="2"/>
  <c r="AY19" i="2"/>
  <c r="AX19" i="2"/>
  <c r="AW19" i="2"/>
  <c r="AT19" i="2"/>
  <c r="AU19" i="2" s="1"/>
  <c r="AR19" i="2"/>
  <c r="AY18" i="2"/>
  <c r="AX18" i="2"/>
  <c r="AW18" i="2"/>
  <c r="AT18" i="2"/>
  <c r="AU18" i="2" s="1"/>
  <c r="AR18" i="2"/>
  <c r="AY17" i="2"/>
  <c r="AX17" i="2"/>
  <c r="AW17" i="2"/>
  <c r="AT17" i="2"/>
  <c r="AU17" i="2" s="1"/>
  <c r="AR17" i="2"/>
  <c r="AY16" i="2"/>
  <c r="AX16" i="2"/>
  <c r="AW16" i="2"/>
  <c r="AT16" i="2"/>
  <c r="AU16" i="2" s="1"/>
  <c r="AR16" i="2"/>
  <c r="AY11" i="2"/>
  <c r="AX11" i="2"/>
  <c r="AW11" i="2"/>
  <c r="AT11" i="2"/>
  <c r="AU11" i="2" s="1"/>
  <c r="AR11" i="2"/>
  <c r="AY10" i="2"/>
  <c r="AX10" i="2"/>
  <c r="AW10" i="2"/>
  <c r="AT10" i="2"/>
  <c r="AU10" i="2" s="1"/>
  <c r="AR10" i="2"/>
  <c r="AR9" i="2"/>
  <c r="AX9" i="2"/>
  <c r="AW9" i="2"/>
  <c r="AT9" i="2"/>
  <c r="AU9" i="2" s="1"/>
  <c r="AX80" i="2" l="1"/>
  <c r="AR80" i="2"/>
  <c r="AT80" i="2"/>
  <c r="AW80" i="2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09" i="3"/>
  <c r="H208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E305" i="3" s="1"/>
  <c r="G304" i="3"/>
  <c r="E304" i="3" s="1"/>
  <c r="G303" i="3"/>
  <c r="E303" i="3" s="1"/>
  <c r="G302" i="3"/>
  <c r="E302" i="3" s="1"/>
  <c r="G301" i="3"/>
  <c r="E301" i="3" s="1"/>
  <c r="G300" i="3"/>
  <c r="E300" i="3" s="1"/>
  <c r="G299" i="3"/>
  <c r="E299" i="3" s="1"/>
  <c r="G298" i="3"/>
  <c r="E298" i="3" s="1"/>
  <c r="G297" i="3"/>
  <c r="E297" i="3" s="1"/>
  <c r="G296" i="3"/>
  <c r="E296" i="3" s="1"/>
  <c r="G295" i="3"/>
  <c r="E295" i="3" s="1"/>
  <c r="G294" i="3"/>
  <c r="E294" i="3" s="1"/>
  <c r="G293" i="3"/>
  <c r="E293" i="3" s="1"/>
  <c r="G292" i="3"/>
  <c r="E292" i="3" s="1"/>
  <c r="G291" i="3"/>
  <c r="E291" i="3" s="1"/>
  <c r="G290" i="3"/>
  <c r="E290" i="3" s="1"/>
  <c r="G289" i="3"/>
  <c r="E289" i="3" s="1"/>
  <c r="G288" i="3"/>
  <c r="E288" i="3" s="1"/>
  <c r="G287" i="3"/>
  <c r="E287" i="3" s="1"/>
  <c r="G286" i="3"/>
  <c r="E286" i="3" s="1"/>
  <c r="G285" i="3"/>
  <c r="E285" i="3" s="1"/>
  <c r="G284" i="3"/>
  <c r="E284" i="3" s="1"/>
  <c r="G283" i="3"/>
  <c r="E283" i="3" s="1"/>
  <c r="G282" i="3"/>
  <c r="E282" i="3" s="1"/>
  <c r="G281" i="3"/>
  <c r="E281" i="3" s="1"/>
  <c r="G280" i="3"/>
  <c r="E280" i="3" s="1"/>
  <c r="G279" i="3"/>
  <c r="E279" i="3" s="1"/>
  <c r="G278" i="3"/>
  <c r="E278" i="3" s="1"/>
  <c r="G277" i="3"/>
  <c r="E277" i="3" s="1"/>
  <c r="AY9" i="2" l="1"/>
  <c r="AY80" i="2" s="1"/>
  <c r="AM79" i="2" l="1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22" i="2"/>
  <c r="AM21" i="2"/>
  <c r="AM20" i="2"/>
  <c r="AM19" i="2"/>
  <c r="AM18" i="2"/>
  <c r="AM17" i="2"/>
  <c r="AM16" i="2"/>
  <c r="AM11" i="2"/>
  <c r="AM10" i="2"/>
  <c r="AC8" i="2" l="1"/>
  <c r="Y8" i="2"/>
  <c r="U8" i="2"/>
  <c r="Q8" i="2"/>
  <c r="M8" i="2"/>
  <c r="AN1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Z83" i="2"/>
  <c r="V83" i="2"/>
  <c r="N83" i="2"/>
  <c r="R83" i="2"/>
  <c r="BA86" i="2"/>
  <c r="J83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22" i="2"/>
  <c r="H21" i="2"/>
  <c r="H20" i="2"/>
  <c r="H19" i="2"/>
  <c r="H18" i="2"/>
  <c r="H17" i="2"/>
  <c r="H16" i="2"/>
  <c r="H11" i="2"/>
  <c r="H10" i="2"/>
  <c r="H9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l="1"/>
  <c r="AN11" i="2"/>
  <c r="AO10" i="2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H8" i="3"/>
  <c r="A7" i="3"/>
  <c r="I15" i="3"/>
  <c r="E15" i="3"/>
  <c r="A16" i="3"/>
  <c r="E8" i="3"/>
  <c r="I8" i="3"/>
  <c r="H15" i="3"/>
  <c r="E22" i="3"/>
  <c r="I22" i="3"/>
  <c r="J29" i="3"/>
  <c r="A8" i="3"/>
  <c r="A13" i="3"/>
  <c r="A17" i="3"/>
  <c r="A22" i="3"/>
  <c r="A27" i="3"/>
  <c r="A31" i="3"/>
  <c r="A36" i="3"/>
  <c r="F8" i="3"/>
  <c r="J8" i="3"/>
  <c r="A9" i="3"/>
  <c r="A14" i="3"/>
  <c r="A18" i="3"/>
  <c r="A23" i="3"/>
  <c r="G8" i="3"/>
  <c r="F15" i="3"/>
  <c r="J15" i="3"/>
  <c r="G22" i="3"/>
  <c r="T76" i="2" s="1"/>
  <c r="F29" i="3"/>
  <c r="H36" i="3"/>
  <c r="A6" i="3"/>
  <c r="A20" i="3"/>
  <c r="A29" i="3"/>
  <c r="A34" i="3"/>
  <c r="A38" i="3"/>
  <c r="G29" i="3"/>
  <c r="E36" i="3"/>
  <c r="I36" i="3"/>
  <c r="E29" i="3"/>
  <c r="T70" i="2" l="1"/>
  <c r="T78" i="2"/>
  <c r="T73" i="2"/>
  <c r="T77" i="2"/>
  <c r="T79" i="2"/>
  <c r="T12" i="2"/>
  <c r="T13" i="2"/>
  <c r="T14" i="2"/>
  <c r="T15" i="2"/>
  <c r="T37" i="2"/>
  <c r="T56" i="2"/>
  <c r="T58" i="2"/>
  <c r="T25" i="2"/>
  <c r="T31" i="2"/>
  <c r="T63" i="2"/>
  <c r="T34" i="2"/>
  <c r="T57" i="2"/>
  <c r="T60" i="2"/>
  <c r="T62" i="2"/>
  <c r="T41" i="2"/>
  <c r="T35" i="2"/>
  <c r="T33" i="2"/>
  <c r="T29" i="2"/>
  <c r="T53" i="2"/>
  <c r="T61" i="2"/>
  <c r="T42" i="2"/>
  <c r="T24" i="2"/>
  <c r="T50" i="2"/>
  <c r="T32" i="2"/>
  <c r="T23" i="2"/>
  <c r="T54" i="2"/>
  <c r="T28" i="2"/>
  <c r="T39" i="2"/>
  <c r="T47" i="2"/>
  <c r="T51" i="2"/>
  <c r="T46" i="2"/>
  <c r="T52" i="2"/>
  <c r="T59" i="2"/>
  <c r="T36" i="2"/>
  <c r="T45" i="2"/>
  <c r="T49" i="2"/>
  <c r="T30" i="2"/>
  <c r="T43" i="2"/>
  <c r="T40" i="2"/>
  <c r="T26" i="2"/>
  <c r="T44" i="2"/>
  <c r="T38" i="2"/>
  <c r="T48" i="2"/>
  <c r="T55" i="2"/>
  <c r="T27" i="2"/>
  <c r="X79" i="2"/>
  <c r="X71" i="2"/>
  <c r="X63" i="2"/>
  <c r="X55" i="2"/>
  <c r="X47" i="2"/>
  <c r="X39" i="2"/>
  <c r="X31" i="2"/>
  <c r="X23" i="2"/>
  <c r="X15" i="2"/>
  <c r="X49" i="2"/>
  <c r="X48" i="2"/>
  <c r="X78" i="2"/>
  <c r="X70" i="2"/>
  <c r="X62" i="2"/>
  <c r="X54" i="2"/>
  <c r="X46" i="2"/>
  <c r="X38" i="2"/>
  <c r="X30" i="2"/>
  <c r="X14" i="2"/>
  <c r="X33" i="2"/>
  <c r="X32" i="2"/>
  <c r="X77" i="2"/>
  <c r="X69" i="2"/>
  <c r="X61" i="2"/>
  <c r="X53" i="2"/>
  <c r="X45" i="2"/>
  <c r="X37" i="2"/>
  <c r="X29" i="2"/>
  <c r="X13" i="2"/>
  <c r="X76" i="2"/>
  <c r="X68" i="2"/>
  <c r="X60" i="2"/>
  <c r="X52" i="2"/>
  <c r="X44" i="2"/>
  <c r="X36" i="2"/>
  <c r="X28" i="2"/>
  <c r="X12" i="2"/>
  <c r="X41" i="2"/>
  <c r="X40" i="2"/>
  <c r="X75" i="2"/>
  <c r="X67" i="2"/>
  <c r="X59" i="2"/>
  <c r="X51" i="2"/>
  <c r="X43" i="2"/>
  <c r="X35" i="2"/>
  <c r="X27" i="2"/>
  <c r="X57" i="2"/>
  <c r="X56" i="2"/>
  <c r="X24" i="2"/>
  <c r="X74" i="2"/>
  <c r="X66" i="2"/>
  <c r="X58" i="2"/>
  <c r="X50" i="2"/>
  <c r="X42" i="2"/>
  <c r="X34" i="2"/>
  <c r="X26" i="2"/>
  <c r="X73" i="2"/>
  <c r="X25" i="2"/>
  <c r="X72" i="2"/>
  <c r="AC49" i="2"/>
  <c r="T69" i="2"/>
  <c r="T75" i="2"/>
  <c r="P73" i="2"/>
  <c r="P48" i="2"/>
  <c r="P25" i="2"/>
  <c r="P23" i="2"/>
  <c r="P42" i="2"/>
  <c r="P14" i="2"/>
  <c r="P61" i="2"/>
  <c r="P44" i="2"/>
  <c r="P52" i="2"/>
  <c r="P59" i="2"/>
  <c r="P57" i="2"/>
  <c r="P40" i="2"/>
  <c r="P74" i="2"/>
  <c r="P15" i="2"/>
  <c r="P70" i="2"/>
  <c r="P53" i="2"/>
  <c r="P51" i="2"/>
  <c r="P36" i="2"/>
  <c r="P64" i="2"/>
  <c r="P77" i="2"/>
  <c r="P60" i="2"/>
  <c r="P19" i="2"/>
  <c r="P22" i="2"/>
  <c r="P27" i="2"/>
  <c r="P33" i="2"/>
  <c r="Q33" i="2" s="1"/>
  <c r="P32" i="2"/>
  <c r="P26" i="2"/>
  <c r="P71" i="2"/>
  <c r="P62" i="2"/>
  <c r="P45" i="2"/>
  <c r="P28" i="2"/>
  <c r="P49" i="2"/>
  <c r="P17" i="2"/>
  <c r="P24" i="2"/>
  <c r="P63" i="2"/>
  <c r="P54" i="2"/>
  <c r="P43" i="2"/>
  <c r="P37" i="2"/>
  <c r="P20" i="2"/>
  <c r="P67" i="2"/>
  <c r="P30" i="2"/>
  <c r="Q30" i="2" s="1"/>
  <c r="P13" i="2"/>
  <c r="P56" i="2"/>
  <c r="P31" i="2"/>
  <c r="P66" i="2"/>
  <c r="Q66" i="2" s="1"/>
  <c r="P16" i="2"/>
  <c r="P55" i="2"/>
  <c r="Q55" i="2" s="1"/>
  <c r="P75" i="2"/>
  <c r="P46" i="2"/>
  <c r="P29" i="2"/>
  <c r="P58" i="2"/>
  <c r="P76" i="2"/>
  <c r="P78" i="2"/>
  <c r="P39" i="2"/>
  <c r="P41" i="2"/>
  <c r="P34" i="2"/>
  <c r="P72" i="2"/>
  <c r="P65" i="2"/>
  <c r="P47" i="2"/>
  <c r="P35" i="2"/>
  <c r="P38" i="2"/>
  <c r="Q38" i="2" s="1"/>
  <c r="P21" i="2"/>
  <c r="P18" i="2"/>
  <c r="P68" i="2"/>
  <c r="P79" i="2"/>
  <c r="P50" i="2"/>
  <c r="P69" i="2"/>
  <c r="P11" i="2"/>
  <c r="P12" i="2"/>
  <c r="T68" i="2"/>
  <c r="L33" i="2"/>
  <c r="L46" i="2"/>
  <c r="L48" i="2"/>
  <c r="M48" i="2" s="1"/>
  <c r="L21" i="2"/>
  <c r="L55" i="2"/>
  <c r="L59" i="2"/>
  <c r="L25" i="2"/>
  <c r="L68" i="2"/>
  <c r="L42" i="2"/>
  <c r="L79" i="2"/>
  <c r="L38" i="2"/>
  <c r="L77" i="2"/>
  <c r="L13" i="2"/>
  <c r="L57" i="2"/>
  <c r="L23" i="2"/>
  <c r="M23" i="2" s="1"/>
  <c r="L51" i="2"/>
  <c r="M51" i="2" s="1"/>
  <c r="L52" i="2"/>
  <c r="L34" i="2"/>
  <c r="L50" i="2"/>
  <c r="M50" i="2" s="1"/>
  <c r="L30" i="2"/>
  <c r="L69" i="2"/>
  <c r="L73" i="2"/>
  <c r="L17" i="2"/>
  <c r="L76" i="2"/>
  <c r="L43" i="2"/>
  <c r="M43" i="2" s="1"/>
  <c r="L64" i="2"/>
  <c r="L36" i="2"/>
  <c r="M36" i="2" s="1"/>
  <c r="L26" i="2"/>
  <c r="L62" i="2"/>
  <c r="M62" i="2" s="1"/>
  <c r="L56" i="2"/>
  <c r="L58" i="2"/>
  <c r="M58" i="2" s="1"/>
  <c r="L39" i="2"/>
  <c r="L16" i="2"/>
  <c r="L40" i="2"/>
  <c r="L22" i="2"/>
  <c r="L63" i="2"/>
  <c r="L61" i="2"/>
  <c r="M61" i="2" s="1"/>
  <c r="L49" i="2"/>
  <c r="L60" i="2"/>
  <c r="L35" i="2"/>
  <c r="M35" i="2" s="1"/>
  <c r="L32" i="2"/>
  <c r="L28" i="2"/>
  <c r="L18" i="2"/>
  <c r="L65" i="2"/>
  <c r="L78" i="2"/>
  <c r="L14" i="2"/>
  <c r="L31" i="2"/>
  <c r="M31" i="2" s="1"/>
  <c r="L53" i="2"/>
  <c r="M53" i="2" s="1"/>
  <c r="L72" i="2"/>
  <c r="L44" i="2"/>
  <c r="L27" i="2"/>
  <c r="M27" i="2" s="1"/>
  <c r="L74" i="2"/>
  <c r="L75" i="2"/>
  <c r="L67" i="2"/>
  <c r="L15" i="2"/>
  <c r="L70" i="2"/>
  <c r="L41" i="2"/>
  <c r="M41" i="2" s="1"/>
  <c r="L45" i="2"/>
  <c r="L24" i="2"/>
  <c r="M24" i="2" s="1"/>
  <c r="L20" i="2"/>
  <c r="L19" i="2"/>
  <c r="L66" i="2"/>
  <c r="L71" i="2"/>
  <c r="L37" i="2"/>
  <c r="L47" i="2"/>
  <c r="M47" i="2" s="1"/>
  <c r="L54" i="2"/>
  <c r="L29" i="2"/>
  <c r="M29" i="2" s="1"/>
  <c r="L12" i="2"/>
  <c r="L11" i="2"/>
  <c r="T66" i="2"/>
  <c r="T67" i="2"/>
  <c r="T71" i="2"/>
  <c r="T72" i="2"/>
  <c r="T74" i="2"/>
  <c r="AO11" i="2"/>
  <c r="AN12" i="2"/>
  <c r="E5" i="3"/>
  <c r="J7" i="2" s="1"/>
  <c r="M26" i="2"/>
  <c r="M42" i="2"/>
  <c r="M15" i="2"/>
  <c r="M39" i="2"/>
  <c r="M44" i="2"/>
  <c r="M33" i="2"/>
  <c r="M14" i="2"/>
  <c r="M30" i="2"/>
  <c r="M38" i="2"/>
  <c r="M59" i="2"/>
  <c r="M32" i="2"/>
  <c r="M56" i="2"/>
  <c r="M13" i="2"/>
  <c r="U12" i="2"/>
  <c r="Y14" i="2"/>
  <c r="Y76" i="2"/>
  <c r="Y56" i="2"/>
  <c r="G5" i="3"/>
  <c r="R7" i="2" s="1"/>
  <c r="R81" i="2" s="1"/>
  <c r="U24" i="2"/>
  <c r="U37" i="2"/>
  <c r="U34" i="2"/>
  <c r="U50" i="2"/>
  <c r="U44" i="2"/>
  <c r="U60" i="2"/>
  <c r="U41" i="2"/>
  <c r="U57" i="2"/>
  <c r="U54" i="2"/>
  <c r="U35" i="2"/>
  <c r="U13" i="2"/>
  <c r="U29" i="2"/>
  <c r="U45" i="2"/>
  <c r="U61" i="2"/>
  <c r="U26" i="2"/>
  <c r="U42" i="2"/>
  <c r="U36" i="2"/>
  <c r="U52" i="2"/>
  <c r="U49" i="2"/>
  <c r="U30" i="2"/>
  <c r="H5" i="3"/>
  <c r="V7" i="2" s="1"/>
  <c r="V81" i="2" s="1"/>
  <c r="Y25" i="2"/>
  <c r="Y41" i="2"/>
  <c r="Y73" i="2"/>
  <c r="Y35" i="2"/>
  <c r="Y51" i="2"/>
  <c r="Y67" i="2"/>
  <c r="Y45" i="2"/>
  <c r="Y61" i="2"/>
  <c r="Y42" i="2"/>
  <c r="Y58" i="2"/>
  <c r="Y74" i="2"/>
  <c r="Y39" i="2"/>
  <c r="Y55" i="2"/>
  <c r="Y52" i="2"/>
  <c r="Y68" i="2"/>
  <c r="Y12" i="2"/>
  <c r="Y49" i="2"/>
  <c r="Y30" i="2"/>
  <c r="Y78" i="2"/>
  <c r="Y27" i="2"/>
  <c r="Y43" i="2"/>
  <c r="Y75" i="2"/>
  <c r="Y37" i="2"/>
  <c r="Y34" i="2"/>
  <c r="Y50" i="2"/>
  <c r="Y66" i="2"/>
  <c r="Y15" i="2"/>
  <c r="Y31" i="2"/>
  <c r="Y47" i="2"/>
  <c r="AC14" i="2"/>
  <c r="U47" i="2"/>
  <c r="U27" i="2"/>
  <c r="Y72" i="2"/>
  <c r="AC45" i="2"/>
  <c r="U14" i="2"/>
  <c r="Y13" i="2"/>
  <c r="M12" i="2"/>
  <c r="U63" i="2"/>
  <c r="U23" i="2"/>
  <c r="Y44" i="2"/>
  <c r="Y24" i="2"/>
  <c r="F5" i="3"/>
  <c r="N7" i="2" s="1"/>
  <c r="N81" i="2" s="1"/>
  <c r="Q13" i="2"/>
  <c r="Q29" i="2"/>
  <c r="Q45" i="2"/>
  <c r="Q26" i="2"/>
  <c r="Q42" i="2"/>
  <c r="Q58" i="2"/>
  <c r="Q35" i="2"/>
  <c r="Q36" i="2"/>
  <c r="Q52" i="2"/>
  <c r="Q14" i="2"/>
  <c r="Q46" i="2"/>
  <c r="Q62" i="2"/>
  <c r="Q23" i="2"/>
  <c r="Q71" i="2"/>
  <c r="Q24" i="2"/>
  <c r="Q40" i="2"/>
  <c r="Q37" i="2"/>
  <c r="Q53" i="2"/>
  <c r="Q34" i="2"/>
  <c r="Q50" i="2"/>
  <c r="Q27" i="2"/>
  <c r="Q59" i="2"/>
  <c r="Q28" i="2"/>
  <c r="Q44" i="2"/>
  <c r="Q60" i="2"/>
  <c r="Q25" i="2"/>
  <c r="Q57" i="2"/>
  <c r="Q54" i="2"/>
  <c r="Q15" i="2"/>
  <c r="Q31" i="2"/>
  <c r="Q47" i="2"/>
  <c r="Q63" i="2"/>
  <c r="Q32" i="2"/>
  <c r="Q48" i="2"/>
  <c r="I5" i="3"/>
  <c r="Z7" i="2" s="1"/>
  <c r="Z81" i="2" s="1"/>
  <c r="AC42" i="2"/>
  <c r="AC58" i="2"/>
  <c r="AC39" i="2"/>
  <c r="AC55" i="2"/>
  <c r="AC36" i="2"/>
  <c r="AC52" i="2"/>
  <c r="AC33" i="2"/>
  <c r="AC30" i="2"/>
  <c r="AC46" i="2"/>
  <c r="AC62" i="2"/>
  <c r="AC27" i="2"/>
  <c r="AC43" i="2"/>
  <c r="AC59" i="2"/>
  <c r="AC24" i="2"/>
  <c r="AC40" i="2"/>
  <c r="AC56" i="2"/>
  <c r="AC37" i="2"/>
  <c r="AC53" i="2"/>
  <c r="AC12" i="2"/>
  <c r="AC34" i="2"/>
  <c r="AC50" i="2"/>
  <c r="AC15" i="2"/>
  <c r="AC31" i="2"/>
  <c r="AC47" i="2"/>
  <c r="AC63" i="2"/>
  <c r="AC28" i="2"/>
  <c r="AC44" i="2"/>
  <c r="AC25" i="2"/>
  <c r="AC41" i="2"/>
  <c r="AC38" i="2"/>
  <c r="AC54" i="2"/>
  <c r="AC35" i="2"/>
  <c r="AC51" i="2"/>
  <c r="AC32" i="2"/>
  <c r="AC48" i="2"/>
  <c r="AC13" i="2"/>
  <c r="Q12" i="2"/>
  <c r="U59" i="2"/>
  <c r="U39" i="2"/>
  <c r="U15" i="2"/>
  <c r="Y60" i="2"/>
  <c r="Y40" i="2"/>
  <c r="AC61" i="2"/>
  <c r="Q49" i="2"/>
  <c r="Q39" i="2"/>
  <c r="Q43" i="2"/>
  <c r="Q61" i="2"/>
  <c r="Q56" i="2"/>
  <c r="Q51" i="2"/>
  <c r="Y79" i="2"/>
  <c r="Y70" i="2"/>
  <c r="Y77" i="2"/>
  <c r="U53" i="2"/>
  <c r="U40" i="2"/>
  <c r="U48" i="2"/>
  <c r="U33" i="2"/>
  <c r="U56" i="2"/>
  <c r="U28" i="2"/>
  <c r="U32" i="2"/>
  <c r="U31" i="2"/>
  <c r="U55" i="2"/>
  <c r="U62" i="2"/>
  <c r="U38" i="2"/>
  <c r="U46" i="2"/>
  <c r="U43" i="2"/>
  <c r="U51" i="2"/>
  <c r="U25" i="2"/>
  <c r="U58" i="2"/>
  <c r="Y59" i="2"/>
  <c r="Y23" i="2"/>
  <c r="Y63" i="2"/>
  <c r="Y48" i="2"/>
  <c r="Y36" i="2"/>
  <c r="Y26" i="2"/>
  <c r="Y62" i="2"/>
  <c r="Y46" i="2"/>
  <c r="Y53" i="2"/>
  <c r="Y32" i="2"/>
  <c r="Y38" i="2"/>
  <c r="Y29" i="2"/>
  <c r="Y28" i="2"/>
  <c r="Y57" i="2"/>
  <c r="Y54" i="2"/>
  <c r="Y33" i="2"/>
  <c r="Q41" i="2"/>
  <c r="AC26" i="2"/>
  <c r="AC29" i="2"/>
  <c r="AC23" i="2"/>
  <c r="AC57" i="2"/>
  <c r="AC60" i="2"/>
  <c r="Y71" i="2"/>
  <c r="M55" i="2"/>
  <c r="M54" i="2"/>
  <c r="M25" i="2"/>
  <c r="M46" i="2"/>
  <c r="M63" i="2"/>
  <c r="M45" i="2"/>
  <c r="M52" i="2"/>
  <c r="M37" i="2"/>
  <c r="M49" i="2"/>
  <c r="M34" i="2"/>
  <c r="M40" i="2"/>
  <c r="M60" i="2"/>
  <c r="M28" i="2"/>
  <c r="M57" i="2"/>
  <c r="Y69" i="2"/>
  <c r="AA20" i="2"/>
  <c r="W22" i="2"/>
  <c r="X22" i="2" s="1"/>
  <c r="S64" i="2"/>
  <c r="T64" i="2" s="1"/>
  <c r="S16" i="2"/>
  <c r="T16" i="2" s="1"/>
  <c r="AA19" i="2"/>
  <c r="W21" i="2"/>
  <c r="X21" i="2" s="1"/>
  <c r="AA18" i="2"/>
  <c r="W20" i="2"/>
  <c r="X20" i="2" s="1"/>
  <c r="S22" i="2"/>
  <c r="T22" i="2" s="1"/>
  <c r="AA65" i="2"/>
  <c r="AA17" i="2"/>
  <c r="W19" i="2"/>
  <c r="X19" i="2" s="1"/>
  <c r="S21" i="2"/>
  <c r="T21" i="2" s="1"/>
  <c r="AA64" i="2"/>
  <c r="AA16" i="2"/>
  <c r="W18" i="2"/>
  <c r="X18" i="2" s="1"/>
  <c r="S20" i="2"/>
  <c r="T20" i="2" s="1"/>
  <c r="W65" i="2"/>
  <c r="X65" i="2" s="1"/>
  <c r="W17" i="2"/>
  <c r="X17" i="2" s="1"/>
  <c r="S19" i="2"/>
  <c r="T19" i="2" s="1"/>
  <c r="S65" i="2"/>
  <c r="T65" i="2" s="1"/>
  <c r="AA22" i="2"/>
  <c r="W64" i="2"/>
  <c r="X64" i="2" s="1"/>
  <c r="W16" i="2"/>
  <c r="X16" i="2" s="1"/>
  <c r="S18" i="2"/>
  <c r="T18" i="2" s="1"/>
  <c r="AA21" i="2"/>
  <c r="S17" i="2"/>
  <c r="T17" i="2" s="1"/>
  <c r="W11" i="2"/>
  <c r="X11" i="2" s="1"/>
  <c r="S11" i="2"/>
  <c r="T11" i="2" s="1"/>
  <c r="O10" i="2"/>
  <c r="P10" i="2" s="1"/>
  <c r="K10" i="2"/>
  <c r="L10" i="2" s="1"/>
  <c r="AA11" i="2"/>
  <c r="W10" i="2"/>
  <c r="X10" i="2" s="1"/>
  <c r="S10" i="2"/>
  <c r="T10" i="2" s="1"/>
  <c r="O9" i="2"/>
  <c r="P9" i="2" s="1"/>
  <c r="K9" i="2"/>
  <c r="L9" i="2" s="1"/>
  <c r="AA9" i="2"/>
  <c r="AA10" i="2"/>
  <c r="W9" i="2"/>
  <c r="X9" i="2" s="1"/>
  <c r="S9" i="2"/>
  <c r="T9" i="2" s="1"/>
  <c r="AF56" i="2" l="1"/>
  <c r="AF48" i="2"/>
  <c r="AF40" i="2"/>
  <c r="AF32" i="2"/>
  <c r="AF24" i="2"/>
  <c r="AF63" i="2"/>
  <c r="AF55" i="2"/>
  <c r="AF47" i="2"/>
  <c r="AF39" i="2"/>
  <c r="AF31" i="2"/>
  <c r="AF23" i="2"/>
  <c r="AF15" i="2"/>
  <c r="AF62" i="2"/>
  <c r="AF54" i="2"/>
  <c r="AF46" i="2"/>
  <c r="AF38" i="2"/>
  <c r="AF30" i="2"/>
  <c r="AF14" i="2"/>
  <c r="AF61" i="2"/>
  <c r="AF53" i="2"/>
  <c r="AF45" i="2"/>
  <c r="AF37" i="2"/>
  <c r="AF29" i="2"/>
  <c r="AF13" i="2"/>
  <c r="AF60" i="2"/>
  <c r="AF52" i="2"/>
  <c r="AF44" i="2"/>
  <c r="AF36" i="2"/>
  <c r="AF28" i="2"/>
  <c r="AF12" i="2"/>
  <c r="AF59" i="2"/>
  <c r="AF51" i="2"/>
  <c r="AF43" i="2"/>
  <c r="AF35" i="2"/>
  <c r="AF27" i="2"/>
  <c r="AF58" i="2"/>
  <c r="AF50" i="2"/>
  <c r="AF42" i="2"/>
  <c r="AF34" i="2"/>
  <c r="AF26" i="2"/>
  <c r="AF57" i="2"/>
  <c r="AF49" i="2"/>
  <c r="AF41" i="2"/>
  <c r="AF33" i="2"/>
  <c r="AF25" i="2"/>
  <c r="AO12" i="2"/>
  <c r="AN13" i="2"/>
  <c r="J81" i="2"/>
  <c r="Q78" i="2"/>
  <c r="Q79" i="2"/>
  <c r="Y20" i="2"/>
  <c r="Q72" i="2"/>
  <c r="AC16" i="2"/>
  <c r="AC65" i="2"/>
  <c r="U9" i="2"/>
  <c r="AC18" i="2"/>
  <c r="AC19" i="2"/>
  <c r="Q67" i="2"/>
  <c r="Y16" i="2"/>
  <c r="Y17" i="2"/>
  <c r="Q68" i="2"/>
  <c r="Y9" i="2"/>
  <c r="Q69" i="2"/>
  <c r="Q74" i="2"/>
  <c r="Y10" i="2"/>
  <c r="AC20" i="2"/>
  <c r="Q77" i="2"/>
  <c r="Y65" i="2"/>
  <c r="AC10" i="2"/>
  <c r="AC22" i="2"/>
  <c r="Y22" i="2"/>
  <c r="AC17" i="2"/>
  <c r="AC21" i="2"/>
  <c r="Y19" i="2"/>
  <c r="M71" i="2"/>
  <c r="M69" i="2"/>
  <c r="AC64" i="2"/>
  <c r="Q73" i="2"/>
  <c r="Q70" i="2"/>
  <c r="Q75" i="2"/>
  <c r="M73" i="2"/>
  <c r="M74" i="2"/>
  <c r="M68" i="2"/>
  <c r="M79" i="2"/>
  <c r="M66" i="2"/>
  <c r="M76" i="2"/>
  <c r="Q76" i="2"/>
  <c r="Y64" i="2"/>
  <c r="M70" i="2"/>
  <c r="M75" i="2"/>
  <c r="M77" i="2"/>
  <c r="M78" i="2"/>
  <c r="M72" i="2"/>
  <c r="M67" i="2"/>
  <c r="Y18" i="2"/>
  <c r="Y21" i="2"/>
  <c r="M10" i="2"/>
  <c r="M22" i="2"/>
  <c r="M17" i="2"/>
  <c r="M21" i="2"/>
  <c r="M9" i="2"/>
  <c r="M65" i="2"/>
  <c r="M18" i="2"/>
  <c r="M20" i="2"/>
  <c r="Q9" i="2"/>
  <c r="Q21" i="2"/>
  <c r="M64" i="2"/>
  <c r="Q16" i="2"/>
  <c r="Q17" i="2"/>
  <c r="Q18" i="2"/>
  <c r="M19" i="2"/>
  <c r="Q20" i="2"/>
  <c r="Q64" i="2"/>
  <c r="Q65" i="2"/>
  <c r="M16" i="2"/>
  <c r="Q22" i="2"/>
  <c r="Q10" i="2"/>
  <c r="Q19" i="2"/>
  <c r="Y11" i="2"/>
  <c r="M11" i="2"/>
  <c r="AN14" i="2" l="1"/>
  <c r="AO13" i="2"/>
  <c r="AP13" i="2" s="1"/>
  <c r="BA13" i="2" s="1"/>
  <c r="AP12" i="2"/>
  <c r="BA12" i="2" s="1"/>
  <c r="BC12" i="2"/>
  <c r="BC13" i="2"/>
  <c r="BC14" i="2"/>
  <c r="AC9" i="2"/>
  <c r="AF9" i="2" s="1"/>
  <c r="U16" i="2"/>
  <c r="AF16" i="2" s="1"/>
  <c r="U18" i="2"/>
  <c r="AF18" i="2" s="1"/>
  <c r="U65" i="2"/>
  <c r="AF65" i="2" s="1"/>
  <c r="U19" i="2"/>
  <c r="AF19" i="2" s="1"/>
  <c r="U11" i="2"/>
  <c r="U21" i="2"/>
  <c r="AF21" i="2" s="1"/>
  <c r="U17" i="2"/>
  <c r="AF17" i="2" s="1"/>
  <c r="U10" i="2"/>
  <c r="AF10" i="2" s="1"/>
  <c r="U22" i="2"/>
  <c r="AF22" i="2" s="1"/>
  <c r="U20" i="2"/>
  <c r="AF20" i="2" s="1"/>
  <c r="U64" i="2"/>
  <c r="AF64" i="2" s="1"/>
  <c r="AC72" i="2"/>
  <c r="U72" i="2"/>
  <c r="AC77" i="2"/>
  <c r="U77" i="2"/>
  <c r="AC74" i="2"/>
  <c r="U74" i="2"/>
  <c r="AC75" i="2"/>
  <c r="U75" i="2"/>
  <c r="AF75" i="2" s="1"/>
  <c r="AC76" i="2"/>
  <c r="U76" i="2"/>
  <c r="AC71" i="2"/>
  <c r="U71" i="2"/>
  <c r="AF71" i="2" s="1"/>
  <c r="AC67" i="2"/>
  <c r="U67" i="2"/>
  <c r="AF67" i="2" s="1"/>
  <c r="AC78" i="2"/>
  <c r="U78" i="2"/>
  <c r="AF78" i="2" s="1"/>
  <c r="AC68" i="2"/>
  <c r="U68" i="2"/>
  <c r="AC73" i="2"/>
  <c r="U73" i="2"/>
  <c r="AF73" i="2" s="1"/>
  <c r="AC79" i="2"/>
  <c r="U79" i="2"/>
  <c r="AF79" i="2" s="1"/>
  <c r="AC69" i="2"/>
  <c r="U69" i="2"/>
  <c r="AF69" i="2" s="1"/>
  <c r="AC70" i="2"/>
  <c r="U70" i="2"/>
  <c r="AC66" i="2"/>
  <c r="U66" i="2"/>
  <c r="AF66" i="2" s="1"/>
  <c r="AC11" i="2"/>
  <c r="S83" i="2"/>
  <c r="T83" i="2" s="1"/>
  <c r="AF77" i="2" l="1"/>
  <c r="AF74" i="2"/>
  <c r="AF70" i="2"/>
  <c r="AF68" i="2"/>
  <c r="AF76" i="2"/>
  <c r="AF72" i="2"/>
  <c r="AN15" i="2"/>
  <c r="AO14" i="2"/>
  <c r="AP10" i="2"/>
  <c r="BA10" i="2" s="1"/>
  <c r="BC10" i="2"/>
  <c r="AP9" i="2"/>
  <c r="BA9" i="2" s="1"/>
  <c r="BC9" i="2"/>
  <c r="Q11" i="2"/>
  <c r="AF11" i="2" s="1"/>
  <c r="W83" i="2"/>
  <c r="X83" i="2" s="1"/>
  <c r="P83" i="2"/>
  <c r="AA83" i="2"/>
  <c r="AB83" i="2" s="1"/>
  <c r="K83" i="2"/>
  <c r="L83" i="2" s="1"/>
  <c r="AP14" i="2" l="1"/>
  <c r="BA14" i="2" s="1"/>
  <c r="AO15" i="2"/>
  <c r="AN16" i="2"/>
  <c r="BC15" i="2"/>
  <c r="AO16" i="2" l="1"/>
  <c r="AN17" i="2"/>
  <c r="BC16" i="2"/>
  <c r="AP15" i="2"/>
  <c r="BA15" i="2" s="1"/>
  <c r="AP11" i="2"/>
  <c r="BA11" i="2" s="1"/>
  <c r="BC11" i="2"/>
  <c r="AO17" i="2" l="1"/>
  <c r="AN18" i="2"/>
  <c r="BC17" i="2"/>
  <c r="AP16" i="2"/>
  <c r="BA16" i="2" s="1"/>
  <c r="AN19" i="2" l="1"/>
  <c r="BC18" i="2"/>
  <c r="AO18" i="2"/>
  <c r="AP17" i="2"/>
  <c r="BA17" i="2" s="1"/>
  <c r="AP18" i="2" l="1"/>
  <c r="BA18" i="2" s="1"/>
  <c r="AN20" i="2"/>
  <c r="AO19" i="2"/>
  <c r="BC19" i="2"/>
  <c r="AP19" i="2" l="1"/>
  <c r="BA19" i="2" s="1"/>
  <c r="AN21" i="2"/>
  <c r="BC20" i="2"/>
  <c r="AO20" i="2"/>
  <c r="AP20" i="2" l="1"/>
  <c r="BA20" i="2" s="1"/>
  <c r="AN22" i="2"/>
  <c r="AO21" i="2"/>
  <c r="BC21" i="2"/>
  <c r="AP21" i="2" l="1"/>
  <c r="BA21" i="2" s="1"/>
  <c r="AN23" i="2"/>
  <c r="BC22" i="2"/>
  <c r="AO22" i="2"/>
  <c r="AP22" i="2" l="1"/>
  <c r="BA22" i="2" s="1"/>
  <c r="BC23" i="2"/>
  <c r="AN24" i="2"/>
  <c r="AO23" i="2"/>
  <c r="AP23" i="2" l="1"/>
  <c r="BA23" i="2" s="1"/>
  <c r="AO24" i="2"/>
  <c r="AN25" i="2"/>
  <c r="BC24" i="2"/>
  <c r="AP24" i="2" l="1"/>
  <c r="BA24" i="2" s="1"/>
  <c r="AO25" i="2"/>
  <c r="AN26" i="2"/>
  <c r="BC25" i="2"/>
  <c r="AP25" i="2" l="1"/>
  <c r="BA25" i="2" s="1"/>
  <c r="AO26" i="2"/>
  <c r="BC26" i="2"/>
  <c r="AN27" i="2"/>
  <c r="AO27" i="2" l="1"/>
  <c r="AN28" i="2"/>
  <c r="BC27" i="2"/>
  <c r="AP26" i="2"/>
  <c r="BA26" i="2" s="1"/>
  <c r="AN29" i="2" l="1"/>
  <c r="BC28" i="2"/>
  <c r="AO28" i="2"/>
  <c r="AP27" i="2"/>
  <c r="BA27" i="2" s="1"/>
  <c r="AP28" i="2" l="1"/>
  <c r="BA28" i="2" s="1"/>
  <c r="AN30" i="2"/>
  <c r="AO29" i="2"/>
  <c r="BC29" i="2"/>
  <c r="AP29" i="2" l="1"/>
  <c r="BA29" i="2" s="1"/>
  <c r="AO30" i="2"/>
  <c r="AN31" i="2"/>
  <c r="BC30" i="2"/>
  <c r="AO31" i="2" l="1"/>
  <c r="AN32" i="2"/>
  <c r="BC31" i="2"/>
  <c r="AP30" i="2"/>
  <c r="BA30" i="2" s="1"/>
  <c r="BC32" i="2" l="1"/>
  <c r="AN33" i="2"/>
  <c r="AO32" i="2"/>
  <c r="AP31" i="2"/>
  <c r="BA31" i="2" s="1"/>
  <c r="AP32" i="2" l="1"/>
  <c r="BA32" i="2" s="1"/>
  <c r="BC33" i="2"/>
  <c r="AO33" i="2"/>
  <c r="AN34" i="2"/>
  <c r="AO34" i="2" l="1"/>
  <c r="BC34" i="2"/>
  <c r="AN35" i="2"/>
  <c r="AP33" i="2"/>
  <c r="BA33" i="2" s="1"/>
  <c r="AO35" i="2" l="1"/>
  <c r="BC35" i="2"/>
  <c r="AN36" i="2"/>
  <c r="AP34" i="2"/>
  <c r="BA34" i="2" s="1"/>
  <c r="AN37" i="2" l="1"/>
  <c r="BC36" i="2"/>
  <c r="AO36" i="2"/>
  <c r="AP35" i="2"/>
  <c r="BA35" i="2" s="1"/>
  <c r="AP36" i="2" l="1"/>
  <c r="BA36" i="2" s="1"/>
  <c r="AN38" i="2"/>
  <c r="AO37" i="2"/>
  <c r="BC37" i="2"/>
  <c r="AP37" i="2" l="1"/>
  <c r="BA37" i="2" s="1"/>
  <c r="AN39" i="2"/>
  <c r="BC38" i="2"/>
  <c r="AO38" i="2"/>
  <c r="AP38" i="2" l="1"/>
  <c r="BA38" i="2" s="1"/>
  <c r="BC39" i="2"/>
  <c r="AN40" i="2"/>
  <c r="AO39" i="2"/>
  <c r="AP39" i="2" l="1"/>
  <c r="BA39" i="2" s="1"/>
  <c r="AN41" i="2"/>
  <c r="BC40" i="2"/>
  <c r="AO40" i="2"/>
  <c r="AP40" i="2" l="1"/>
  <c r="BA40" i="2" s="1"/>
  <c r="BC41" i="2"/>
  <c r="AO41" i="2"/>
  <c r="AN42" i="2"/>
  <c r="AP41" i="2" l="1"/>
  <c r="BA41" i="2" s="1"/>
  <c r="AN43" i="2"/>
  <c r="AO42" i="2"/>
  <c r="BC42" i="2"/>
  <c r="AP42" i="2" l="1"/>
  <c r="BA42" i="2" s="1"/>
  <c r="BC43" i="2"/>
  <c r="AO43" i="2"/>
  <c r="AN44" i="2"/>
  <c r="AP43" i="2" l="1"/>
  <c r="BA43" i="2" s="1"/>
  <c r="AN45" i="2"/>
  <c r="BC44" i="2"/>
  <c r="AO44" i="2"/>
  <c r="AP44" i="2" l="1"/>
  <c r="BA44" i="2" s="1"/>
  <c r="AN46" i="2"/>
  <c r="AO45" i="2"/>
  <c r="BC45" i="2"/>
  <c r="AP45" i="2" l="1"/>
  <c r="BA45" i="2" s="1"/>
  <c r="AO46" i="2"/>
  <c r="BC46" i="2"/>
  <c r="AN47" i="2"/>
  <c r="AO47" i="2" l="1"/>
  <c r="BC47" i="2"/>
  <c r="AN48" i="2"/>
  <c r="AP46" i="2"/>
  <c r="BA46" i="2" s="1"/>
  <c r="AN49" i="2" l="1"/>
  <c r="BC48" i="2"/>
  <c r="AO48" i="2"/>
  <c r="AP47" i="2"/>
  <c r="BA47" i="2" s="1"/>
  <c r="AP48" i="2" l="1"/>
  <c r="BA48" i="2" s="1"/>
  <c r="AN50" i="2"/>
  <c r="AO49" i="2"/>
  <c r="BC49" i="2"/>
  <c r="AP49" i="2" l="1"/>
  <c r="BA49" i="2" s="1"/>
  <c r="AO50" i="2"/>
  <c r="BC50" i="2"/>
  <c r="AN51" i="2"/>
  <c r="AO51" i="2" l="1"/>
  <c r="BC51" i="2"/>
  <c r="AN52" i="2"/>
  <c r="AP50" i="2"/>
  <c r="BA50" i="2" s="1"/>
  <c r="AN53" i="2" l="1"/>
  <c r="BC52" i="2"/>
  <c r="AO52" i="2"/>
  <c r="AP51" i="2"/>
  <c r="BA51" i="2" s="1"/>
  <c r="AO53" i="2" l="1"/>
  <c r="AN54" i="2"/>
  <c r="BC53" i="2"/>
  <c r="AP52" i="2"/>
  <c r="BA52" i="2" s="1"/>
  <c r="AP53" i="2" l="1"/>
  <c r="BA53" i="2" s="1"/>
  <c r="AN55" i="2"/>
  <c r="BC54" i="2"/>
  <c r="AO54" i="2"/>
  <c r="AP54" i="2" l="1"/>
  <c r="BA54" i="2" s="1"/>
  <c r="AO55" i="2"/>
  <c r="BC55" i="2"/>
  <c r="AN56" i="2"/>
  <c r="AP55" i="2" l="1"/>
  <c r="BA55" i="2" s="1"/>
  <c r="BC56" i="2"/>
  <c r="AO56" i="2"/>
  <c r="AN57" i="2"/>
  <c r="AN58" i="2" l="1"/>
  <c r="BC57" i="2"/>
  <c r="AO57" i="2"/>
  <c r="AP56" i="2"/>
  <c r="BA56" i="2" s="1"/>
  <c r="AP57" i="2" l="1"/>
  <c r="BA57" i="2" s="1"/>
  <c r="BC58" i="2"/>
  <c r="AN59" i="2"/>
  <c r="AO58" i="2"/>
  <c r="AP58" i="2" l="1"/>
  <c r="BA58" i="2" s="1"/>
  <c r="AO59" i="2"/>
  <c r="AN60" i="2"/>
  <c r="BC59" i="2"/>
  <c r="BC60" i="2" l="1"/>
  <c r="AO60" i="2"/>
  <c r="AN61" i="2"/>
  <c r="AP59" i="2"/>
  <c r="BA59" i="2" s="1"/>
  <c r="AP60" i="2" l="1"/>
  <c r="BA60" i="2" s="1"/>
  <c r="AN62" i="2"/>
  <c r="BC61" i="2"/>
  <c r="AO61" i="2"/>
  <c r="AP61" i="2" l="1"/>
  <c r="BA61" i="2" s="1"/>
  <c r="AN63" i="2"/>
  <c r="AO62" i="2"/>
  <c r="BC62" i="2"/>
  <c r="AP62" i="2" l="1"/>
  <c r="BA62" i="2" s="1"/>
  <c r="BC63" i="2"/>
  <c r="AN64" i="2"/>
  <c r="AO63" i="2"/>
  <c r="AO64" i="2" l="1"/>
  <c r="BC64" i="2"/>
  <c r="AN65" i="2"/>
  <c r="AP63" i="2"/>
  <c r="BA63" i="2" s="1"/>
  <c r="AO65" i="2" l="1"/>
  <c r="BC65" i="2"/>
  <c r="AN66" i="2"/>
  <c r="AP64" i="2"/>
  <c r="BA64" i="2" s="1"/>
  <c r="AO66" i="2" l="1"/>
  <c r="AN67" i="2"/>
  <c r="BC66" i="2"/>
  <c r="AP65" i="2"/>
  <c r="BA65" i="2" s="1"/>
  <c r="BC67" i="2" l="1"/>
  <c r="AO67" i="2"/>
  <c r="AN68" i="2"/>
  <c r="AP66" i="2"/>
  <c r="BA66" i="2" s="1"/>
  <c r="AP67" i="2" l="1"/>
  <c r="BA67" i="2" s="1"/>
  <c r="AN69" i="2"/>
  <c r="AO68" i="2"/>
  <c r="BC68" i="2"/>
  <c r="AP68" i="2" l="1"/>
  <c r="BA68" i="2" s="1"/>
  <c r="AO69" i="2"/>
  <c r="BC69" i="2"/>
  <c r="AN70" i="2"/>
  <c r="AP69" i="2" l="1"/>
  <c r="BA69" i="2" s="1"/>
  <c r="BC70" i="2"/>
  <c r="AO70" i="2"/>
  <c r="AN71" i="2"/>
  <c r="AN72" i="2" l="1"/>
  <c r="BC71" i="2"/>
  <c r="AO71" i="2"/>
  <c r="AP70" i="2"/>
  <c r="BA70" i="2" s="1"/>
  <c r="AP71" i="2" l="1"/>
  <c r="BA71" i="2" s="1"/>
  <c r="BC72" i="2"/>
  <c r="AO72" i="2"/>
  <c r="AN73" i="2"/>
  <c r="AP72" i="2" l="1"/>
  <c r="BA72" i="2" s="1"/>
  <c r="AN74" i="2"/>
  <c r="BC73" i="2"/>
  <c r="BE73" i="2" s="1"/>
  <c r="BD73" i="2" s="1"/>
  <c r="AO73" i="2"/>
  <c r="BE13" i="2"/>
  <c r="BD13" i="2" s="1"/>
  <c r="BE12" i="2"/>
  <c r="BD12" i="2" s="1"/>
  <c r="BE15" i="2"/>
  <c r="BD15" i="2" s="1"/>
  <c r="BE14" i="2"/>
  <c r="BD14" i="2" s="1"/>
  <c r="BE23" i="2"/>
  <c r="BD23" i="2" s="1"/>
  <c r="BE25" i="2"/>
  <c r="BD25" i="2" s="1"/>
  <c r="BE24" i="2"/>
  <c r="BD24" i="2" s="1"/>
  <c r="BE26" i="2"/>
  <c r="BD26" i="2" s="1"/>
  <c r="BE27" i="2"/>
  <c r="BD27" i="2" s="1"/>
  <c r="BE29" i="2"/>
  <c r="BD29" i="2" s="1"/>
  <c r="BE30" i="2"/>
  <c r="BD30" i="2" s="1"/>
  <c r="BE28" i="2"/>
  <c r="BD28" i="2" s="1"/>
  <c r="BE32" i="2"/>
  <c r="BD32" i="2" s="1"/>
  <c r="BE31" i="2"/>
  <c r="BD31" i="2" s="1"/>
  <c r="BE33" i="2"/>
  <c r="BD33" i="2" s="1"/>
  <c r="BE35" i="2"/>
  <c r="BD35" i="2" s="1"/>
  <c r="BE34" i="2"/>
  <c r="BD34" i="2" s="1"/>
  <c r="BE36" i="2"/>
  <c r="BD36" i="2" s="1"/>
  <c r="BE38" i="2"/>
  <c r="BD38" i="2" s="1"/>
  <c r="BE37" i="2"/>
  <c r="BD37" i="2" s="1"/>
  <c r="BE39" i="2"/>
  <c r="BD39" i="2" s="1"/>
  <c r="BE40" i="2"/>
  <c r="BD40" i="2" s="1"/>
  <c r="BE41" i="2"/>
  <c r="BD41" i="2" s="1"/>
  <c r="BE17" i="2"/>
  <c r="BD17" i="2" s="1"/>
  <c r="BE43" i="2"/>
  <c r="BD43" i="2" s="1"/>
  <c r="BE18" i="2"/>
  <c r="BD18" i="2" s="1"/>
  <c r="BE42" i="2"/>
  <c r="BD42" i="2" s="1"/>
  <c r="BE16" i="2"/>
  <c r="BD16" i="2" s="1"/>
  <c r="BE19" i="2"/>
  <c r="BD19" i="2" s="1"/>
  <c r="BE22" i="2"/>
  <c r="BD22" i="2" s="1"/>
  <c r="BE21" i="2"/>
  <c r="BD21" i="2" s="1"/>
  <c r="BE20" i="2"/>
  <c r="BD20" i="2" s="1"/>
  <c r="BE44" i="2"/>
  <c r="BD44" i="2" s="1"/>
  <c r="BE46" i="2"/>
  <c r="BD46" i="2" s="1"/>
  <c r="BE45" i="2"/>
  <c r="BD45" i="2" s="1"/>
  <c r="BE47" i="2"/>
  <c r="BD47" i="2" s="1"/>
  <c r="BE48" i="2"/>
  <c r="BD48" i="2" s="1"/>
  <c r="BE49" i="2"/>
  <c r="BD49" i="2" s="1"/>
  <c r="BE50" i="2"/>
  <c r="BD50" i="2" s="1"/>
  <c r="BE51" i="2"/>
  <c r="BD51" i="2" s="1"/>
  <c r="BE52" i="2"/>
  <c r="BD52" i="2" s="1"/>
  <c r="BE53" i="2"/>
  <c r="BD53" i="2" s="1"/>
  <c r="BE54" i="2"/>
  <c r="BD54" i="2" s="1"/>
  <c r="BE55" i="2"/>
  <c r="BD55" i="2" s="1"/>
  <c r="BE56" i="2"/>
  <c r="BD56" i="2" s="1"/>
  <c r="BE57" i="2"/>
  <c r="BD57" i="2" s="1"/>
  <c r="BE58" i="2"/>
  <c r="BD58" i="2" s="1"/>
  <c r="BE59" i="2"/>
  <c r="BD59" i="2" s="1"/>
  <c r="BE60" i="2"/>
  <c r="BD60" i="2" s="1"/>
  <c r="BE61" i="2"/>
  <c r="BD61" i="2" s="1"/>
  <c r="BE62" i="2"/>
  <c r="BD62" i="2" s="1"/>
  <c r="BE63" i="2"/>
  <c r="BD63" i="2" s="1"/>
  <c r="BE64" i="2"/>
  <c r="BD64" i="2" s="1"/>
  <c r="BE65" i="2"/>
  <c r="BD65" i="2" s="1"/>
  <c r="BE67" i="2"/>
  <c r="BD67" i="2" s="1"/>
  <c r="BE68" i="2"/>
  <c r="BD68" i="2" s="1"/>
  <c r="BE69" i="2"/>
  <c r="BD69" i="2" s="1"/>
  <c r="BE70" i="2"/>
  <c r="BD70" i="2" s="1"/>
  <c r="BE66" i="2"/>
  <c r="BD66" i="2" s="1"/>
  <c r="BE72" i="2"/>
  <c r="BD72" i="2" s="1"/>
  <c r="BE71" i="2"/>
  <c r="BD71" i="2" s="1"/>
  <c r="BE11" i="2"/>
  <c r="BD11" i="2" s="1"/>
  <c r="AP73" i="2" l="1"/>
  <c r="BA73" i="2" s="1"/>
  <c r="AO74" i="2"/>
  <c r="BC74" i="2"/>
  <c r="BE74" i="2" s="1"/>
  <c r="BD74" i="2" s="1"/>
  <c r="AN75" i="2"/>
  <c r="BE9" i="2"/>
  <c r="BD9" i="2" s="1"/>
  <c r="BC75" i="2" l="1"/>
  <c r="BE75" i="2" s="1"/>
  <c r="BD75" i="2" s="1"/>
  <c r="AO75" i="2"/>
  <c r="AN76" i="2"/>
  <c r="AP74" i="2"/>
  <c r="BA74" i="2" s="1"/>
  <c r="AN77" i="2" l="1"/>
  <c r="AO76" i="2"/>
  <c r="BC76" i="2"/>
  <c r="BE76" i="2" s="1"/>
  <c r="BD76" i="2" s="1"/>
  <c r="AP75" i="2"/>
  <c r="BA75" i="2" s="1"/>
  <c r="AP76" i="2" l="1"/>
  <c r="BA76" i="2" s="1"/>
  <c r="AO77" i="2"/>
  <c r="AN78" i="2"/>
  <c r="BC77" i="2"/>
  <c r="BE77" i="2" s="1"/>
  <c r="BD77" i="2" s="1"/>
  <c r="AP77" i="2" l="1"/>
  <c r="BA77" i="2" s="1"/>
  <c r="AN79" i="2"/>
  <c r="AO78" i="2"/>
  <c r="BC78" i="2"/>
  <c r="BE78" i="2" s="1"/>
  <c r="BD78" i="2" s="1"/>
  <c r="AP78" i="2" l="1"/>
  <c r="BA78" i="2" s="1"/>
  <c r="BC79" i="2"/>
  <c r="AO79" i="2"/>
  <c r="BE10" i="2" l="1"/>
  <c r="BD10" i="2" s="1"/>
  <c r="BE79" i="2"/>
  <c r="BD79" i="2" s="1"/>
  <c r="AP79" i="2"/>
  <c r="BA79" i="2" s="1"/>
  <c r="BA81" i="2" s="1"/>
  <c r="BA85" i="2" l="1"/>
</calcChain>
</file>

<file path=xl/sharedStrings.xml><?xml version="1.0" encoding="utf-8"?>
<sst xmlns="http://schemas.openxmlformats.org/spreadsheetml/2006/main" count="250" uniqueCount="155">
  <si>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</si>
  <si>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</si>
  <si>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</si>
  <si>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</si>
  <si>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</si>
  <si>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</si>
  <si>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</si>
  <si>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</si>
  <si>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</si>
  <si>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</si>
  <si>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</si>
  <si>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</si>
  <si>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</si>
  <si>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</si>
  <si>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</si>
  <si>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</si>
  <si>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</si>
  <si>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</si>
  <si>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</si>
  <si>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</si>
  <si>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</si>
  <si>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</si>
  <si>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</si>
  <si>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</si>
  <si>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</si>
  <si>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</si>
  <si>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</si>
  <si>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</si>
  <si>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Eléments déclencheurs = Réclamation client Agent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</si>
  <si>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</si>
  <si>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</si>
  <si>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</si>
  <si>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</si>
  <si>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</si>
  <si>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</si>
  <si>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Toute la prime est perdue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</si>
  <si>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</si>
  <si>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</si>
  <si>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</si>
  <si>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</si>
  <si>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</si>
  <si>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</si>
  <si>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</si>
  <si>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</si>
  <si>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</si>
  <si>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</si>
  <si>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</si>
  <si>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</si>
  <si>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</si>
  <si>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</si>
  <si>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Objectif VS Statut</t>
  </si>
  <si>
    <t>Taux d'atteinte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</si>
  <si>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</si>
  <si>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</si>
  <si>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</si>
  <si>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</si>
  <si>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</si>
  <si>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</si>
  <si>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</si>
  <si>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</si>
  <si>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</si>
  <si>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</si>
  <si>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</si>
  <si>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</si>
  <si>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</si>
  <si>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</si>
  <si>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</si>
  <si>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</si>
  <si>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</si>
  <si>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</si>
  <si>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</si>
  <si>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</si>
  <si>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</si>
  <si>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</si>
  <si>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Résultat</t>
  </si>
  <si>
    <t>% d'att.</t>
  </si>
  <si>
    <t>Montant total de la prime</t>
  </si>
  <si>
    <t>KPI6</t>
  </si>
  <si>
    <t>MALUS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</si>
  <si>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</si>
  <si>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</si>
  <si>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</si>
  <si>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</si>
  <si>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</si>
  <si>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</si>
  <si>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</si>
  <si>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</si>
  <si>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</si>
  <si>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</si>
  <si>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Grille de prime agent pour business hors télèvente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</si>
  <si>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</si>
  <si>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</si>
  <si>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</si>
  <si>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</si>
  <si>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</si>
  <si>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</si>
  <si>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</si>
  <si>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</si>
  <si>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</si>
  <si>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</si>
  <si>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</si>
  <si>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</si>
  <si>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</si>
  <si>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</si>
  <si>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</si>
  <si>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</si>
  <si>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</si>
  <si>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</si>
  <si>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</si>
  <si>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</si>
  <si>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</si>
  <si>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</si>
  <si>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</si>
  <si>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</si>
  <si>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</si>
  <si>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</si>
  <si>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</si>
  <si>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FZ FATIH</t>
  </si>
  <si>
    <t>FATIH FATIMA ZAHRA</t>
  </si>
  <si>
    <t>Montant Prime</t>
  </si>
  <si>
    <t>SUPER BONUS VENTES</t>
  </si>
  <si>
    <t>Commission</t>
  </si>
  <si>
    <t>Montant Cible (BRUT)</t>
  </si>
  <si>
    <t>TAUX DE CHANGE</t>
  </si>
  <si>
    <t>Tx de Prime/CA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</si>
  <si>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</si>
  <si>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</si>
  <si>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</si>
  <si>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</si>
  <si>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</si>
  <si>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</si>
  <si>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INTITULE KPI6</t>
  </si>
  <si>
    <t>pay plan du super bonus vente/RDV</t>
  </si>
  <si>
    <t>SOURCE PLANILICATION</t>
  </si>
  <si>
    <t>Interne</t>
  </si>
  <si>
    <t>préciser si la planification des ressources se fait à notre niveau (interne) ou par le client</t>
  </si>
  <si>
    <t>aaaa</t>
  </si>
  <si>
    <t>DMT</t>
  </si>
  <si>
    <t>AVG NBR</t>
  </si>
  <si>
    <t>Tx MEA</t>
  </si>
  <si>
    <t>Autres Primes</t>
  </si>
  <si>
    <t>PRIME DE LANGUE Finale</t>
  </si>
  <si>
    <t>Prime LANGUE</t>
  </si>
  <si>
    <t>Yassine Karim</t>
  </si>
  <si>
    <t>01</t>
  </si>
  <si>
    <t>CVR</t>
  </si>
  <si>
    <t>Avg NBR</t>
  </si>
  <si>
    <t>Note qualité</t>
  </si>
  <si>
    <t>CP GERMANO SA</t>
  </si>
  <si>
    <t>Taux de conversion</t>
  </si>
  <si>
    <t>moyenne net book rent</t>
  </si>
  <si>
    <t>MEA</t>
  </si>
  <si>
    <t>mise en attente</t>
  </si>
  <si>
    <t>MCC_S01_FEG-GRILLE PRIMES AGENT-PVCP GE SE</t>
  </si>
  <si>
    <t>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</si>
</sst>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#,##0\ &quot;€&quot;"/>
    <numFmt numFmtId="172" formatCode="#,##0.00\ [$MAD]"/>
    <numFmt numFmtId="173" formatCode="_-* #,##0\ &quot;€&quot;_-;\-* #,##0\ &quot;€&quot;_-;_-* &quot;-&quot;??\ &quot;€&quot;_-;_-@_-"/>
  </numFmts>
  <fonts count="27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b/>
      <sz val="10"/>
      <color theme="8" tint="-0.249977111117893"/>
      <name val="Sansation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theme="2"/>
      </patternFill>
    </fill>
    <fill>
      <patternFill patternType="solid">
        <fgColor theme="2" tint="-9.9978637043366805E-2"/>
        <bgColor indexed="64"/>
      </patternFill>
    </fill>
  </fills>
  <borders count="86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/>
      <top/>
      <bottom style="hair">
        <color theme="0" tint="-0.34998626667073579"/>
      </bottom>
      <diagonal/>
    </border>
    <border>
      <left style="hair">
        <color theme="1" tint="0.2499465926084170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/>
      <top style="hair">
        <color theme="0" tint="-0.34998626667073579"/>
      </top>
      <bottom/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1" tint="0.24994659260841701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/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thin">
        <color theme="4" tint="-0.24994659260841701"/>
      </right>
      <top style="hair">
        <color theme="1" tint="0.24994659260841701"/>
      </top>
      <bottom/>
      <diagonal/>
    </border>
    <border>
      <left style="hair">
        <color theme="1" tint="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</borders>
  <cellStyleXfs count="13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</cellStyleXfs>
  <cellXfs count="349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9" fontId="2" fillId="4" borderId="40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left" indent="1"/>
      <protection locked="0"/>
    </xf>
    <xf numFmtId="0" fontId="2" fillId="0" borderId="44" xfId="0" applyFont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9" fontId="2" fillId="4" borderId="43" xfId="1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left" indent="1"/>
      <protection locked="0"/>
    </xf>
    <xf numFmtId="0" fontId="2" fillId="0" borderId="47" xfId="0" applyFont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center"/>
      <protection locked="0"/>
    </xf>
    <xf numFmtId="9" fontId="2" fillId="4" borderId="46" xfId="1" applyFont="1" applyFill="1" applyBorder="1" applyAlignment="1" applyProtection="1">
      <alignment horizontal="center"/>
      <protection locked="0"/>
    </xf>
    <xf numFmtId="0" fontId="17" fillId="13" borderId="44" xfId="0" applyFont="1" applyFill="1" applyBorder="1" applyAlignment="1" applyProtection="1">
      <alignment horizontal="center" vertical="center" wrapText="1"/>
      <protection locked="0"/>
    </xf>
    <xf numFmtId="164" fontId="2" fillId="0" borderId="45" xfId="3" applyNumberFormat="1" applyFont="1" applyFill="1" applyBorder="1" applyAlignment="1" applyProtection="1">
      <alignment horizontal="right" indent="1"/>
      <protection locked="0"/>
    </xf>
    <xf numFmtId="164" fontId="2" fillId="0" borderId="48" xfId="3" applyNumberFormat="1" applyFont="1" applyFill="1" applyBorder="1" applyAlignment="1" applyProtection="1">
      <alignment horizontal="right" indent="1"/>
      <protection locked="0"/>
    </xf>
    <xf numFmtId="9" fontId="13" fillId="4" borderId="44" xfId="1" applyFont="1" applyFill="1" applyBorder="1" applyAlignment="1" applyProtection="1">
      <alignment horizontal="center"/>
      <protection locked="0"/>
    </xf>
    <xf numFmtId="9" fontId="13" fillId="4" borderId="44" xfId="0" applyNumberFormat="1" applyFont="1" applyFill="1" applyBorder="1" applyAlignment="1" applyProtection="1">
      <alignment horizontal="center"/>
      <protection locked="0"/>
    </xf>
    <xf numFmtId="1" fontId="13" fillId="4" borderId="44" xfId="1" applyNumberFormat="1" applyFont="1" applyFill="1" applyBorder="1" applyAlignment="1" applyProtection="1">
      <alignment horizontal="center"/>
      <protection locked="0"/>
    </xf>
    <xf numFmtId="170" fontId="13" fillId="4" borderId="44" xfId="1" applyNumberFormat="1" applyFont="1" applyFill="1" applyBorder="1" applyAlignment="1" applyProtection="1">
      <alignment horizontal="center"/>
      <protection locked="0"/>
    </xf>
    <xf numFmtId="2" fontId="13" fillId="4" borderId="44" xfId="1" applyNumberFormat="1" applyFont="1" applyFill="1" applyBorder="1" applyAlignment="1" applyProtection="1">
      <alignment horizontal="center"/>
      <protection locked="0"/>
    </xf>
    <xf numFmtId="10" fontId="13" fillId="4" borderId="44" xfId="0" applyNumberFormat="1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44" xfId="0" applyNumberFormat="1" applyFont="1" applyFill="1" applyBorder="1" applyAlignment="1" applyProtection="1">
      <alignment horizontal="left" indent="1"/>
      <protection locked="0"/>
    </xf>
    <xf numFmtId="171" fontId="13" fillId="0" borderId="44" xfId="0" applyNumberFormat="1" applyFont="1" applyFill="1" applyBorder="1" applyAlignment="1" applyProtection="1">
      <alignment horizontal="right" indent="1"/>
      <protection locked="0"/>
    </xf>
    <xf numFmtId="0" fontId="13" fillId="4" borderId="44" xfId="0" applyFont="1" applyFill="1" applyBorder="1" applyAlignment="1" applyProtection="1">
      <alignment horizontal="left"/>
      <protection locked="0"/>
    </xf>
    <xf numFmtId="0" fontId="13" fillId="4" borderId="44" xfId="0" applyFont="1" applyFill="1" applyBorder="1" applyProtection="1">
      <protection locked="0"/>
    </xf>
    <xf numFmtId="2" fontId="13" fillId="4" borderId="44" xfId="0" applyNumberFormat="1" applyFont="1" applyFill="1" applyBorder="1" applyProtection="1">
      <protection locked="0"/>
    </xf>
    <xf numFmtId="0" fontId="20" fillId="12" borderId="55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center" vertical="center" wrapText="1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19" fillId="4" borderId="0" xfId="0" applyFont="1" applyFill="1" applyAlignment="1" applyProtection="1">
      <alignment horizontal="left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29" xfId="0" applyFont="1" applyFill="1" applyBorder="1" applyAlignment="1" applyProtection="1">
      <alignment horizontal="center" vertical="center" wrapText="1"/>
    </xf>
    <xf numFmtId="0" fontId="2" fillId="4" borderId="31" xfId="1" applyNumberFormat="1" applyFont="1" applyFill="1" applyBorder="1" applyAlignment="1" applyProtection="1">
      <alignment horizontal="center" vertical="center"/>
    </xf>
    <xf numFmtId="0" fontId="2" fillId="4" borderId="32" xfId="1" applyNumberFormat="1" applyFont="1" applyFill="1" applyBorder="1" applyAlignment="1" applyProtection="1">
      <alignment horizontal="center" vertical="center"/>
    </xf>
    <xf numFmtId="164" fontId="2" fillId="0" borderId="49" xfId="3" applyNumberFormat="1" applyFont="1" applyFill="1" applyBorder="1" applyAlignment="1" applyProtection="1">
      <alignment horizontal="right" indent="1"/>
    </xf>
    <xf numFmtId="9" fontId="2" fillId="7" borderId="41" xfId="1" applyFont="1" applyFill="1" applyBorder="1" applyAlignment="1" applyProtection="1">
      <alignment horizontal="center"/>
    </xf>
    <xf numFmtId="1" fontId="2" fillId="7" borderId="41" xfId="1" applyNumberFormat="1" applyFont="1" applyFill="1" applyBorder="1" applyAlignment="1" applyProtection="1">
      <alignment horizontal="center"/>
    </xf>
    <xf numFmtId="0" fontId="2" fillId="7" borderId="44" xfId="0" applyFont="1" applyFill="1" applyBorder="1" applyAlignment="1" applyProtection="1">
      <alignment horizontal="center"/>
    </xf>
    <xf numFmtId="170" fontId="2" fillId="7" borderId="44" xfId="1" applyNumberFormat="1" applyFont="1" applyFill="1" applyBorder="1" applyAlignment="1" applyProtection="1">
      <alignment horizontal="center"/>
    </xf>
    <xf numFmtId="167" fontId="2" fillId="7" borderId="45" xfId="1" applyNumberFormat="1" applyFont="1" applyFill="1" applyBorder="1" applyAlignment="1" applyProtection="1"/>
    <xf numFmtId="0" fontId="2" fillId="4" borderId="0" xfId="0" applyFont="1" applyFill="1" applyProtection="1"/>
    <xf numFmtId="168" fontId="2" fillId="7" borderId="41" xfId="3" applyNumberFormat="1" applyFont="1" applyFill="1" applyBorder="1" applyAlignment="1" applyProtection="1">
      <alignment horizontal="center"/>
    </xf>
    <xf numFmtId="167" fontId="2" fillId="7" borderId="49" xfId="1" applyNumberFormat="1" applyFont="1" applyFill="1" applyBorder="1" applyAlignment="1" applyProtection="1"/>
    <xf numFmtId="166" fontId="19" fillId="7" borderId="49" xfId="3" applyNumberFormat="1" applyFont="1" applyFill="1" applyBorder="1" applyAlignment="1" applyProtection="1">
      <alignment horizontal="right" indent="1"/>
    </xf>
    <xf numFmtId="0" fontId="19" fillId="4" borderId="49" xfId="0" applyFont="1" applyFill="1" applyBorder="1" applyAlignment="1" applyProtection="1">
      <alignment horizontal="left" indent="1"/>
    </xf>
    <xf numFmtId="164" fontId="2" fillId="0" borderId="50" xfId="3" applyNumberFormat="1" applyFont="1" applyFill="1" applyBorder="1" applyAlignment="1" applyProtection="1">
      <alignment horizontal="right" indent="1"/>
    </xf>
    <xf numFmtId="9" fontId="2" fillId="7" borderId="44" xfId="1" applyFont="1" applyFill="1" applyBorder="1" applyAlignment="1" applyProtection="1">
      <alignment horizontal="center"/>
    </xf>
    <xf numFmtId="1" fontId="2" fillId="7" borderId="44" xfId="1" applyNumberFormat="1" applyFont="1" applyFill="1" applyBorder="1" applyAlignment="1" applyProtection="1">
      <alignment horizontal="center"/>
    </xf>
    <xf numFmtId="168" fontId="2" fillId="7" borderId="44" xfId="3" applyNumberFormat="1" applyFont="1" applyFill="1" applyBorder="1" applyAlignment="1" applyProtection="1">
      <alignment horizontal="center"/>
    </xf>
    <xf numFmtId="167" fontId="2" fillId="7" borderId="50" xfId="1" applyNumberFormat="1" applyFont="1" applyFill="1" applyBorder="1" applyAlignment="1" applyProtection="1"/>
    <xf numFmtId="166" fontId="19" fillId="7" borderId="50" xfId="3" applyNumberFormat="1" applyFont="1" applyFill="1" applyBorder="1" applyAlignment="1" applyProtection="1">
      <alignment horizontal="right" indent="1"/>
    </xf>
    <xf numFmtId="0" fontId="19" fillId="4" borderId="50" xfId="0" applyFont="1" applyFill="1" applyBorder="1" applyAlignment="1" applyProtection="1">
      <alignment horizontal="left" indent="1"/>
    </xf>
    <xf numFmtId="0" fontId="19" fillId="0" borderId="50" xfId="0" applyFont="1" applyFill="1" applyBorder="1" applyAlignment="1" applyProtection="1">
      <alignment horizontal="left" indent="1"/>
    </xf>
    <xf numFmtId="164" fontId="2" fillId="0" borderId="51" xfId="3" applyNumberFormat="1" applyFont="1" applyFill="1" applyBorder="1" applyAlignment="1" applyProtection="1">
      <alignment horizontal="right" indent="1"/>
    </xf>
    <xf numFmtId="9" fontId="2" fillId="7" borderId="47" xfId="1" applyFont="1" applyFill="1" applyBorder="1" applyAlignment="1" applyProtection="1">
      <alignment horizontal="center"/>
    </xf>
    <xf numFmtId="1" fontId="2" fillId="7" borderId="47" xfId="1" applyNumberFormat="1" applyFont="1" applyFill="1" applyBorder="1" applyAlignment="1" applyProtection="1">
      <alignment horizontal="center"/>
    </xf>
    <xf numFmtId="0" fontId="2" fillId="7" borderId="47" xfId="0" applyFont="1" applyFill="1" applyBorder="1" applyAlignment="1" applyProtection="1">
      <alignment horizontal="center"/>
    </xf>
    <xf numFmtId="9" fontId="2" fillId="7" borderId="47" xfId="1" applyNumberFormat="1" applyFont="1" applyFill="1" applyBorder="1" applyAlignment="1" applyProtection="1">
      <alignment horizontal="center"/>
    </xf>
    <xf numFmtId="167" fontId="2" fillId="7" borderId="48" xfId="1" applyNumberFormat="1" applyFont="1" applyFill="1" applyBorder="1" applyAlignment="1" applyProtection="1"/>
    <xf numFmtId="168" fontId="2" fillId="7" borderId="47" xfId="3" applyNumberFormat="1" applyFont="1" applyFill="1" applyBorder="1" applyAlignment="1" applyProtection="1">
      <alignment horizontal="center"/>
    </xf>
    <xf numFmtId="167" fontId="2" fillId="7" borderId="51" xfId="1" applyNumberFormat="1" applyFont="1" applyFill="1" applyBorder="1" applyAlignment="1" applyProtection="1"/>
    <xf numFmtId="166" fontId="19" fillId="7" borderId="51" xfId="3" applyNumberFormat="1" applyFont="1" applyFill="1" applyBorder="1" applyAlignment="1" applyProtection="1">
      <alignment horizontal="right" indent="1"/>
    </xf>
    <xf numFmtId="0" fontId="19" fillId="4" borderId="51" xfId="0" applyFont="1" applyFill="1" applyBorder="1" applyAlignment="1" applyProtection="1">
      <alignment horizontal="left" indent="1"/>
    </xf>
    <xf numFmtId="0" fontId="23" fillId="6" borderId="44" xfId="0" applyFont="1" applyFill="1" applyBorder="1" applyProtection="1"/>
    <xf numFmtId="0" fontId="20" fillId="14" borderId="44" xfId="0" applyFont="1" applyFill="1" applyBorder="1" applyProtection="1"/>
    <xf numFmtId="0" fontId="25" fillId="6" borderId="44" xfId="0" applyFont="1" applyFill="1" applyBorder="1" applyAlignment="1" applyProtection="1">
      <alignment vertical="center"/>
    </xf>
    <xf numFmtId="9" fontId="23" fillId="6" borderId="44" xfId="1" applyFont="1" applyFill="1" applyBorder="1" applyProtection="1"/>
    <xf numFmtId="167" fontId="23" fillId="6" borderId="44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63" xfId="0" applyFont="1" applyFill="1" applyBorder="1" applyAlignment="1" applyProtection="1">
      <alignment horizontal="left"/>
    </xf>
    <xf numFmtId="0" fontId="10" fillId="10" borderId="44" xfId="0" applyFont="1" applyFill="1" applyBorder="1" applyAlignment="1" applyProtection="1">
      <alignment horizontal="center"/>
    </xf>
    <xf numFmtId="0" fontId="17" fillId="4" borderId="44" xfId="0" applyFont="1" applyFill="1" applyBorder="1" applyAlignment="1" applyProtection="1">
      <alignment horizontal="center" vertical="center" wrapText="1"/>
    </xf>
    <xf numFmtId="0" fontId="13" fillId="4" borderId="44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7" fillId="13" borderId="44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0" fontId="13" fillId="4" borderId="44" xfId="0" applyFont="1" applyFill="1" applyBorder="1" applyAlignment="1" applyProtection="1">
      <alignment horizontal="left"/>
    </xf>
    <xf numFmtId="9" fontId="10" fillId="19" borderId="44" xfId="0" applyNumberFormat="1" applyFont="1" applyFill="1" applyBorder="1" applyAlignment="1" applyProtection="1">
      <alignment horizontal="center"/>
    </xf>
    <xf numFmtId="172" fontId="13" fillId="0" borderId="44" xfId="0" applyNumberFormat="1" applyFont="1" applyFill="1" applyBorder="1" applyAlignment="1" applyProtection="1">
      <alignment horizontal="right" indent="1"/>
    </xf>
    <xf numFmtId="9" fontId="10" fillId="17" borderId="0" xfId="0" applyNumberFormat="1" applyFont="1" applyFill="1" applyBorder="1" applyAlignment="1" applyProtection="1">
      <alignment horizontal="center"/>
    </xf>
    <xf numFmtId="9" fontId="10" fillId="19" borderId="0" xfId="0" applyNumberFormat="1" applyFont="1" applyFill="1" applyBorder="1" applyAlignment="1" applyProtection="1">
      <alignment horizontal="center"/>
    </xf>
    <xf numFmtId="0" fontId="18" fillId="9" borderId="44" xfId="0" applyFont="1" applyFill="1" applyBorder="1" applyAlignment="1" applyProtection="1">
      <alignment horizontal="center"/>
    </xf>
    <xf numFmtId="2" fontId="13" fillId="4" borderId="44" xfId="0" applyNumberFormat="1" applyFont="1" applyFill="1" applyBorder="1" applyAlignment="1" applyProtection="1">
      <alignment horizontal="left"/>
    </xf>
    <xf numFmtId="170" fontId="13" fillId="4" borderId="44" xfId="0" applyNumberFormat="1" applyFont="1" applyFill="1" applyBorder="1" applyProtection="1"/>
    <xf numFmtId="1" fontId="2" fillId="4" borderId="41" xfId="1" applyNumberFormat="1" applyFont="1" applyFill="1" applyBorder="1" applyAlignment="1" applyProtection="1">
      <alignment horizontal="center"/>
      <protection locked="0"/>
    </xf>
    <xf numFmtId="1" fontId="2" fillId="4" borderId="44" xfId="1" applyNumberFormat="1" applyFont="1" applyFill="1" applyBorder="1" applyAlignment="1" applyProtection="1">
      <alignment horizontal="center"/>
      <protection locked="0"/>
    </xf>
    <xf numFmtId="1" fontId="2" fillId="4" borderId="47" xfId="1" applyNumberFormat="1" applyFont="1" applyFill="1" applyBorder="1" applyAlignment="1" applyProtection="1">
      <alignment horizontal="center"/>
      <protection locked="0"/>
    </xf>
    <xf numFmtId="9" fontId="2" fillId="4" borderId="41" xfId="1" applyFont="1" applyFill="1" applyBorder="1" applyAlignment="1" applyProtection="1">
      <alignment horizontal="center"/>
      <protection locked="0"/>
    </xf>
    <xf numFmtId="9" fontId="2" fillId="4" borderId="44" xfId="1" applyFont="1" applyFill="1" applyBorder="1" applyAlignment="1" applyProtection="1">
      <alignment horizontal="center"/>
      <protection locked="0"/>
    </xf>
    <xf numFmtId="9" fontId="2" fillId="4" borderId="47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11" borderId="44" xfId="0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4" borderId="43" xfId="0" applyFont="1" applyFill="1" applyBorder="1" applyAlignment="1" applyProtection="1">
      <alignment horizontal="center"/>
      <protection locked="0"/>
    </xf>
    <xf numFmtId="173" fontId="13" fillId="4" borderId="44" xfId="1" applyNumberFormat="1" applyFont="1" applyFill="1" applyBorder="1" applyAlignment="1" applyProtection="1">
      <alignment horizontal="center"/>
      <protection locked="0"/>
    </xf>
    <xf numFmtId="0" fontId="13" fillId="4" borderId="44" xfId="0" applyFont="1" applyFill="1" applyBorder="1" applyAlignment="1">
      <alignment horizontal="center"/>
    </xf>
    <xf numFmtId="2" fontId="2" fillId="4" borderId="40" xfId="1" applyNumberFormat="1" applyFont="1" applyFill="1" applyBorder="1" applyAlignment="1" applyProtection="1">
      <alignment horizontal="center"/>
      <protection locked="0"/>
    </xf>
    <xf numFmtId="2" fontId="2" fillId="4" borderId="43" xfId="1" applyNumberFormat="1" applyFont="1" applyFill="1" applyBorder="1" applyAlignment="1" applyProtection="1">
      <alignment horizontal="center"/>
      <protection locked="0"/>
    </xf>
    <xf numFmtId="2" fontId="2" fillId="4" borderId="46" xfId="1" applyNumberFormat="1" applyFont="1" applyFill="1" applyBorder="1" applyAlignment="1" applyProtection="1">
      <alignment horizontal="center"/>
      <protection locked="0"/>
    </xf>
    <xf numFmtId="2" fontId="2" fillId="7" borderId="41" xfId="1" applyNumberFormat="1" applyFont="1" applyFill="1" applyBorder="1" applyAlignment="1" applyProtection="1">
      <alignment horizontal="center"/>
    </xf>
    <xf numFmtId="2" fontId="2" fillId="7" borderId="44" xfId="1" applyNumberFormat="1" applyFont="1" applyFill="1" applyBorder="1" applyAlignment="1" applyProtection="1">
      <alignment horizontal="center"/>
    </xf>
    <xf numFmtId="10" fontId="2" fillId="4" borderId="41" xfId="1" applyNumberFormat="1" applyFont="1" applyFill="1" applyBorder="1" applyAlignment="1" applyProtection="1">
      <alignment horizontal="center"/>
      <protection locked="0"/>
    </xf>
    <xf numFmtId="10" fontId="2" fillId="7" borderId="41" xfId="1" applyNumberFormat="1" applyFont="1" applyFill="1" applyBorder="1" applyAlignment="1" applyProtection="1">
      <alignment horizontal="center"/>
    </xf>
    <xf numFmtId="10" fontId="2" fillId="4" borderId="44" xfId="1" applyNumberFormat="1" applyFont="1" applyFill="1" applyBorder="1" applyAlignment="1" applyProtection="1">
      <alignment horizontal="center"/>
      <protection locked="0"/>
    </xf>
    <xf numFmtId="10" fontId="2" fillId="7" borderId="44" xfId="1" applyNumberFormat="1" applyFont="1" applyFill="1" applyBorder="1" applyAlignment="1" applyProtection="1">
      <alignment horizontal="center"/>
    </xf>
    <xf numFmtId="10" fontId="2" fillId="4" borderId="47" xfId="1" applyNumberFormat="1" applyFont="1" applyFill="1" applyBorder="1" applyAlignment="1" applyProtection="1">
      <alignment horizontal="center"/>
      <protection locked="0"/>
    </xf>
    <xf numFmtId="0" fontId="25" fillId="20" borderId="0" xfId="0" applyFont="1" applyFill="1" applyProtection="1"/>
    <xf numFmtId="166" fontId="22" fillId="22" borderId="41" xfId="1" applyNumberFormat="1" applyFont="1" applyFill="1" applyBorder="1" applyAlignment="1" applyProtection="1">
      <alignment horizontal="center"/>
    </xf>
    <xf numFmtId="166" fontId="22" fillId="22" borderId="44" xfId="1" applyNumberFormat="1" applyFont="1" applyFill="1" applyBorder="1" applyAlignment="1" applyProtection="1">
      <alignment horizontal="center"/>
    </xf>
    <xf numFmtId="166" fontId="22" fillId="22" borderId="47" xfId="1" applyNumberFormat="1" applyFont="1" applyFill="1" applyBorder="1" applyAlignment="1" applyProtection="1">
      <alignment horizontal="center"/>
    </xf>
    <xf numFmtId="166" fontId="22" fillId="22" borderId="42" xfId="1" applyNumberFormat="1" applyFont="1" applyFill="1" applyBorder="1" applyAlignment="1" applyProtection="1">
      <alignment horizontal="center"/>
    </xf>
    <xf numFmtId="166" fontId="22" fillId="22" borderId="45" xfId="1" applyNumberFormat="1" applyFont="1" applyFill="1" applyBorder="1" applyAlignment="1" applyProtection="1">
      <alignment horizontal="center"/>
    </xf>
    <xf numFmtId="166" fontId="22" fillId="22" borderId="48" xfId="1" applyNumberFormat="1" applyFont="1" applyFill="1" applyBorder="1" applyAlignment="1" applyProtection="1">
      <alignment horizontal="center"/>
    </xf>
    <xf numFmtId="166" fontId="22" fillId="22" borderId="42" xfId="3" applyNumberFormat="1" applyFont="1" applyFill="1" applyBorder="1" applyAlignment="1" applyProtection="1">
      <alignment horizontal="center"/>
    </xf>
    <xf numFmtId="166" fontId="22" fillId="22" borderId="45" xfId="3" applyNumberFormat="1" applyFont="1" applyFill="1" applyBorder="1" applyAlignment="1" applyProtection="1">
      <alignment horizontal="center"/>
    </xf>
    <xf numFmtId="166" fontId="22" fillId="22" borderId="48" xfId="3" applyNumberFormat="1" applyFont="1" applyFill="1" applyBorder="1" applyAlignment="1" applyProtection="1">
      <alignment horizontal="center"/>
    </xf>
    <xf numFmtId="166" fontId="22" fillId="22" borderId="49" xfId="3" applyNumberFormat="1" applyFont="1" applyFill="1" applyBorder="1" applyAlignment="1" applyProtection="1">
      <alignment horizontal="center"/>
    </xf>
    <xf numFmtId="166" fontId="22" fillId="22" borderId="50" xfId="3" applyNumberFormat="1" applyFont="1" applyFill="1" applyBorder="1" applyAlignment="1" applyProtection="1">
      <alignment horizontal="center"/>
    </xf>
    <xf numFmtId="0" fontId="22" fillId="23" borderId="0" xfId="0" applyFont="1" applyFill="1" applyProtection="1"/>
    <xf numFmtId="0" fontId="26" fillId="6" borderId="0" xfId="0" applyFont="1" applyFill="1" applyAlignment="1" applyProtection="1">
      <alignment horizontal="center" vertical="center"/>
      <protection locked="0"/>
    </xf>
    <xf numFmtId="0" fontId="18" fillId="22" borderId="44" xfId="0" applyFont="1" applyFill="1" applyBorder="1" applyAlignment="1" applyProtection="1">
      <alignment horizontal="center"/>
    </xf>
    <xf numFmtId="0" fontId="10" fillId="22" borderId="44" xfId="0" applyFont="1" applyFill="1" applyBorder="1" applyAlignment="1" applyProtection="1">
      <alignment horizontal="left" indent="1"/>
    </xf>
    <xf numFmtId="169" fontId="10" fillId="22" borderId="44" xfId="0" applyNumberFormat="1" applyFont="1" applyFill="1" applyBorder="1" applyAlignment="1" applyProtection="1">
      <alignment horizontal="right" indent="1"/>
      <protection locked="0"/>
    </xf>
    <xf numFmtId="0" fontId="10" fillId="22" borderId="44" xfId="0" applyFont="1" applyFill="1" applyBorder="1" applyAlignment="1" applyProtection="1">
      <alignment horizontal="center"/>
    </xf>
    <xf numFmtId="9" fontId="10" fillId="22" borderId="0" xfId="0" applyNumberFormat="1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/>
    </xf>
    <xf numFmtId="0" fontId="10" fillId="21" borderId="0" xfId="0" applyFont="1" applyFill="1" applyBorder="1" applyAlignment="1" applyProtection="1">
      <alignment horizontal="center"/>
    </xf>
    <xf numFmtId="168" fontId="2" fillId="7" borderId="50" xfId="1" applyNumberFormat="1" applyFont="1" applyFill="1" applyBorder="1" applyAlignment="1" applyProtection="1">
      <alignment horizontal="left" indent="1"/>
    </xf>
    <xf numFmtId="168" fontId="2" fillId="7" borderId="51" xfId="1" applyNumberFormat="1" applyFont="1" applyFill="1" applyBorder="1" applyAlignment="1" applyProtection="1">
      <alignment horizontal="left" indent="1"/>
    </xf>
    <xf numFmtId="168" fontId="2" fillId="7" borderId="55" xfId="3" applyNumberFormat="1" applyFont="1" applyFill="1" applyBorder="1" applyAlignment="1" applyProtection="1">
      <alignment horizontal="center"/>
    </xf>
    <xf numFmtId="168" fontId="2" fillId="7" borderId="69" xfId="3" applyNumberFormat="1" applyFont="1" applyFill="1" applyBorder="1" applyAlignment="1" applyProtection="1">
      <alignment horizontal="center"/>
    </xf>
    <xf numFmtId="0" fontId="22" fillId="22" borderId="70" xfId="0" applyFont="1" applyFill="1" applyBorder="1" applyAlignment="1" applyProtection="1">
      <alignment horizontal="center" vertical="center" wrapText="1"/>
    </xf>
    <xf numFmtId="168" fontId="2" fillId="7" borderId="70" xfId="1" applyNumberFormat="1" applyFont="1" applyFill="1" applyBorder="1" applyAlignment="1" applyProtection="1">
      <alignment horizontal="left" indent="1"/>
    </xf>
    <xf numFmtId="168" fontId="2" fillId="7" borderId="45" xfId="3" applyNumberFormat="1" applyFont="1" applyFill="1" applyBorder="1" applyAlignment="1" applyProtection="1">
      <alignment horizontal="center"/>
    </xf>
    <xf numFmtId="168" fontId="2" fillId="7" borderId="48" xfId="3" applyNumberFormat="1" applyFont="1" applyFill="1" applyBorder="1" applyAlignment="1" applyProtection="1">
      <alignment horizontal="center"/>
    </xf>
    <xf numFmtId="168" fontId="2" fillId="7" borderId="52" xfId="3" applyNumberFormat="1" applyFont="1" applyFill="1" applyBorder="1" applyAlignment="1" applyProtection="1">
      <alignment horizontal="center"/>
    </xf>
    <xf numFmtId="168" fontId="2" fillId="24" borderId="76" xfId="3" applyNumberFormat="1" applyFont="1" applyFill="1" applyBorder="1" applyAlignment="1" applyProtection="1">
      <alignment horizontal="center"/>
    </xf>
    <xf numFmtId="168" fontId="2" fillId="24" borderId="45" xfId="3" applyNumberFormat="1" applyFont="1" applyFill="1" applyBorder="1" applyAlignment="1" applyProtection="1">
      <alignment horizontal="center"/>
    </xf>
    <xf numFmtId="168" fontId="2" fillId="24" borderId="48" xfId="3" applyNumberFormat="1" applyFont="1" applyFill="1" applyBorder="1" applyAlignment="1" applyProtection="1">
      <alignment horizontal="center"/>
    </xf>
    <xf numFmtId="168" fontId="2" fillId="7" borderId="42" xfId="3" applyNumberFormat="1" applyFont="1" applyFill="1" applyBorder="1" applyAlignment="1" applyProtection="1">
      <alignment horizontal="center"/>
    </xf>
    <xf numFmtId="0" fontId="2" fillId="2" borderId="5" xfId="0" quotePrefix="1" applyFont="1" applyFill="1" applyBorder="1" applyAlignment="1">
      <alignment vertical="center"/>
    </xf>
    <xf numFmtId="0" fontId="17" fillId="4" borderId="44" xfId="0" applyFont="1" applyFill="1" applyBorder="1" applyAlignment="1" applyProtection="1">
      <alignment horizontal="center" vertical="center"/>
    </xf>
    <xf numFmtId="0" fontId="2" fillId="2" borderId="68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left" vertical="center"/>
    </xf>
    <xf numFmtId="0" fontId="2" fillId="0" borderId="67" xfId="0" applyFont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2" fillId="22" borderId="75" xfId="0" applyFont="1" applyFill="1" applyBorder="1" applyAlignment="1" applyProtection="1">
      <alignment horizontal="center" vertical="center" wrapText="1"/>
    </xf>
    <xf numFmtId="0" fontId="22" fillId="22" borderId="71" xfId="0" applyFont="1" applyFill="1" applyBorder="1" applyAlignment="1" applyProtection="1">
      <alignment horizontal="center" vertical="center" wrapText="1"/>
    </xf>
    <xf numFmtId="0" fontId="22" fillId="22" borderId="77" xfId="0" applyFont="1" applyFill="1" applyBorder="1" applyAlignment="1" applyProtection="1">
      <alignment horizontal="center" vertical="center" wrapText="1"/>
    </xf>
    <xf numFmtId="0" fontId="22" fillId="22" borderId="79" xfId="0" applyFont="1" applyFill="1" applyBorder="1" applyAlignment="1" applyProtection="1">
      <alignment horizontal="center" vertical="center" wrapText="1"/>
    </xf>
    <xf numFmtId="0" fontId="22" fillId="22" borderId="83" xfId="0" applyFont="1" applyFill="1" applyBorder="1" applyAlignment="1" applyProtection="1">
      <alignment horizontal="center" vertical="center" wrapText="1"/>
    </xf>
    <xf numFmtId="0" fontId="22" fillId="22" borderId="84" xfId="0" applyFont="1" applyFill="1" applyBorder="1" applyAlignment="1" applyProtection="1">
      <alignment horizontal="center" vertical="center" wrapText="1"/>
    </xf>
    <xf numFmtId="0" fontId="22" fillId="22" borderId="85" xfId="0" applyFont="1" applyFill="1" applyBorder="1" applyAlignment="1" applyProtection="1">
      <alignment horizontal="center" vertical="center" wrapText="1"/>
    </xf>
    <xf numFmtId="0" fontId="22" fillId="22" borderId="72" xfId="0" applyFont="1" applyFill="1" applyBorder="1" applyAlignment="1" applyProtection="1">
      <alignment horizontal="center" vertical="center" wrapText="1"/>
    </xf>
    <xf numFmtId="0" fontId="22" fillId="22" borderId="73" xfId="0" applyFont="1" applyFill="1" applyBorder="1" applyAlignment="1" applyProtection="1">
      <alignment horizontal="center" vertical="center" wrapText="1"/>
    </xf>
    <xf numFmtId="0" fontId="22" fillId="22" borderId="37" xfId="0" applyFont="1" applyFill="1" applyBorder="1" applyAlignment="1" applyProtection="1">
      <alignment horizontal="center" vertical="center" wrapText="1"/>
    </xf>
    <xf numFmtId="0" fontId="22" fillId="22" borderId="74" xfId="0" applyFont="1" applyFill="1" applyBorder="1" applyAlignment="1" applyProtection="1">
      <alignment horizontal="center" vertical="center" wrapText="1"/>
    </xf>
    <xf numFmtId="0" fontId="22" fillId="22" borderId="81" xfId="0" applyFont="1" applyFill="1" applyBorder="1" applyAlignment="1" applyProtection="1">
      <alignment horizontal="center" vertical="center" wrapText="1"/>
    </xf>
    <xf numFmtId="0" fontId="22" fillId="22" borderId="82" xfId="0" applyFont="1" applyFill="1" applyBorder="1" applyAlignment="1" applyProtection="1">
      <alignment horizontal="center" vertical="center" wrapText="1"/>
    </xf>
    <xf numFmtId="0" fontId="22" fillId="22" borderId="78" xfId="0" applyFont="1" applyFill="1" applyBorder="1" applyAlignment="1" applyProtection="1">
      <alignment horizontal="center" vertical="center" wrapText="1"/>
    </xf>
    <xf numFmtId="0" fontId="22" fillId="22" borderId="80" xfId="0" applyFont="1" applyFill="1" applyBorder="1" applyAlignment="1" applyProtection="1">
      <alignment horizontal="center" vertical="center" wrapText="1"/>
    </xf>
    <xf numFmtId="0" fontId="22" fillId="12" borderId="52" xfId="0" applyFont="1" applyFill="1" applyBorder="1" applyAlignment="1" applyProtection="1">
      <alignment horizontal="center" vertical="center" wrapText="1"/>
    </xf>
    <xf numFmtId="0" fontId="22" fillId="12" borderId="53" xfId="0" applyFont="1" applyFill="1" applyBorder="1" applyAlignment="1" applyProtection="1">
      <alignment horizontal="center" vertical="center" wrapText="1"/>
    </xf>
    <xf numFmtId="0" fontId="22" fillId="12" borderId="54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left" vertical="center" indent="1"/>
    </xf>
    <xf numFmtId="0" fontId="22" fillId="22" borderId="25" xfId="0" applyFont="1" applyFill="1" applyBorder="1" applyAlignment="1" applyProtection="1">
      <alignment horizontal="left" vertical="center" indent="1"/>
    </xf>
    <xf numFmtId="0" fontId="22" fillId="22" borderId="30" xfId="0" applyFont="1" applyFill="1" applyBorder="1" applyAlignment="1" applyProtection="1">
      <alignment horizontal="left" vertical="center" indent="1"/>
    </xf>
    <xf numFmtId="0" fontId="20" fillId="15" borderId="15" xfId="2" applyFont="1" applyFill="1" applyBorder="1" applyAlignment="1" applyProtection="1">
      <alignment horizontal="center" vertical="center" wrapText="1"/>
    </xf>
    <xf numFmtId="0" fontId="20" fillId="15" borderId="16" xfId="2" applyFont="1" applyFill="1" applyBorder="1" applyAlignment="1" applyProtection="1">
      <alignment horizontal="center" vertical="center" wrapText="1"/>
    </xf>
    <xf numFmtId="0" fontId="20" fillId="15" borderId="17" xfId="2" applyFont="1" applyFill="1" applyBorder="1" applyAlignment="1" applyProtection="1">
      <alignment horizontal="center" vertical="center" wrapText="1"/>
    </xf>
    <xf numFmtId="0" fontId="20" fillId="12" borderId="18" xfId="2" applyFont="1" applyFill="1" applyBorder="1" applyAlignment="1" applyProtection="1">
      <alignment horizontal="left" vertical="center" wrapText="1" indent="1"/>
    </xf>
    <xf numFmtId="0" fontId="20" fillId="12" borderId="19" xfId="2" applyFont="1" applyFill="1" applyBorder="1" applyAlignment="1" applyProtection="1">
      <alignment horizontal="left" vertical="center" wrapText="1" indent="1"/>
    </xf>
    <xf numFmtId="0" fontId="2" fillId="4" borderId="19" xfId="0" applyFont="1" applyFill="1" applyBorder="1" applyAlignment="1" applyProtection="1">
      <alignment horizontal="left" vertical="center" wrapText="1" indent="1"/>
    </xf>
    <xf numFmtId="0" fontId="2" fillId="4" borderId="20" xfId="0" applyFont="1" applyFill="1" applyBorder="1" applyAlignment="1" applyProtection="1">
      <alignment horizontal="left" vertical="center" wrapText="1" indent="1"/>
    </xf>
    <xf numFmtId="0" fontId="20" fillId="12" borderId="55" xfId="0" applyFont="1" applyFill="1" applyBorder="1" applyAlignment="1" applyProtection="1">
      <alignment horizontal="left" vertical="center" wrapText="1" indent="1"/>
    </xf>
    <xf numFmtId="0" fontId="20" fillId="12" borderId="44" xfId="0" applyFont="1" applyFill="1" applyBorder="1" applyAlignment="1" applyProtection="1">
      <alignment horizontal="left" vertical="center" wrapText="1" indent="1"/>
    </xf>
    <xf numFmtId="0" fontId="2" fillId="4" borderId="44" xfId="0" applyFont="1" applyFill="1" applyBorder="1" applyAlignment="1" applyProtection="1">
      <alignment horizontal="left" vertical="center" wrapText="1" indent="1"/>
    </xf>
    <xf numFmtId="0" fontId="2" fillId="4" borderId="56" xfId="0" applyFont="1" applyFill="1" applyBorder="1" applyAlignment="1" applyProtection="1">
      <alignment horizontal="left" vertical="center" wrapText="1" indent="1"/>
    </xf>
    <xf numFmtId="0" fontId="22" fillId="22" borderId="27" xfId="0" applyFont="1" applyFill="1" applyBorder="1" applyAlignment="1" applyProtection="1">
      <alignment horizontal="center" vertical="center"/>
    </xf>
    <xf numFmtId="0" fontId="22" fillId="22" borderId="23" xfId="0" applyFont="1" applyFill="1" applyBorder="1" applyAlignment="1" applyProtection="1">
      <alignment horizontal="center" vertical="center"/>
    </xf>
    <xf numFmtId="0" fontId="22" fillId="22" borderId="31" xfId="0" applyFont="1" applyFill="1" applyBorder="1" applyAlignment="1" applyProtection="1">
      <alignment horizontal="center" vertical="center"/>
    </xf>
    <xf numFmtId="0" fontId="22" fillId="22" borderId="27" xfId="0" applyFont="1" applyFill="1" applyBorder="1" applyAlignment="1" applyProtection="1">
      <alignment horizontal="center" vertical="center" wrapText="1"/>
    </xf>
    <xf numFmtId="0" fontId="22" fillId="22" borderId="23" xfId="0" applyFont="1" applyFill="1" applyBorder="1" applyAlignment="1" applyProtection="1">
      <alignment horizontal="center" vertical="center" wrapText="1"/>
    </xf>
    <xf numFmtId="0" fontId="22" fillId="22" borderId="31" xfId="0" applyFont="1" applyFill="1" applyBorder="1" applyAlignment="1" applyProtection="1">
      <alignment horizontal="center" vertical="center" wrapText="1"/>
    </xf>
    <xf numFmtId="0" fontId="22" fillId="22" borderId="28" xfId="0" applyFont="1" applyFill="1" applyBorder="1" applyAlignment="1" applyProtection="1">
      <alignment horizontal="center" vertical="center"/>
    </xf>
    <xf numFmtId="0" fontId="22" fillId="22" borderId="29" xfId="0" applyFont="1" applyFill="1" applyBorder="1" applyAlignment="1" applyProtection="1">
      <alignment horizontal="center" vertical="center"/>
    </xf>
    <xf numFmtId="0" fontId="22" fillId="22" borderId="32" xfId="0" applyFont="1" applyFill="1" applyBorder="1" applyAlignment="1" applyProtection="1">
      <alignment horizontal="center" vertical="center"/>
    </xf>
    <xf numFmtId="0" fontId="2" fillId="4" borderId="36" xfId="0" applyFont="1" applyFill="1" applyBorder="1" applyAlignment="1" applyProtection="1">
      <alignment horizontal="center" vertical="center" wrapText="1"/>
    </xf>
    <xf numFmtId="0" fontId="2" fillId="4" borderId="35" xfId="0" applyFont="1" applyFill="1" applyBorder="1" applyAlignment="1" applyProtection="1">
      <alignment horizontal="center" vertical="center" wrapText="1"/>
    </xf>
    <xf numFmtId="0" fontId="2" fillId="4" borderId="25" xfId="0" applyFont="1" applyFill="1" applyBorder="1" applyAlignment="1" applyProtection="1">
      <alignment horizontal="center" vertical="center" wrapText="1"/>
    </xf>
    <xf numFmtId="0" fontId="2" fillId="4" borderId="30" xfId="0" applyFont="1" applyFill="1" applyBorder="1" applyAlignment="1" applyProtection="1">
      <alignment horizontal="center" vertical="center" wrapText="1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31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left" vertical="center" wrapText="1" indent="1"/>
    </xf>
    <xf numFmtId="0" fontId="20" fillId="12" borderId="58" xfId="0" applyFont="1" applyFill="1" applyBorder="1" applyAlignment="1" applyProtection="1">
      <alignment horizontal="left" vertical="center" wrapText="1" indent="1"/>
    </xf>
    <xf numFmtId="0" fontId="2" fillId="0" borderId="58" xfId="0" applyFont="1" applyBorder="1" applyAlignment="1" applyProtection="1">
      <alignment horizontal="left" indent="1"/>
    </xf>
    <xf numFmtId="0" fontId="2" fillId="0" borderId="59" xfId="0" applyFont="1" applyBorder="1" applyAlignment="1" applyProtection="1">
      <alignment horizontal="left" indent="1"/>
    </xf>
    <xf numFmtId="0" fontId="22" fillId="22" borderId="33" xfId="0" applyFont="1" applyFill="1" applyBorder="1" applyAlignment="1" applyProtection="1">
      <alignment horizontal="center" vertical="center" wrapText="1"/>
    </xf>
    <xf numFmtId="0" fontId="22" fillId="22" borderId="21" xfId="0" applyFont="1" applyFill="1" applyBorder="1" applyAlignment="1" applyProtection="1">
      <alignment horizontal="center" vertical="center" wrapText="1"/>
    </xf>
    <xf numFmtId="0" fontId="22" fillId="22" borderId="22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56" xfId="0" applyFont="1" applyFill="1" applyBorder="1" applyAlignment="1" applyProtection="1">
      <alignment horizontal="center" vertical="center" wrapText="1"/>
    </xf>
    <xf numFmtId="0" fontId="22" fillId="22" borderId="0" xfId="0" applyFont="1" applyFill="1" applyBorder="1" applyAlignment="1" applyProtection="1">
      <alignment horizontal="center" vertical="center" wrapText="1"/>
    </xf>
    <xf numFmtId="0" fontId="22" fillId="22" borderId="38" xfId="0" applyFont="1" applyFill="1" applyBorder="1" applyAlignment="1" applyProtection="1">
      <alignment horizontal="center" vertical="center" wrapText="1"/>
    </xf>
    <xf numFmtId="0" fontId="22" fillId="22" borderId="24" xfId="0" applyFont="1" applyFill="1" applyBorder="1" applyAlignment="1" applyProtection="1">
      <alignment horizontal="center" vertical="center" wrapText="1"/>
    </xf>
    <xf numFmtId="0" fontId="22" fillId="22" borderId="39" xfId="0" applyFont="1" applyFill="1" applyBorder="1" applyAlignment="1" applyProtection="1">
      <alignment horizontal="center" vertical="center" wrapText="1"/>
    </xf>
    <xf numFmtId="0" fontId="22" fillId="22" borderId="42" xfId="0" applyFont="1" applyFill="1" applyBorder="1" applyAlignment="1" applyProtection="1">
      <alignment horizontal="center" vertical="center" wrapText="1"/>
    </xf>
    <xf numFmtId="0" fontId="22" fillId="22" borderId="45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center" vertical="center"/>
    </xf>
    <xf numFmtId="0" fontId="22" fillId="22" borderId="34" xfId="0" applyFont="1" applyFill="1" applyBorder="1" applyAlignment="1" applyProtection="1">
      <alignment horizontal="center" vertical="center"/>
    </xf>
    <xf numFmtId="0" fontId="22" fillId="22" borderId="28" xfId="0" applyFont="1" applyFill="1" applyBorder="1" applyAlignment="1" applyProtection="1">
      <alignment horizontal="center" vertical="center" wrapText="1"/>
    </xf>
    <xf numFmtId="0" fontId="22" fillId="22" borderId="29" xfId="0" applyFont="1" applyFill="1" applyBorder="1" applyAlignment="1" applyProtection="1">
      <alignment horizontal="center" vertical="center" wrapText="1"/>
    </xf>
    <xf numFmtId="0" fontId="22" fillId="22" borderId="32" xfId="0" applyFont="1" applyFill="1" applyBorder="1" applyAlignment="1" applyProtection="1">
      <alignment horizontal="center" vertical="center" wrapText="1"/>
    </xf>
    <xf numFmtId="0" fontId="22" fillId="22" borderId="40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 wrapText="1"/>
    </xf>
    <xf numFmtId="0" fontId="22" fillId="22" borderId="44" xfId="0" applyFont="1" applyFill="1" applyBorder="1" applyAlignment="1" applyProtection="1">
      <alignment horizontal="center" vertical="center" wrapText="1"/>
    </xf>
    <xf numFmtId="0" fontId="2" fillId="4" borderId="58" xfId="0" applyFont="1" applyFill="1" applyBorder="1" applyAlignment="1" applyProtection="1">
      <alignment horizontal="center" vertical="center" wrapText="1"/>
    </xf>
    <xf numFmtId="0" fontId="2" fillId="4" borderId="59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5" xfId="0" applyFont="1" applyFill="1" applyBorder="1" applyAlignment="1" applyProtection="1">
      <alignment horizontal="center"/>
      <protection locked="0"/>
    </xf>
    <xf numFmtId="0" fontId="25" fillId="6" borderId="56" xfId="0" applyFont="1" applyFill="1" applyBorder="1" applyAlignment="1" applyProtection="1">
      <alignment horizontal="center" vertical="center"/>
    </xf>
    <xf numFmtId="0" fontId="25" fillId="6" borderId="60" xfId="0" applyFont="1" applyFill="1" applyBorder="1" applyAlignment="1" applyProtection="1">
      <alignment horizontal="center" vertical="center"/>
    </xf>
    <xf numFmtId="0" fontId="25" fillId="6" borderId="55" xfId="0" applyFont="1" applyFill="1" applyBorder="1" applyAlignment="1" applyProtection="1">
      <alignment horizontal="center" vertical="center"/>
    </xf>
    <xf numFmtId="0" fontId="25" fillId="6" borderId="59" xfId="0" applyFont="1" applyFill="1" applyBorder="1" applyAlignment="1" applyProtection="1">
      <alignment horizontal="center" vertical="center"/>
    </xf>
    <xf numFmtId="0" fontId="25" fillId="6" borderId="61" xfId="0" applyFont="1" applyFill="1" applyBorder="1" applyAlignment="1" applyProtection="1">
      <alignment horizontal="center" vertical="center"/>
    </xf>
    <xf numFmtId="0" fontId="25" fillId="6" borderId="57" xfId="0" applyFont="1" applyFill="1" applyBorder="1" applyAlignment="1" applyProtection="1">
      <alignment horizontal="center" vertical="center"/>
    </xf>
    <xf numFmtId="0" fontId="25" fillId="6" borderId="62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63" xfId="0" applyFont="1" applyFill="1" applyBorder="1" applyAlignment="1" applyProtection="1">
      <alignment horizontal="center" vertical="center"/>
    </xf>
    <xf numFmtId="0" fontId="25" fillId="6" borderId="54" xfId="0" applyFont="1" applyFill="1" applyBorder="1" applyAlignment="1" applyProtection="1">
      <alignment horizontal="center" vertical="center"/>
    </xf>
    <xf numFmtId="0" fontId="25" fillId="6" borderId="64" xfId="0" applyFont="1" applyFill="1" applyBorder="1" applyAlignment="1" applyProtection="1">
      <alignment horizontal="center" vertical="center"/>
    </xf>
    <xf numFmtId="0" fontId="25" fillId="6" borderId="52" xfId="0" applyFont="1" applyFill="1" applyBorder="1" applyAlignment="1" applyProtection="1">
      <alignment horizontal="center" vertical="center"/>
    </xf>
    <xf numFmtId="0" fontId="22" fillId="14" borderId="56" xfId="0" applyFont="1" applyFill="1" applyBorder="1" applyAlignment="1" applyProtection="1">
      <alignment horizontal="center" vertical="center"/>
    </xf>
    <xf numFmtId="0" fontId="22" fillId="14" borderId="60" xfId="0" applyFont="1" applyFill="1" applyBorder="1" applyAlignment="1" applyProtection="1">
      <alignment horizontal="center" vertical="center"/>
    </xf>
    <xf numFmtId="0" fontId="22" fillId="14" borderId="55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40" xfId="0" applyFont="1" applyFill="1" applyBorder="1" applyAlignment="1" applyProtection="1">
      <alignment horizontal="center"/>
      <protection locked="0"/>
    </xf>
    <xf numFmtId="0" fontId="2" fillId="4" borderId="42" xfId="0" applyFont="1" applyFill="1" applyBorder="1" applyAlignment="1" applyProtection="1">
      <alignment horizontal="center"/>
      <protection locked="0"/>
    </xf>
    <xf numFmtId="0" fontId="2" fillId="0" borderId="23" xfId="0" applyFont="1" applyFill="1" applyBorder="1" applyAlignment="1" applyProtection="1">
      <alignment horizontal="center" vertical="center" wrapText="1"/>
    </xf>
    <xf numFmtId="0" fontId="2" fillId="0" borderId="31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4" borderId="48" xfId="0" applyFont="1" applyFill="1" applyBorder="1" applyAlignment="1" applyProtection="1">
      <alignment horizontal="center"/>
      <protection locked="0"/>
    </xf>
    <xf numFmtId="0" fontId="13" fillId="4" borderId="56" xfId="0" applyFont="1" applyFill="1" applyBorder="1" applyAlignment="1" applyProtection="1">
      <alignment horizontal="center"/>
      <protection locked="0"/>
    </xf>
    <xf numFmtId="0" fontId="13" fillId="4" borderId="55" xfId="0" applyFont="1" applyFill="1" applyBorder="1" applyAlignment="1" applyProtection="1">
      <alignment horizontal="center"/>
      <protection locked="0"/>
    </xf>
    <xf numFmtId="0" fontId="18" fillId="22" borderId="0" xfId="0" applyFont="1" applyFill="1" applyBorder="1" applyAlignment="1" applyProtection="1">
      <alignment horizontal="center" vertical="center"/>
    </xf>
    <xf numFmtId="0" fontId="18" fillId="8" borderId="0" xfId="0" applyFont="1" applyFill="1" applyBorder="1" applyAlignment="1" applyProtection="1">
      <alignment horizontal="center" vertical="center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0" fontId="18" fillId="16" borderId="0" xfId="0" applyFont="1" applyFill="1" applyBorder="1" applyAlignment="1" applyProtection="1">
      <alignment horizontal="center" vertical="center"/>
    </xf>
    <xf numFmtId="0" fontId="18" fillId="18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8" fillId="9" borderId="56" xfId="0" applyFont="1" applyFill="1" applyBorder="1" applyAlignment="1" applyProtection="1">
      <alignment horizontal="center"/>
    </xf>
    <xf numFmtId="0" fontId="18" fillId="9" borderId="55" xfId="0" applyFont="1" applyFill="1" applyBorder="1" applyAlignment="1" applyProtection="1">
      <alignment horizontal="center"/>
    </xf>
    <xf numFmtId="0" fontId="18" fillId="17" borderId="0" xfId="0" applyFont="1" applyFill="1" applyBorder="1" applyAlignment="1" applyProtection="1">
      <alignment horizontal="center" vertical="center"/>
    </xf>
    <xf numFmtId="0" fontId="10" fillId="10" borderId="0" xfId="0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 vertical="center"/>
    </xf>
    <xf numFmtId="0" fontId="10" fillId="22" borderId="0" xfId="0" applyFont="1" applyFill="1" applyBorder="1" applyAlignment="1" applyProtection="1">
      <alignment horizontal="center" vertical="center"/>
    </xf>
    <xf numFmtId="0" fontId="17" fillId="13" borderId="56" xfId="0" applyFont="1" applyFill="1" applyBorder="1" applyAlignment="1" applyProtection="1">
      <alignment horizontal="center" vertical="center" wrapText="1"/>
    </xf>
    <xf numFmtId="0" fontId="17" fillId="13" borderId="55" xfId="0" applyFont="1" applyFill="1" applyBorder="1" applyAlignment="1" applyProtection="1">
      <alignment horizontal="center" vertical="center" wrapText="1"/>
    </xf>
    <xf numFmtId="0" fontId="10" fillId="16" borderId="56" xfId="0" applyFont="1" applyFill="1" applyBorder="1" applyAlignment="1" applyProtection="1">
      <alignment horizontal="center" vertical="center"/>
    </xf>
    <xf numFmtId="0" fontId="10" fillId="16" borderId="55" xfId="0" applyFont="1" applyFill="1" applyBorder="1" applyAlignment="1" applyProtection="1">
      <alignment horizontal="center" vertical="center"/>
    </xf>
    <xf numFmtId="0" fontId="10" fillId="17" borderId="56" xfId="0" applyFont="1" applyFill="1" applyBorder="1" applyAlignment="1" applyProtection="1">
      <alignment horizontal="center" vertical="center"/>
    </xf>
    <xf numFmtId="0" fontId="10" fillId="17" borderId="55" xfId="0" applyFont="1" applyFill="1" applyBorder="1" applyAlignment="1" applyProtection="1">
      <alignment horizontal="center" vertical="center"/>
    </xf>
    <xf numFmtId="0" fontId="10" fillId="18" borderId="56" xfId="0" applyFont="1" applyFill="1" applyBorder="1" applyAlignment="1" applyProtection="1">
      <alignment horizontal="center" vertical="center"/>
    </xf>
    <xf numFmtId="0" fontId="10" fillId="18" borderId="55" xfId="0" applyFont="1" applyFill="1" applyBorder="1" applyAlignment="1" applyProtection="1">
      <alignment horizontal="center" vertical="center"/>
    </xf>
    <xf numFmtId="0" fontId="10" fillId="19" borderId="56" xfId="0" applyFont="1" applyFill="1" applyBorder="1" applyAlignment="1" applyProtection="1">
      <alignment horizontal="center" vertical="center"/>
    </xf>
    <xf numFmtId="0" fontId="10" fillId="19" borderId="55" xfId="0" applyFont="1" applyFill="1" applyBorder="1" applyAlignment="1" applyProtection="1">
      <alignment horizontal="center" vertical="center"/>
    </xf>
    <xf numFmtId="0" fontId="18" fillId="19" borderId="0" xfId="0" applyFont="1" applyFill="1" applyBorder="1" applyAlignment="1" applyProtection="1">
      <alignment horizontal="center" vertical="center"/>
    </xf>
    <xf numFmtId="0" fontId="13" fillId="4" borderId="0" xfId="0" applyFont="1" applyFill="1" applyAlignment="1" applyProtection="1">
      <alignment horizontal="center"/>
      <protection locked="0"/>
    </xf>
    <xf numFmtId="0" fontId="13" fillId="4" borderId="44" xfId="0" applyFont="1" applyFill="1" applyBorder="1" applyAlignment="1" applyProtection="1">
      <alignment horizontal="center" vertical="center"/>
    </xf>
    <xf numFmtId="0" fontId="13" fillId="0" borderId="44" xfId="0" applyFont="1" applyFill="1" applyBorder="1" applyAlignment="1" applyProtection="1">
      <alignment horizontal="left" vertical="center" indent="1"/>
    </xf>
    <xf numFmtId="0" fontId="13" fillId="0" borderId="44" xfId="0" applyFont="1" applyFill="1" applyBorder="1" applyAlignment="1" applyProtection="1">
      <alignment horizontal="center" vertical="center" wrapText="1"/>
    </xf>
    <xf numFmtId="0" fontId="18" fillId="22" borderId="44" xfId="0" applyFont="1" applyFill="1" applyBorder="1" applyAlignment="1" applyProtection="1">
      <alignment horizontal="center"/>
    </xf>
    <xf numFmtId="0" fontId="10" fillId="22" borderId="44" xfId="0" applyFont="1" applyFill="1" applyBorder="1" applyAlignment="1" applyProtection="1">
      <alignment horizontal="center"/>
    </xf>
    <xf numFmtId="0" fontId="10" fillId="22" borderId="0" xfId="0" applyFont="1" applyFill="1" applyBorder="1" applyAlignment="1" applyProtection="1">
      <alignment horizontal="center"/>
    </xf>
    <xf numFmtId="0" fontId="10" fillId="21" borderId="56" xfId="0" applyFont="1" applyFill="1" applyBorder="1" applyAlignment="1" applyProtection="1">
      <alignment horizontal="center" vertical="center"/>
      <protection locked="0"/>
    </xf>
    <xf numFmtId="0" fontId="10" fillId="21" borderId="55" xfId="0" applyFont="1" applyFill="1" applyBorder="1" applyAlignment="1" applyProtection="1">
      <alignment horizontal="center" vertical="center"/>
      <protection locked="0"/>
    </xf>
  </cellXfs>
  <cellStyles count="13">
    <cellStyle name="Accent6" xfId="2" builtinId="49"/>
    <cellStyle name="Euro" xfId="4"/>
    <cellStyle name="Milliers 2" xfId="3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46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zoomScaleNormal="100" workbookViewId="0">
      <selection activeCell="I26" sqref="I26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201" t="s">
        <v>17</v>
      </c>
      <c r="B5" s="201"/>
      <c r="C5" s="201"/>
      <c r="D5" s="201"/>
      <c r="E5" s="201"/>
      <c r="F5" s="201"/>
    </row>
    <row r="6" spans="1:6" ht="5.25" customHeight="1" thickBot="1" x14ac:dyDescent="0.25"/>
    <row r="7" spans="1:6" ht="14.25" x14ac:dyDescent="0.2">
      <c r="A7" s="202" t="s">
        <v>0</v>
      </c>
      <c r="B7" s="203"/>
      <c r="C7" s="203"/>
      <c r="D7" s="203"/>
      <c r="E7" s="203"/>
      <c r="F7" s="204"/>
    </row>
    <row r="8" spans="1:6" x14ac:dyDescent="0.2">
      <c r="A8" s="2" t="s">
        <v>1</v>
      </c>
      <c r="B8" s="205" t="s">
        <v>153</v>
      </c>
      <c r="C8" s="205"/>
      <c r="D8" s="205"/>
      <c r="E8" s="205"/>
      <c r="F8" s="206"/>
    </row>
    <row r="9" spans="1:6" x14ac:dyDescent="0.2">
      <c r="A9" s="2" t="s">
        <v>2</v>
      </c>
      <c r="B9" s="205" t="s">
        <v>89</v>
      </c>
      <c r="C9" s="205"/>
      <c r="D9" s="205"/>
      <c r="E9" s="205"/>
      <c r="F9" s="206"/>
    </row>
    <row r="10" spans="1:6" x14ac:dyDescent="0.2">
      <c r="A10" s="2" t="s">
        <v>3</v>
      </c>
      <c r="B10" s="205" t="s">
        <v>90</v>
      </c>
      <c r="C10" s="205"/>
      <c r="D10" s="205"/>
      <c r="E10" s="205"/>
      <c r="F10" s="206"/>
    </row>
    <row r="11" spans="1:6" x14ac:dyDescent="0.2">
      <c r="A11" s="2" t="s">
        <v>4</v>
      </c>
      <c r="B11" s="205" t="s">
        <v>91</v>
      </c>
      <c r="C11" s="205"/>
      <c r="D11" s="205"/>
      <c r="E11" s="205"/>
      <c r="F11" s="206"/>
    </row>
    <row r="12" spans="1:6" x14ac:dyDescent="0.2">
      <c r="A12" s="35" t="s">
        <v>5</v>
      </c>
      <c r="B12" s="207" t="s">
        <v>93</v>
      </c>
      <c r="C12" s="207"/>
      <c r="D12" s="207"/>
      <c r="E12" s="207"/>
      <c r="F12" s="208"/>
    </row>
    <row r="13" spans="1:6" ht="13.5" thickBot="1" x14ac:dyDescent="0.25">
      <c r="A13" s="3" t="s">
        <v>6</v>
      </c>
      <c r="B13" s="209" t="s">
        <v>92</v>
      </c>
      <c r="C13" s="209"/>
      <c r="D13" s="209"/>
      <c r="E13" s="209"/>
      <c r="F13" s="210"/>
    </row>
    <row r="15" spans="1:6" ht="13.5" thickBot="1" x14ac:dyDescent="0.25"/>
    <row r="16" spans="1:6" ht="30.75" customHeight="1" x14ac:dyDescent="0.2">
      <c r="A16" s="211" t="s">
        <v>7</v>
      </c>
      <c r="B16" s="212"/>
      <c r="C16" s="213" t="s">
        <v>8</v>
      </c>
      <c r="D16" s="214"/>
      <c r="E16" s="213" t="s">
        <v>9</v>
      </c>
      <c r="F16" s="215"/>
    </row>
    <row r="17" spans="1:6" x14ac:dyDescent="0.2">
      <c r="A17" s="199" t="s">
        <v>22</v>
      </c>
      <c r="B17" s="200"/>
      <c r="C17" s="197" t="s">
        <v>95</v>
      </c>
      <c r="D17" s="198"/>
      <c r="E17" s="195" t="s">
        <v>107</v>
      </c>
      <c r="F17" s="196"/>
    </row>
    <row r="18" spans="1:6" x14ac:dyDescent="0.2">
      <c r="A18" s="199" t="s">
        <v>23</v>
      </c>
      <c r="B18" s="200"/>
      <c r="C18" s="197" t="s">
        <v>96</v>
      </c>
      <c r="D18" s="198"/>
      <c r="E18" s="195" t="s">
        <v>107</v>
      </c>
      <c r="F18" s="196"/>
    </row>
    <row r="19" spans="1:6" x14ac:dyDescent="0.2">
      <c r="A19" s="199" t="s">
        <v>21</v>
      </c>
      <c r="B19" s="200"/>
      <c r="C19" s="197" t="s">
        <v>111</v>
      </c>
      <c r="D19" s="198"/>
      <c r="E19" s="195" t="s">
        <v>112</v>
      </c>
      <c r="F19" s="196"/>
    </row>
    <row r="20" spans="1:6" x14ac:dyDescent="0.2">
      <c r="A20" s="199" t="s">
        <v>25</v>
      </c>
      <c r="B20" s="200"/>
      <c r="C20" s="197" t="s">
        <v>113</v>
      </c>
      <c r="D20" s="198"/>
      <c r="E20" s="195" t="s">
        <v>107</v>
      </c>
      <c r="F20" s="196"/>
    </row>
    <row r="21" spans="1:6" x14ac:dyDescent="0.2">
      <c r="A21" s="199" t="s">
        <v>26</v>
      </c>
      <c r="B21" s="200"/>
      <c r="C21" s="197" t="s">
        <v>97</v>
      </c>
      <c r="D21" s="198"/>
      <c r="E21" s="195" t="s">
        <v>108</v>
      </c>
      <c r="F21" s="196"/>
    </row>
    <row r="22" spans="1:6" x14ac:dyDescent="0.2">
      <c r="A22" s="199" t="s">
        <v>40</v>
      </c>
      <c r="B22" s="200"/>
      <c r="C22" s="197" t="s">
        <v>98</v>
      </c>
      <c r="D22" s="198"/>
      <c r="E22" s="195" t="s">
        <v>109</v>
      </c>
      <c r="F22" s="196"/>
    </row>
    <row r="23" spans="1:6" x14ac:dyDescent="0.2">
      <c r="A23" s="199" t="s">
        <v>41</v>
      </c>
      <c r="B23" s="200"/>
      <c r="C23" s="197" t="s">
        <v>99</v>
      </c>
      <c r="D23" s="198"/>
      <c r="E23" s="195" t="s">
        <v>109</v>
      </c>
      <c r="F23" s="196"/>
    </row>
    <row r="24" spans="1:6" x14ac:dyDescent="0.2">
      <c r="A24" s="199" t="s">
        <v>42</v>
      </c>
      <c r="B24" s="200"/>
      <c r="C24" s="197" t="s">
        <v>100</v>
      </c>
      <c r="D24" s="198"/>
      <c r="E24" s="195" t="s">
        <v>109</v>
      </c>
      <c r="F24" s="196"/>
    </row>
    <row r="25" spans="1:6" x14ac:dyDescent="0.2">
      <c r="A25" s="199" t="s">
        <v>86</v>
      </c>
      <c r="B25" s="200"/>
      <c r="C25" s="197" t="s">
        <v>114</v>
      </c>
      <c r="D25" s="198"/>
      <c r="E25" s="195" t="s">
        <v>109</v>
      </c>
      <c r="F25" s="196"/>
    </row>
    <row r="26" spans="1:6" x14ac:dyDescent="0.2">
      <c r="A26" s="199" t="s">
        <v>44</v>
      </c>
      <c r="B26" s="200"/>
      <c r="C26" s="197" t="s">
        <v>101</v>
      </c>
      <c r="D26" s="198"/>
      <c r="E26" s="195" t="s">
        <v>109</v>
      </c>
      <c r="F26" s="196"/>
    </row>
    <row r="27" spans="1:6" x14ac:dyDescent="0.2">
      <c r="A27" s="199" t="s">
        <v>45</v>
      </c>
      <c r="B27" s="200"/>
      <c r="C27" s="197" t="s">
        <v>102</v>
      </c>
      <c r="D27" s="198"/>
      <c r="E27" s="195" t="s">
        <v>110</v>
      </c>
      <c r="F27" s="196"/>
    </row>
    <row r="28" spans="1:6" x14ac:dyDescent="0.2">
      <c r="A28" s="199" t="s">
        <v>46</v>
      </c>
      <c r="B28" s="200"/>
      <c r="C28" s="197" t="s">
        <v>103</v>
      </c>
      <c r="D28" s="198"/>
      <c r="E28" s="195" t="s">
        <v>108</v>
      </c>
      <c r="F28" s="196"/>
    </row>
    <row r="29" spans="1:6" x14ac:dyDescent="0.2">
      <c r="A29" s="199" t="s">
        <v>115</v>
      </c>
      <c r="B29" s="200"/>
      <c r="C29" s="197" t="s">
        <v>104</v>
      </c>
      <c r="D29" s="198"/>
      <c r="E29" s="195" t="s">
        <v>108</v>
      </c>
      <c r="F29" s="196"/>
    </row>
    <row r="30" spans="1:6" x14ac:dyDescent="0.2">
      <c r="A30" s="199" t="s">
        <v>47</v>
      </c>
      <c r="B30" s="200"/>
      <c r="C30" s="197" t="s">
        <v>105</v>
      </c>
      <c r="D30" s="198"/>
      <c r="E30" s="195" t="s">
        <v>108</v>
      </c>
      <c r="F30" s="196"/>
    </row>
    <row r="31" spans="1:6" x14ac:dyDescent="0.2">
      <c r="A31" s="199" t="s">
        <v>94</v>
      </c>
      <c r="B31" s="200"/>
      <c r="C31" s="197" t="s">
        <v>106</v>
      </c>
      <c r="D31" s="198"/>
      <c r="E31" s="195" t="s">
        <v>107</v>
      </c>
      <c r="F31" s="196"/>
    </row>
    <row r="32" spans="1:6" x14ac:dyDescent="0.2">
      <c r="A32" s="199" t="s">
        <v>133</v>
      </c>
      <c r="B32" s="200"/>
      <c r="C32" s="197" t="s">
        <v>135</v>
      </c>
      <c r="D32" s="198"/>
      <c r="E32" s="195" t="s">
        <v>107</v>
      </c>
      <c r="F32" s="196"/>
    </row>
    <row r="33" spans="1:6" x14ac:dyDescent="0.2">
      <c r="A33" s="183" t="s">
        <v>145</v>
      </c>
      <c r="B33" s="184"/>
      <c r="C33" s="197" t="s">
        <v>149</v>
      </c>
      <c r="D33" s="198"/>
      <c r="E33" s="195" t="s">
        <v>110</v>
      </c>
      <c r="F33" s="196"/>
    </row>
    <row r="34" spans="1:6" x14ac:dyDescent="0.2">
      <c r="A34" s="183" t="s">
        <v>138</v>
      </c>
      <c r="B34" s="184"/>
      <c r="C34" s="197" t="s">
        <v>150</v>
      </c>
      <c r="D34" s="198"/>
      <c r="E34" s="195" t="s">
        <v>108</v>
      </c>
      <c r="F34" s="196"/>
    </row>
    <row r="35" spans="1:6" x14ac:dyDescent="0.2">
      <c r="A35" s="183" t="s">
        <v>151</v>
      </c>
      <c r="B35" s="184"/>
      <c r="C35" s="197" t="s">
        <v>152</v>
      </c>
      <c r="D35" s="198"/>
      <c r="E35" s="195" t="s">
        <v>110</v>
      </c>
      <c r="F35" s="196"/>
    </row>
    <row r="36" spans="1:6" x14ac:dyDescent="0.2">
      <c r="A36" s="183"/>
      <c r="B36" s="184"/>
      <c r="C36" s="197"/>
      <c r="D36" s="198"/>
      <c r="E36" s="195"/>
      <c r="F36" s="196"/>
    </row>
    <row r="37" spans="1:6" x14ac:dyDescent="0.2">
      <c r="A37" s="183"/>
      <c r="B37" s="184"/>
      <c r="C37" s="197"/>
      <c r="D37" s="198"/>
      <c r="E37" s="195"/>
      <c r="F37" s="196"/>
    </row>
    <row r="38" spans="1:6" x14ac:dyDescent="0.2">
      <c r="A38" s="183"/>
      <c r="B38" s="184"/>
      <c r="C38" s="197"/>
      <c r="D38" s="198"/>
      <c r="E38" s="195"/>
      <c r="F38" s="196"/>
    </row>
    <row r="39" spans="1:6" x14ac:dyDescent="0.2">
      <c r="A39" s="183"/>
      <c r="B39" s="184"/>
      <c r="C39" s="197"/>
      <c r="D39" s="198"/>
      <c r="E39" s="195"/>
      <c r="F39" s="196"/>
    </row>
    <row r="40" spans="1:6" x14ac:dyDescent="0.2">
      <c r="A40" s="183"/>
      <c r="B40" s="184"/>
      <c r="C40" s="197"/>
      <c r="D40" s="198"/>
      <c r="E40" s="195"/>
      <c r="F40" s="196"/>
    </row>
    <row r="41" spans="1:6" x14ac:dyDescent="0.2">
      <c r="A41" s="183"/>
      <c r="B41" s="184"/>
      <c r="C41" s="197"/>
      <c r="D41" s="198"/>
      <c r="E41" s="195"/>
      <c r="F41" s="196"/>
    </row>
    <row r="42" spans="1:6" x14ac:dyDescent="0.2">
      <c r="A42" s="183"/>
      <c r="B42" s="184"/>
      <c r="C42" s="197"/>
      <c r="D42" s="198"/>
      <c r="E42" s="195"/>
      <c r="F42" s="196"/>
    </row>
    <row r="43" spans="1:6" x14ac:dyDescent="0.2">
      <c r="A43" s="183"/>
      <c r="B43" s="184"/>
      <c r="C43" s="197"/>
      <c r="D43" s="198"/>
      <c r="E43" s="195"/>
      <c r="F43" s="196"/>
    </row>
    <row r="44" spans="1:6" x14ac:dyDescent="0.2">
      <c r="A44" s="183"/>
      <c r="B44" s="184"/>
      <c r="C44" s="197"/>
      <c r="D44" s="198"/>
      <c r="E44" s="195"/>
      <c r="F44" s="196"/>
    </row>
    <row r="45" spans="1:6" x14ac:dyDescent="0.2">
      <c r="A45" s="183"/>
      <c r="B45" s="184"/>
      <c r="C45" s="197"/>
      <c r="D45" s="198"/>
      <c r="E45" s="195"/>
      <c r="F45" s="196"/>
    </row>
    <row r="46" spans="1:6" x14ac:dyDescent="0.2">
      <c r="A46" s="185"/>
      <c r="B46" s="186"/>
      <c r="C46" s="187"/>
      <c r="D46" s="187"/>
      <c r="E46" s="188"/>
      <c r="F46" s="189"/>
    </row>
    <row r="47" spans="1:6" x14ac:dyDescent="0.2">
      <c r="A47" s="185"/>
      <c r="B47" s="186"/>
      <c r="C47" s="187"/>
      <c r="D47" s="187"/>
      <c r="E47" s="188"/>
      <c r="F47" s="189"/>
    </row>
    <row r="48" spans="1:6" x14ac:dyDescent="0.2">
      <c r="A48" s="185"/>
      <c r="B48" s="186"/>
      <c r="C48" s="187"/>
      <c r="D48" s="187"/>
      <c r="E48" s="188"/>
      <c r="F48" s="189"/>
    </row>
    <row r="49" spans="1:6" ht="13.5" thickBot="1" x14ac:dyDescent="0.25">
      <c r="A49" s="190"/>
      <c r="B49" s="191"/>
      <c r="C49" s="192"/>
      <c r="D49" s="192"/>
      <c r="E49" s="193"/>
      <c r="F49" s="194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37">
        <v>45627</v>
      </c>
      <c r="B54" s="181" t="s">
        <v>144</v>
      </c>
      <c r="C54" s="39" t="s">
        <v>116</v>
      </c>
      <c r="D54" s="40" t="s">
        <v>143</v>
      </c>
      <c r="E54" s="40" t="s">
        <v>117</v>
      </c>
      <c r="F54" s="10" t="s">
        <v>118</v>
      </c>
    </row>
    <row r="55" spans="1:6" x14ac:dyDescent="0.2">
      <c r="A55" s="36"/>
      <c r="B55" s="9"/>
      <c r="C55" s="9"/>
      <c r="D55" s="11"/>
      <c r="E55" s="11"/>
      <c r="F55" s="12"/>
    </row>
    <row r="56" spans="1:6" x14ac:dyDescent="0.2">
      <c r="A56" s="37"/>
      <c r="B56" s="38"/>
      <c r="C56" s="39"/>
      <c r="D56" s="40"/>
      <c r="E56" s="40"/>
      <c r="F56" s="41"/>
    </row>
    <row r="57" spans="1:6" ht="13.5" thickBot="1" x14ac:dyDescent="0.25">
      <c r="A57" s="132"/>
      <c r="B57" s="133"/>
      <c r="C57" s="133"/>
      <c r="D57" s="13"/>
      <c r="E57" s="13"/>
      <c r="F57" s="14"/>
    </row>
  </sheetData>
  <mergeCells count="110"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A33:B33"/>
    <mergeCell ref="A34:B34"/>
    <mergeCell ref="A35:B35"/>
    <mergeCell ref="A36:B36"/>
    <mergeCell ref="A37:B37"/>
    <mergeCell ref="A38:B38"/>
    <mergeCell ref="A40:B40"/>
    <mergeCell ref="A39:B39"/>
    <mergeCell ref="A41:B41"/>
    <mergeCell ref="C29:D29"/>
    <mergeCell ref="C30:D30"/>
    <mergeCell ref="C31:D31"/>
    <mergeCell ref="C32:D32"/>
    <mergeCell ref="C33:D33"/>
    <mergeCell ref="C34:D34"/>
    <mergeCell ref="A18:B18"/>
    <mergeCell ref="A20:B20"/>
    <mergeCell ref="A21:B21"/>
    <mergeCell ref="A22:B22"/>
    <mergeCell ref="A23:B23"/>
    <mergeCell ref="A19:B19"/>
    <mergeCell ref="A24:B24"/>
    <mergeCell ref="A26:B26"/>
    <mergeCell ref="A27:B27"/>
    <mergeCell ref="A28:B28"/>
    <mergeCell ref="A29:B29"/>
    <mergeCell ref="A30:B30"/>
    <mergeCell ref="A31:B31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A42:B42"/>
    <mergeCell ref="A44:B44"/>
    <mergeCell ref="A45:B45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E45:F45"/>
    <mergeCell ref="C45:D45"/>
    <mergeCell ref="C44:D44"/>
    <mergeCell ref="C43:D43"/>
    <mergeCell ref="C42:D42"/>
    <mergeCell ref="A43:B43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6"/>
  <sheetViews>
    <sheetView showGridLines="0" topLeftCell="B1" zoomScale="80" zoomScaleNormal="80" workbookViewId="0">
      <selection activeCell="X11" sqref="X11"/>
    </sheetView>
  </sheetViews>
  <sheetFormatPr baseColWidth="10" defaultColWidth="11.42578125" defaultRowHeight="12.75" x14ac:dyDescent="0.2"/>
  <cols>
    <col min="1" max="1" width="29.42578125" style="50" customWidth="1"/>
    <col min="2" max="3" width="11.42578125" style="50"/>
    <col min="4" max="4" width="12.7109375" style="50" bestFit="1" customWidth="1"/>
    <col min="5" max="5" width="13.28515625" style="50" customWidth="1"/>
    <col min="6" max="6" width="11.42578125" style="50"/>
    <col min="7" max="7" width="0.42578125" style="50" customWidth="1"/>
    <col min="8" max="8" width="13.7109375" style="50" customWidth="1"/>
    <col min="9" max="9" width="1" style="50" customWidth="1"/>
    <col min="10" max="10" width="11.5703125" style="50" bestFit="1" customWidth="1"/>
    <col min="11" max="12" width="11.42578125" style="50" customWidth="1"/>
    <col min="13" max="13" width="9.5703125" style="50" customWidth="1"/>
    <col min="14" max="16" width="11.5703125" style="50" bestFit="1" customWidth="1"/>
    <col min="17" max="17" width="9.85546875" style="50" bestFit="1" customWidth="1"/>
    <col min="18" max="29" width="11.5703125" style="50" bestFit="1" customWidth="1"/>
    <col min="30" max="30" width="8.140625" style="50" customWidth="1"/>
    <col min="31" max="31" width="4.28515625" style="50" customWidth="1"/>
    <col min="32" max="32" width="11.5703125" style="50" bestFit="1" customWidth="1"/>
    <col min="33" max="33" width="1.42578125" style="50" customWidth="1"/>
    <col min="34" max="34" width="11.5703125" style="50" bestFit="1" customWidth="1"/>
    <col min="35" max="35" width="11.5703125" style="50" customWidth="1"/>
    <col min="36" max="41" width="11.5703125" style="50" bestFit="1" customWidth="1"/>
    <col min="42" max="42" width="16.140625" style="50" customWidth="1"/>
    <col min="43" max="43" width="1.28515625" style="50" customWidth="1"/>
    <col min="44" max="44" width="11.5703125" style="50" bestFit="1" customWidth="1"/>
    <col min="45" max="45" width="0.85546875" style="50" customWidth="1"/>
    <col min="46" max="46" width="11.5703125" style="50" bestFit="1" customWidth="1"/>
    <col min="47" max="47" width="11.5703125" style="50" customWidth="1"/>
    <col min="48" max="48" width="0.85546875" style="50" customWidth="1"/>
    <col min="49" max="49" width="11.5703125" style="50" bestFit="1" customWidth="1"/>
    <col min="50" max="51" width="11.42578125" style="50"/>
    <col min="52" max="52" width="1.28515625" style="50" customWidth="1"/>
    <col min="53" max="53" width="16.85546875" style="50" customWidth="1"/>
    <col min="54" max="54" width="1" style="50" customWidth="1"/>
    <col min="55" max="55" width="11.5703125" style="50" bestFit="1" customWidth="1"/>
    <col min="56" max="56" width="1.28515625" style="50" customWidth="1"/>
    <col min="57" max="57" width="39.85546875" style="50" customWidth="1"/>
    <col min="58" max="16384" width="11.42578125" style="50"/>
  </cols>
  <sheetData>
    <row r="1" spans="1:57" ht="16.5" customHeight="1" x14ac:dyDescent="0.2">
      <c r="J1" s="237" t="s">
        <v>28</v>
      </c>
      <c r="K1" s="238"/>
      <c r="L1" s="238"/>
      <c r="M1" s="238"/>
      <c r="N1" s="238"/>
      <c r="O1" s="238"/>
      <c r="P1" s="238"/>
      <c r="Q1" s="238"/>
      <c r="R1" s="238"/>
      <c r="S1" s="238"/>
      <c r="T1" s="239"/>
      <c r="U1" s="51"/>
      <c r="V1" s="52"/>
      <c r="W1" s="52"/>
      <c r="X1" s="51"/>
      <c r="Y1" s="51"/>
      <c r="Z1" s="52"/>
      <c r="AA1" s="52"/>
      <c r="AB1" s="51"/>
      <c r="AC1" s="51"/>
      <c r="AD1" s="52"/>
      <c r="AE1" s="52"/>
      <c r="AF1" s="52"/>
      <c r="AG1" s="52"/>
      <c r="AH1" s="231" t="s">
        <v>29</v>
      </c>
      <c r="AI1" s="231"/>
      <c r="AJ1" s="232"/>
      <c r="AK1" s="232"/>
      <c r="AL1" s="232"/>
      <c r="AM1" s="232"/>
      <c r="AN1" s="232"/>
      <c r="AO1" s="233"/>
      <c r="AP1" s="52"/>
      <c r="AQ1" s="52"/>
      <c r="AR1" s="231" t="s">
        <v>30</v>
      </c>
      <c r="AS1" s="231"/>
      <c r="AT1" s="232"/>
      <c r="AU1" s="232"/>
      <c r="AV1" s="232"/>
      <c r="AW1" s="232"/>
      <c r="AX1" s="232"/>
      <c r="AY1" s="233"/>
      <c r="AZ1" s="52"/>
      <c r="BA1" s="52"/>
      <c r="BB1" s="53"/>
      <c r="BC1" s="53"/>
      <c r="BD1" s="53"/>
      <c r="BE1" s="53"/>
    </row>
    <row r="2" spans="1:57" ht="15.75" customHeight="1" x14ac:dyDescent="0.2">
      <c r="A2" s="54" t="s">
        <v>18</v>
      </c>
      <c r="B2" s="306"/>
      <c r="C2" s="306"/>
      <c r="D2" s="306"/>
      <c r="J2" s="240" t="s">
        <v>31</v>
      </c>
      <c r="K2" s="241"/>
      <c r="L2" s="241"/>
      <c r="M2" s="241"/>
      <c r="N2" s="241"/>
      <c r="O2" s="242" t="s">
        <v>35</v>
      </c>
      <c r="P2" s="242"/>
      <c r="Q2" s="242"/>
      <c r="R2" s="242"/>
      <c r="S2" s="242"/>
      <c r="T2" s="243"/>
      <c r="U2" s="51"/>
      <c r="V2" s="52"/>
      <c r="W2" s="52"/>
      <c r="X2" s="51"/>
      <c r="Y2" s="51"/>
      <c r="Z2" s="52"/>
      <c r="AA2" s="52"/>
      <c r="AB2" s="51"/>
      <c r="AC2" s="51"/>
      <c r="AD2" s="52"/>
      <c r="AE2" s="52"/>
      <c r="AF2" s="52"/>
      <c r="AG2" s="52"/>
      <c r="AH2" s="244" t="s">
        <v>32</v>
      </c>
      <c r="AI2" s="244"/>
      <c r="AJ2" s="245"/>
      <c r="AK2" s="245"/>
      <c r="AL2" s="245"/>
      <c r="AM2" s="246" t="s">
        <v>33</v>
      </c>
      <c r="AN2" s="246"/>
      <c r="AO2" s="247"/>
      <c r="AP2" s="52"/>
      <c r="AQ2" s="52"/>
      <c r="AR2" s="48">
        <v>1</v>
      </c>
      <c r="AS2" s="48"/>
      <c r="AT2" s="270" t="s">
        <v>34</v>
      </c>
      <c r="AU2" s="270"/>
      <c r="AV2" s="270"/>
      <c r="AW2" s="270"/>
      <c r="AX2" s="270"/>
      <c r="AY2" s="271"/>
      <c r="AZ2" s="52"/>
      <c r="BA2" s="52"/>
      <c r="BB2" s="53"/>
      <c r="BC2" s="53"/>
      <c r="BD2" s="53"/>
      <c r="BE2" s="53"/>
    </row>
    <row r="3" spans="1:57" ht="16.5" customHeight="1" x14ac:dyDescent="0.2">
      <c r="A3" s="54" t="s">
        <v>19</v>
      </c>
      <c r="B3" s="306"/>
      <c r="C3" s="306"/>
      <c r="D3" s="306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2"/>
      <c r="W3" s="52"/>
      <c r="X3" s="51"/>
      <c r="Y3" s="51"/>
      <c r="Z3" s="52"/>
      <c r="AA3" s="52"/>
      <c r="AB3" s="51"/>
      <c r="AC3" s="51"/>
      <c r="AD3" s="52"/>
      <c r="AE3" s="52"/>
      <c r="AF3" s="52"/>
      <c r="AG3" s="52"/>
      <c r="AH3" s="263" t="s">
        <v>36</v>
      </c>
      <c r="AI3" s="263"/>
      <c r="AJ3" s="264"/>
      <c r="AK3" s="264"/>
      <c r="AL3" s="264"/>
      <c r="AM3" s="265" t="s">
        <v>37</v>
      </c>
      <c r="AN3" s="265"/>
      <c r="AO3" s="266"/>
      <c r="AP3" s="52"/>
      <c r="AQ3" s="52"/>
      <c r="AR3" s="48">
        <v>2</v>
      </c>
      <c r="AS3" s="48"/>
      <c r="AT3" s="270" t="s">
        <v>38</v>
      </c>
      <c r="AU3" s="270"/>
      <c r="AV3" s="270"/>
      <c r="AW3" s="270"/>
      <c r="AX3" s="270"/>
      <c r="AY3" s="271"/>
      <c r="AZ3" s="52"/>
      <c r="BA3" s="52"/>
      <c r="BB3" s="53"/>
      <c r="BC3" s="53"/>
      <c r="BD3" s="53"/>
      <c r="BE3" s="53"/>
    </row>
    <row r="4" spans="1:57" ht="18.75" customHeight="1" x14ac:dyDescent="0.2"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  <c r="W4" s="52"/>
      <c r="X4" s="51"/>
      <c r="Y4" s="51"/>
      <c r="Z4" s="52"/>
      <c r="AA4" s="52"/>
      <c r="AB4" s="51"/>
      <c r="AC4" s="51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49">
        <v>3</v>
      </c>
      <c r="AS4" s="49"/>
      <c r="AT4" s="287" t="s">
        <v>39</v>
      </c>
      <c r="AU4" s="287"/>
      <c r="AV4" s="287"/>
      <c r="AW4" s="287"/>
      <c r="AX4" s="287"/>
      <c r="AY4" s="288"/>
      <c r="AZ4" s="52"/>
      <c r="BA4" s="52"/>
      <c r="BB4" s="53"/>
      <c r="BC4" s="53"/>
      <c r="BD4" s="53"/>
      <c r="BE4" s="53"/>
    </row>
    <row r="5" spans="1:57" x14ac:dyDescent="0.2">
      <c r="A5" s="159" t="s">
        <v>133</v>
      </c>
      <c r="B5" s="160" t="s">
        <v>134</v>
      </c>
      <c r="J5" s="52"/>
      <c r="K5" s="52"/>
      <c r="L5" s="52"/>
      <c r="M5" s="55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</row>
    <row r="6" spans="1:57" ht="28.5" customHeight="1" x14ac:dyDescent="0.2">
      <c r="A6" s="234" t="s">
        <v>20</v>
      </c>
      <c r="B6" s="248" t="s">
        <v>21</v>
      </c>
      <c r="C6" s="248" t="s">
        <v>22</v>
      </c>
      <c r="D6" s="248" t="s">
        <v>23</v>
      </c>
      <c r="E6" s="251" t="s">
        <v>24</v>
      </c>
      <c r="F6" s="254" t="s">
        <v>25</v>
      </c>
      <c r="G6" s="147"/>
      <c r="H6" s="267" t="s">
        <v>26</v>
      </c>
      <c r="J6" s="278" t="s">
        <v>40</v>
      </c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54"/>
      <c r="V6" s="279" t="s">
        <v>41</v>
      </c>
      <c r="W6" s="248"/>
      <c r="X6" s="248"/>
      <c r="Y6" s="248"/>
      <c r="Z6" s="248"/>
      <c r="AA6" s="248"/>
      <c r="AB6" s="248"/>
      <c r="AC6" s="254"/>
      <c r="AD6" s="251" t="s">
        <v>42</v>
      </c>
      <c r="AE6" s="251"/>
      <c r="AF6" s="280" t="s">
        <v>43</v>
      </c>
      <c r="AG6" s="52"/>
      <c r="AH6" s="283" t="s">
        <v>44</v>
      </c>
      <c r="AI6" s="284"/>
      <c r="AJ6" s="284"/>
      <c r="AK6" s="284"/>
      <c r="AL6" s="284"/>
      <c r="AM6" s="284"/>
      <c r="AN6" s="284"/>
      <c r="AO6" s="285" t="s">
        <v>45</v>
      </c>
      <c r="AP6" s="276" t="s">
        <v>46</v>
      </c>
      <c r="AQ6" s="52"/>
      <c r="AR6" s="220" t="s">
        <v>140</v>
      </c>
      <c r="AS6" s="221"/>
      <c r="AT6" s="221"/>
      <c r="AU6" s="221"/>
      <c r="AV6" s="221"/>
      <c r="AW6" s="221"/>
      <c r="AX6" s="221"/>
      <c r="AY6" s="222"/>
      <c r="AZ6" s="52"/>
      <c r="BA6" s="273" t="s">
        <v>47</v>
      </c>
      <c r="BB6" s="52"/>
      <c r="BC6" s="273" t="s">
        <v>48</v>
      </c>
      <c r="BD6" s="52"/>
      <c r="BE6" s="272" t="s">
        <v>49</v>
      </c>
    </row>
    <row r="7" spans="1:57" ht="26.25" customHeight="1" x14ac:dyDescent="0.2">
      <c r="A7" s="235"/>
      <c r="B7" s="249"/>
      <c r="C7" s="249"/>
      <c r="D7" s="249"/>
      <c r="E7" s="252"/>
      <c r="F7" s="255"/>
      <c r="G7" s="147"/>
      <c r="H7" s="268"/>
      <c r="J7" s="259" t="str">
        <f>+OBJECTIFS!E5</f>
        <v>DMT</v>
      </c>
      <c r="K7" s="261" t="s">
        <v>50</v>
      </c>
      <c r="L7" s="261" t="s">
        <v>51</v>
      </c>
      <c r="M7" s="56" t="s">
        <v>52</v>
      </c>
      <c r="N7" s="261" t="str">
        <f>+OBJECTIFS!F5</f>
        <v>CVR</v>
      </c>
      <c r="O7" s="261" t="s">
        <v>50</v>
      </c>
      <c r="P7" s="261" t="s">
        <v>51</v>
      </c>
      <c r="Q7" s="56" t="s">
        <v>52</v>
      </c>
      <c r="R7" s="261" t="str">
        <f>+OBJECTIFS!G5</f>
        <v>Avg NBR</v>
      </c>
      <c r="S7" s="261" t="s">
        <v>50</v>
      </c>
      <c r="T7" s="261" t="s">
        <v>51</v>
      </c>
      <c r="U7" s="57" t="s">
        <v>52</v>
      </c>
      <c r="V7" s="257" t="str">
        <f>+OBJECTIFS!H5</f>
        <v>Tx MEA</v>
      </c>
      <c r="W7" s="259" t="s">
        <v>50</v>
      </c>
      <c r="X7" s="261" t="s">
        <v>51</v>
      </c>
      <c r="Y7" s="56" t="s">
        <v>52</v>
      </c>
      <c r="Z7" s="261" t="str">
        <f>+OBJECTIFS!I5</f>
        <v>Note qualité</v>
      </c>
      <c r="AA7" s="261" t="s">
        <v>50</v>
      </c>
      <c r="AB7" s="261" t="s">
        <v>51</v>
      </c>
      <c r="AC7" s="57" t="s">
        <v>52</v>
      </c>
      <c r="AD7" s="309" t="s">
        <v>53</v>
      </c>
      <c r="AE7" s="309"/>
      <c r="AF7" s="281"/>
      <c r="AG7" s="52"/>
      <c r="AH7" s="311" t="s">
        <v>86</v>
      </c>
      <c r="AI7" s="270" t="s">
        <v>54</v>
      </c>
      <c r="AJ7" s="270" t="s">
        <v>55</v>
      </c>
      <c r="AK7" s="270" t="s">
        <v>56</v>
      </c>
      <c r="AL7" s="270" t="s">
        <v>57</v>
      </c>
      <c r="AM7" s="270" t="s">
        <v>58</v>
      </c>
      <c r="AN7" s="270" t="s">
        <v>59</v>
      </c>
      <c r="AO7" s="286"/>
      <c r="AP7" s="277"/>
      <c r="AQ7" s="52"/>
      <c r="AR7" s="216" t="s">
        <v>87</v>
      </c>
      <c r="AS7" s="172"/>
      <c r="AT7" s="218" t="s">
        <v>142</v>
      </c>
      <c r="AU7" s="229" t="s">
        <v>141</v>
      </c>
      <c r="AV7" s="172"/>
      <c r="AW7" s="223" t="str">
        <f>+IF(OBJECTIFS!G68="","BONUS 3",OBJECTIFS!G68)</f>
        <v>BONUS 3</v>
      </c>
      <c r="AX7" s="225" t="str">
        <f>+IF(OBJECTIFS!G69="","BONUS 4",OBJECTIFS!G69)</f>
        <v>BONUS 4</v>
      </c>
      <c r="AY7" s="227" t="s">
        <v>120</v>
      </c>
      <c r="AZ7" s="52"/>
      <c r="BA7" s="274"/>
      <c r="BB7" s="52"/>
      <c r="BC7" s="274"/>
      <c r="BD7" s="52"/>
      <c r="BE7" s="272"/>
    </row>
    <row r="8" spans="1:57" x14ac:dyDescent="0.2">
      <c r="A8" s="236"/>
      <c r="B8" s="250"/>
      <c r="C8" s="250"/>
      <c r="D8" s="250"/>
      <c r="E8" s="253"/>
      <c r="F8" s="256"/>
      <c r="G8" s="147"/>
      <c r="H8" s="269"/>
      <c r="J8" s="260"/>
      <c r="K8" s="262"/>
      <c r="L8" s="262"/>
      <c r="M8" s="58">
        <f>OBJECTIFS!E4</f>
        <v>45</v>
      </c>
      <c r="N8" s="262"/>
      <c r="O8" s="262"/>
      <c r="P8" s="262"/>
      <c r="Q8" s="58">
        <f>OBJECTIFS!F4</f>
        <v>10</v>
      </c>
      <c r="R8" s="262"/>
      <c r="S8" s="262"/>
      <c r="T8" s="262"/>
      <c r="U8" s="59">
        <f>OBJECTIFS!G4</f>
        <v>10</v>
      </c>
      <c r="V8" s="258"/>
      <c r="W8" s="260"/>
      <c r="X8" s="262"/>
      <c r="Y8" s="58">
        <f>OBJECTIFS!H4</f>
        <v>15</v>
      </c>
      <c r="Z8" s="262"/>
      <c r="AA8" s="262"/>
      <c r="AB8" s="262"/>
      <c r="AC8" s="59">
        <f>OBJECTIFS!I4</f>
        <v>20</v>
      </c>
      <c r="AD8" s="310"/>
      <c r="AE8" s="310"/>
      <c r="AF8" s="282"/>
      <c r="AG8" s="52"/>
      <c r="AH8" s="311"/>
      <c r="AI8" s="270"/>
      <c r="AJ8" s="270"/>
      <c r="AK8" s="270"/>
      <c r="AL8" s="270"/>
      <c r="AM8" s="270"/>
      <c r="AN8" s="270"/>
      <c r="AO8" s="286"/>
      <c r="AP8" s="277"/>
      <c r="AQ8" s="52"/>
      <c r="AR8" s="217"/>
      <c r="AS8" s="172"/>
      <c r="AT8" s="219"/>
      <c r="AU8" s="230"/>
      <c r="AV8" s="172"/>
      <c r="AW8" s="224"/>
      <c r="AX8" s="226"/>
      <c r="AY8" s="228"/>
      <c r="AZ8" s="52"/>
      <c r="BA8" s="275"/>
      <c r="BB8" s="52"/>
      <c r="BC8" s="275"/>
      <c r="BD8" s="52"/>
      <c r="BE8" s="272"/>
    </row>
    <row r="9" spans="1:57" x14ac:dyDescent="0.2">
      <c r="A9" s="16"/>
      <c r="B9" s="17"/>
      <c r="C9" s="17"/>
      <c r="D9" s="18"/>
      <c r="E9" s="19"/>
      <c r="F9" s="27"/>
      <c r="H9" s="60" t="str">
        <f>IF(OR(D9="",F9="",A9=""),"",IF(E9="oui",0,IF(D9=OBJECTIFS!$C$45,VLOOKUP(F9,OBJECTIFS!$C$9:$D$11,2,FALSE),IF(D9=OBJECTIFS!$C$46,VLOOKUP(F9,OBJECTIFS!$C$16:$D$18,2,FALSE),IF(D9=OBJECTIFS!$C$47,VLOOKUP(F9,OBJECTIFS!$C$23:$D$25,2,FALSE),IF(D9=OBJECTIFS!$C$48,VLOOKUP(F9,OBJECTIFS!$C$30:$D$32,2,FALSE),IF(D9=OBJECTIFS!$C$49,VLOOKUP(F9,OBJECTIFS!$C$37:$D$39,2,FALSE))))))))</f>
        <v/>
      </c>
      <c r="J9" s="137"/>
      <c r="K9" s="140" t="str">
        <f>IF(OR($A9="",$D9="",J9=""),"",SUMIFS(OBJECTIFS!E$9:E$39,OBJECTIFS!$A$9:$A$39,$D9,OBJECTIFS!$C$9:$C$39,$F9))</f>
        <v/>
      </c>
      <c r="L9" s="61" t="str">
        <f>IF(OR(AND($D9=OBJECTIFS!$B$6,OBJECTIFS!E$8="dmt"),AND($D9=OBJECTIFS!$B$13,OBJECTIFS!$E$15="dmt"),AND($D9=OBJECTIFS!$B$20,OBJECTIFS!$E$22="dmt"),AND($D9=OBJECTIFS!$B$27,OBJECTIFS!$E$29="dmt"),AND($D9=OBJECTIFS!$B$34,OBJECTIFS!$E$36="dmt"),AND($D9=OBJECTIFS!$B$6,OBJECTIFS!$E$8="taux de chute"),AND($D9=OBJECTIFS!$B$13,OBJECTIFS!$E$15="taux de chute"),AND($D9=OBJECTIFS!$B$20,OBJECTIFS!$E$22="taux de chute"),AND($D9=OBJECTIFS!$B$27,OBJECTIFS!$E$29="taux de chute"),AND($D9=OBJECTIFS!$B$34,OBJECTIFS!$E$36="taux de chute"),AND($D9=OBJECTIFS!$B$6,OBJECTIFS!E$8="tx mea"),AND($D9=OBJECTIFS!$B$13,OBJECTIFS!$E$15="tx mea"),AND($D9=OBJECTIFS!$B$20,OBJECTIFS!$E$22="tx mea"),AND($D9=OBJECTIFS!$B$27,OBJECTIFS!$E$29="tx mea"),AND($D9=OBJECTIFS!$B$34,OBJECTIFS!$E$36="tx mea")),IFERROR(K9/J9,""),IFERROR(J9/K9,""))</f>
        <v/>
      </c>
      <c r="M9" s="148">
        <f>IFERROR(IF(OR(J9="",K9="",L9=""),0,IF(L9&lt;OBJECTIFS!$E$56,0,IF(L9&lt;OBJECTIFS!$G$56,M$8*OBJECTIFS!$F$60,IF(L9&lt;OBJECTIFS!$I$56,M$8*OBJECTIFS!$H$60,M$8)))),0)</f>
        <v>0</v>
      </c>
      <c r="N9" s="142"/>
      <c r="O9" s="143" t="str">
        <f>IF(OR($A9="",$D9="",N9=""),"",SUMIFS(OBJECTIFS!F$9:F$39,OBJECTIFS!$A$9:$A$39,$D9,OBJECTIFS!$C$9:$C$39,$F9))</f>
        <v/>
      </c>
      <c r="P9" s="61" t="str">
        <f>IF(OR(AND($D9=OBJECTIFS!$B$6,OBJECTIFS!$F$8="dmt"),AND($D9=OBJECTIFS!$B$13,OBJECTIFS!$F$15="dmt"),AND($D9=OBJECTIFS!$B$20,OBJECTIFS!$F$22="dmt"),AND($D9=OBJECTIFS!$B$27,OBJECTIFS!$F$29="dmt"),AND($D9=OBJECTIFS!$B$34,OBJECTIFS!$F$36="dmt"),AND($D9=OBJECTIFS!$B$6,OBJECTIFS!$F$8="taux de chute"),AND($D9=OBJECTIFS!$B$13,OBJECTIFS!$F$15="taux de chute"),AND($D9=OBJECTIFS!$B$20,OBJECTIFS!$F$22="taux de chute"),AND($D9=OBJECTIFS!$B$27,OBJECTIFS!$F$29="taux de chute"),AND($D9=OBJECTIFS!$B$34,OBJECTIFS!$F$36="taux de chute"),AND($D9=OBJECTIFS!$B$6,OBJECTIFS!$F$8="tx mea"),AND($D9=OBJECTIFS!$B$13,OBJECTIFS!$F$15="tx mea"),AND($D9=OBJECTIFS!$B$20,OBJECTIFS!$F$22="tx mea"),AND($D9=OBJECTIFS!$B$27,OBJECTIFS!$F$29="tx mea"),AND($D9=OBJECTIFS!$B$34,OBJECTIFS!$F$36="tx mea")),IFERROR(O9/N9,""),IFERROR(N9/O9,""))</f>
        <v/>
      </c>
      <c r="Q9" s="148">
        <f>IFERROR(IF(OR(N9="",O9="",P9=""),0,IF(P9&lt;OBJECTIFS!$E$56,0,IF(P9&lt;OBJECTIFS!$G$56,Q$8*OBJECTIFS!$F$60,IF(P9&lt;OBJECTIFS!$I$56,Q$8*OBJECTIFS!$H$60,Q$8)))),0)</f>
        <v>0</v>
      </c>
      <c r="R9" s="120"/>
      <c r="S9" s="62" t="str">
        <f>IF(OR($A9="",$D9="",R9=""),"",SUMIFS(OBJECTIFS!G$9:G$39,OBJECTIFS!$A$9:$A$39,$D9,OBJECTIFS!$C$9:$C$39,$F9))</f>
        <v/>
      </c>
      <c r="T9" s="61" t="str">
        <f>IF(OR(AND($D9=OBJECTIFS!$B$6,OBJECTIFS!G$8="dmt"),AND($D9=OBJECTIFS!$B$13,OBJECTIFS!$G$15="dmt"),AND($D9=OBJECTIFS!$B$20,OBJECTIFS!$G$22="dmt"),AND($D9=OBJECTIFS!$B$27,OBJECTIFS!$G$29="dmt"),AND($D9=OBJECTIFS!$B$34,OBJECTIFS!$G$36="dmt"),AND($D9=OBJECTIFS!$B$6,OBJECTIFS!$G$8="taux de chute"),AND($D9=OBJECTIFS!$B$13,OBJECTIFS!$G$15="taux de chute"),AND($D9=OBJECTIFS!$B$20,OBJECTIFS!$G$22="taux de chute"),AND($D9=OBJECTIFS!$B$27,OBJECTIFS!$G$29="taux de chute"),AND($D9=OBJECTIFS!$B$34,OBJECTIFS!$G$36="taux de chute",AND($D9=OBJECTIFS!$B$6,OBJECTIFS!G$8="tx mea"),AND($D9=OBJECTIFS!$B$13,OBJECTIFS!$G$15="tx mea"),AND($D9=OBJECTIFS!$B$20,OBJECTIFS!$G$22="tx mea"),AND($D9=OBJECTIFS!$B$27,OBJECTIFS!$G$29="tx mea"),AND($D9=OBJECTIFS!$B$34,OBJECTIFS!$G$36="tx mea"))),IFERROR(S9/R9,""),IFERROR(R9/S9,""))</f>
        <v/>
      </c>
      <c r="U9" s="151">
        <f>IFERROR(IF(OR(R9="",S9="",T9=""),0,IF(T9&lt;OBJECTIFS!$E$56,0,IF(T9&lt;OBJECTIFS!$G$56,U$8*OBJECTIFS!$F$60,IF(T9&lt;OBJECTIFS!$I$56,U$8*OBJECTIFS!$H$60,U$8)))),0)</f>
        <v>0</v>
      </c>
      <c r="V9" s="15"/>
      <c r="W9" s="61" t="str">
        <f>IF(OR($A9="",$D9="",V9=""),"",SUMIFS(OBJECTIFS!H$9:H$39,OBJECTIFS!$A$9:$A$39,$D9,OBJECTIFS!$C$9:$C$39,$F9))</f>
        <v/>
      </c>
      <c r="X9" s="61" t="str">
        <f>IF(OR(AND($D9=OBJECTIFS!$B$6,OBJECTIFS!H$8="dmt"),AND($D9=OBJECTIFS!$B$13,OBJECTIFS!$H$15="dmt"),AND($D9=OBJECTIFS!$B$20,OBJECTIFS!$H$22="dmt"),AND($D9=OBJECTIFS!$B$27,OBJECTIFS!$H$29="dmt"),AND($D9=OBJECTIFS!$B$34,OBJECTIFS!$H$36="dmt"),AND($D9=OBJECTIFS!$B$6,OBJECTIFS!$H$8="taux de chute"),AND($D9=OBJECTIFS!$B$13,OBJECTIFS!$H$15="taux de chute"),AND($D9=OBJECTIFS!$B$20,OBJECTIFS!$H$22="taux de chute"),AND($D9=OBJECTIFS!$B$27,OBJECTIFS!$H$29="taux de chute"),AND($D9=OBJECTIFS!$B$34,OBJECTIFS!$H$36="taux de chute"),AND($D9=OBJECTIFS!$B$6,OBJECTIFS!H$8="tx mea"),AND($D9=OBJECTIFS!$B$13,OBJECTIFS!$H$15="tx mea"),AND($D9=OBJECTIFS!$B$20,OBJECTIFS!$H$22="tx mea"),AND($D9=OBJECTIFS!$B$27,OBJECTIFS!$H$29="tx mea"),AND($D9=OBJECTIFS!$B$34,OBJECTIFS!$H$36="tx mea")),IFERROR(W9/V9,""),IFERROR(V9/W9,""))</f>
        <v/>
      </c>
      <c r="Y9" s="148">
        <f>IFERROR(IF(OR(V9="",W9="",X9=""),0,IF(X9&lt;OBJECTIFS!$E$56,0,IF(X9&lt;OBJECTIFS!$G$56,Y$8*OBJECTIFS!$F$60,IF(X9&lt;OBJECTIFS!$I$56,Y$8*OBJECTIFS!$H$60,Y$8)))),0)</f>
        <v>0</v>
      </c>
      <c r="Z9" s="123"/>
      <c r="AA9" s="61" t="str">
        <f>IF(OR($A9="",$D9="",Z9=""),"",SUMIFS(OBJECTIFS!I$9:I$39,OBJECTIFS!$A$9:$A$39,$D9,OBJECTIFS!$C$9:$C$39,$F9))</f>
        <v/>
      </c>
      <c r="AB9" s="61" t="str">
        <f>IF(OR(AND($D9=OBJECTIFS!$B$6,OBJECTIFS!I$8="dmt"),AND($D9=OBJECTIFS!$B$13,OBJECTIFS!$I$15="dmt"),AND($D9=OBJECTIFS!$B$20,OBJECTIFS!$I$22="dmt"),AND($D9=OBJECTIFS!$B$27,OBJECTIFS!$I$29="dmt"),AND($D9=OBJECTIFS!$B$34,OBJECTIFS!$I$36="dmt"),AND($D9=OBJECTIFS!$B$6,OBJECTIFS!$I$8="taux de chute"),AND($D9=OBJECTIFS!$B$13,OBJECTIFS!$I$15="taux de chute"),AND($D9=OBJECTIFS!$B$20,OBJECTIFS!$I$22="taux de chute"),AND($D9=OBJECTIFS!$B$27,OBJECTIFS!$I$29="taux de chute"),AND($D9=OBJECTIFS!$B$34,OBJECTIFS!$I$36="taux de chute"),AND($D9=OBJECTIFS!$B$6,OBJECTIFS!I$8="tx mea"),AND($D9=OBJECTIFS!$B$13,OBJECTIFS!$I$15="tx mea"),AND($D9=OBJECTIFS!$B$20,OBJECTIFS!$I$22="tx mea"),AND($D9=OBJECTIFS!$B$27,OBJECTIFS!$I$29="tx mea"),AND($D9=OBJECTIFS!$B$34,OBJECTIFS!$I$36="tx mea")),IFERROR(AA9/Z9,""),IFERROR(Z9/AA9,""))</f>
        <v/>
      </c>
      <c r="AC9" s="154">
        <f>IFERROR(IF(OR(Z9="",AA9="",AB9=""),0,IF(AB9&lt;OBJECTIFS!$E$56,0,IF(AB9&lt;OBJECTIFS!$G$56,AC$8*OBJECTIFS!$F$60,IF(AB9&lt;OBJECTIFS!$I$56,AC$8*OBJECTIFS!$H$60,AC$8)))),0)</f>
        <v>0</v>
      </c>
      <c r="AD9" s="307"/>
      <c r="AE9" s="308"/>
      <c r="AF9" s="157">
        <f ca="1">IF(AD9&gt;=1,0,IF(AD9=1,SUMIF($J$7:$AC$8,"Nb de points",$J9:$AC9)/2,SUMIF($J$7:$AC$8,"Nb de points",$J9:$AC9)))</f>
        <v>0</v>
      </c>
      <c r="AG9" s="52"/>
      <c r="AH9" s="126"/>
      <c r="AI9" s="19"/>
      <c r="AJ9" s="19"/>
      <c r="AK9" s="19"/>
      <c r="AL9" s="19"/>
      <c r="AM9" s="63">
        <f>SUM(AK9:AL9,AI9)</f>
        <v>0</v>
      </c>
      <c r="AN9" s="128">
        <v>22</v>
      </c>
      <c r="AO9" s="64">
        <f>IFERROR(IF(IF(OR(AI9&gt;=2,AJ9&gt;=8,AND(AI9=1,AJ9&gt;=4)),0,IF(OR(AND(AI9=1,AJ9&lt;4),AND(AI9=0,AJ9&gt;=4,AJ9&lt;8)),50%,100%))*(AN9-AM9)/AN9=0,-100%,IF(OR(AI9&gt;=2,AJ9&gt;=8,AND(AI9=1,AJ9&gt;=4)),0,IF(OR(AND(AI9=1,AJ9&lt;4),AND(AI9=0,AJ9&gt;=4,AJ9&lt;8)),50%,100%))*(AN9-AM9)/AN9-1),"")</f>
        <v>0</v>
      </c>
      <c r="AP9" s="65" t="str">
        <f t="shared" ref="AP9:AP78" ca="1" si="0">IFERROR((H9*AF9/100)*(1+AO9),"")</f>
        <v/>
      </c>
      <c r="AQ9" s="66"/>
      <c r="AR9" s="168">
        <f>IFERROR(VLOOKUP(B9,OBJECTIFS!$C$76:$E$137,2,FALSE),0)</f>
        <v>0</v>
      </c>
      <c r="AS9" s="173"/>
      <c r="AT9" s="176">
        <f>IFERROR(VLOOKUP(B9,OBJECTIFS!$H$76:$J$137,2,FALSE),0)</f>
        <v>0</v>
      </c>
      <c r="AU9" s="177">
        <f>IF($B$5="interne",AT9/191*AH9,AT9/176*AH9)</f>
        <v>0</v>
      </c>
      <c r="AV9" s="173"/>
      <c r="AW9" s="67">
        <f>IFERROR(VLOOKUP(B9,OBJECTIFS!$C$142:$E$203,2,FALSE),0)</f>
        <v>0</v>
      </c>
      <c r="AX9" s="67">
        <f>IFERROR(VLOOKUP(B9,OBJECTIFS!$H$142:$J$203,2,FALSE),0)</f>
        <v>0</v>
      </c>
      <c r="AY9" s="180">
        <f>IFERROR(VLOOKUP(B9,OBJECTIFS!$F$208:$H$269,3,FALSE),0)</f>
        <v>0</v>
      </c>
      <c r="AZ9" s="66"/>
      <c r="BA9" s="68" t="str">
        <f ca="1">IFERROR((AP9+SUM(AW9:AY9)+AU9+AR9),"")</f>
        <v/>
      </c>
      <c r="BB9" s="52"/>
      <c r="BC9" s="69">
        <f t="shared" ref="BC9:BC40" ca="1" si="1">IFERROR(IF(OR(AI9&gt;=2,AJ9&gt;=8,AND(AI9=1,AJ9&gt;=4)),0,IF(OR(AND(AI9=1,AJ9&lt;4),AND(AI9=0,AJ9&gt;=4,AJ9&lt;8)),0.5,1))*AF9*(AN9-AM9)/AN9,"")</f>
        <v>0</v>
      </c>
      <c r="BD9" s="53" t="str">
        <f t="shared" ref="BD9:BD78" ca="1" si="2">IF(BE9="","","è")</f>
        <v/>
      </c>
      <c r="BE9" s="70" t="str">
        <f ca="1">IF(BC9=0,"",IF(BC9&gt;=MAX($BC$9:$BC$79),A9,""))</f>
        <v/>
      </c>
    </row>
    <row r="10" spans="1:57" x14ac:dyDescent="0.2">
      <c r="A10" s="16"/>
      <c r="B10" s="17"/>
      <c r="C10" s="17"/>
      <c r="D10" s="18"/>
      <c r="E10" s="19"/>
      <c r="F10" s="27"/>
      <c r="H10" s="71" t="str">
        <f>IF(OR(D10="",F10="",A10=""),"",IF(E10="oui",0,IF(D10=OBJECTIFS!$C$45,VLOOKUP(F10,OBJECTIFS!$C$9:$D$11,2,FALSE),IF(D10=OBJECTIFS!$C$46,VLOOKUP(F10,OBJECTIFS!$C$16:$D$18,2,FALSE),IF(D10=OBJECTIFS!$C$47,VLOOKUP(F10,OBJECTIFS!$C$23:$D$25,2,FALSE),IF(D10=OBJECTIFS!$C$48,VLOOKUP(F10,OBJECTIFS!$C$30:$D$32,2,FALSE),IF(D10=OBJECTIFS!$C$49,VLOOKUP(F10,OBJECTIFS!$C$37:$D$39,2,FALSE))))))))</f>
        <v/>
      </c>
      <c r="J10" s="138"/>
      <c r="K10" s="141" t="str">
        <f>IF(OR($A10="",$D10="",J10=""),"",SUMIFS(OBJECTIFS!E$9:E$39,OBJECTIFS!$A$9:$A$39,$D10,OBJECTIFS!$C$9:$C$39,$F10))</f>
        <v/>
      </c>
      <c r="L10" s="72" t="str">
        <f>IF(OR(AND($D10=OBJECTIFS!$B$6,OBJECTIFS!E$8="dmt"),AND($D10=OBJECTIFS!$B$13,OBJECTIFS!$E$15="dmt"),AND($D10=OBJECTIFS!$B$20,OBJECTIFS!$E$22="dmt"),AND($D10=OBJECTIFS!$B$27,OBJECTIFS!$E$29="dmt"),AND($D10=OBJECTIFS!$B$34,OBJECTIFS!$E$36="dmt"),AND($D10=OBJECTIFS!$B$6,OBJECTIFS!$E$8="taux de chute"),AND($D10=OBJECTIFS!$B$13,OBJECTIFS!$E$15="taux de chute"),AND($D10=OBJECTIFS!$B$20,OBJECTIFS!$E$22="taux de chute"),AND($D10=OBJECTIFS!$B$27,OBJECTIFS!$E$29="taux de chute"),AND($D10=OBJECTIFS!$B$34,OBJECTIFS!$E$36="taux de chute"),AND($D10=OBJECTIFS!$B$6,OBJECTIFS!E$8="tx mea"),AND($D10=OBJECTIFS!$B$13,OBJECTIFS!$E$15="tx mea"),AND($D10=OBJECTIFS!$B$20,OBJECTIFS!$E$22="tx mea"),AND($D10=OBJECTIFS!$B$27,OBJECTIFS!$E$29="tx mea"),AND($D10=OBJECTIFS!$B$34,OBJECTIFS!$E$36="tx mea")),IFERROR(K10/J10,""),IFERROR(J10/K10,""))</f>
        <v/>
      </c>
      <c r="M10" s="149">
        <f>IFERROR(IF(OR(J10="",K10="",L10=""),0,IF(L10&lt;OBJECTIFS!$E$56,0,IF(L10&lt;OBJECTIFS!$G$56,M$8*OBJECTIFS!$F$60,IF(L10&lt;OBJECTIFS!$I$56,M$8*OBJECTIFS!$H$60,M$8)))),0)</f>
        <v>0</v>
      </c>
      <c r="N10" s="144"/>
      <c r="O10" s="145" t="str">
        <f>IF(OR($A10="",$D10="",N10=""),"",SUMIFS(OBJECTIFS!F$9:F$39,OBJECTIFS!$A$9:$A$39,$D10,OBJECTIFS!$C$9:$C$39,$F10))</f>
        <v/>
      </c>
      <c r="P10" s="72" t="str">
        <f>IF(OR(AND($D10=OBJECTIFS!$B$6,OBJECTIFS!$F$8="dmt"),AND($D10=OBJECTIFS!$B$13,OBJECTIFS!$F$15="dmt"),AND($D10=OBJECTIFS!$B$20,OBJECTIFS!$F$22="dmt"),AND($D10=OBJECTIFS!$B$27,OBJECTIFS!$F$29="dmt"),AND($D10=OBJECTIFS!$B$34,OBJECTIFS!$F$36="dmt"),AND($D10=OBJECTIFS!$B$6,OBJECTIFS!$F$8="taux de chute"),AND($D10=OBJECTIFS!$B$13,OBJECTIFS!$F$15="taux de chute"),AND($D10=OBJECTIFS!$B$20,OBJECTIFS!$F$22="taux de chute"),AND($D10=OBJECTIFS!$B$27,OBJECTIFS!$F$29="taux de chute"),AND($D10=OBJECTIFS!$B$34,OBJECTIFS!$F$36="taux de chute"),AND($D10=OBJECTIFS!$B$6,OBJECTIFS!$F$8="tx mea"),AND($D10=OBJECTIFS!$B$13,OBJECTIFS!$F$15="tx mea"),AND($D10=OBJECTIFS!$B$20,OBJECTIFS!$F$22="tx mea"),AND($D10=OBJECTIFS!$B$27,OBJECTIFS!$F$29="tx mea"),AND($D10=OBJECTIFS!$B$34,OBJECTIFS!$F$36="tx mea")),IFERROR(O10/N10,""),IFERROR(N10/O10,""))</f>
        <v/>
      </c>
      <c r="Q10" s="149">
        <f>IFERROR(IF(OR(N10="",O10="",P10=""),0,IF(P10&lt;OBJECTIFS!$E$56,0,IF(P10&lt;OBJECTIFS!$G$56,Q$8*OBJECTIFS!$F$60,IF(P10&lt;OBJECTIFS!$I$56,Q$8*OBJECTIFS!$H$60,Q$8)))),0)</f>
        <v>0</v>
      </c>
      <c r="R10" s="121"/>
      <c r="S10" s="73" t="str">
        <f>IF(OR($A10="",$D10="",R10=""),"",SUMIFS(OBJECTIFS!G$9:G$39,OBJECTIFS!$A$9:$A$39,$D10,OBJECTIFS!$C$9:$C$39,$F10))</f>
        <v/>
      </c>
      <c r="T10" s="72" t="str">
        <f>IF(OR(AND($D10=OBJECTIFS!$B$6,OBJECTIFS!G$8="dmt"),AND($D10=OBJECTIFS!$B$13,OBJECTIFS!$G$15="dmt"),AND($D10=OBJECTIFS!$B$20,OBJECTIFS!$G$22="dmt"),AND($D10=OBJECTIFS!$B$27,OBJECTIFS!$G$29="dmt"),AND($D10=OBJECTIFS!$B$34,OBJECTIFS!$G$36="dmt"),AND($D10=OBJECTIFS!$B$6,OBJECTIFS!$G$8="taux de chute"),AND($D10=OBJECTIFS!$B$13,OBJECTIFS!$G$15="taux de chute"),AND($D10=OBJECTIFS!$B$20,OBJECTIFS!$G$22="taux de chute"),AND($D10=OBJECTIFS!$B$27,OBJECTIFS!$G$29="taux de chute"),AND($D10=OBJECTIFS!$B$34,OBJECTIFS!$G$36="taux de chute",AND($D10=OBJECTIFS!$B$6,OBJECTIFS!G$8="tx mea"),AND($D10=OBJECTIFS!$B$13,OBJECTIFS!$G$15="tx mea"),AND($D10=OBJECTIFS!$B$20,OBJECTIFS!$G$22="tx mea"),AND($D10=OBJECTIFS!$B$27,OBJECTIFS!$G$29="tx mea"),AND($D10=OBJECTIFS!$B$34,OBJECTIFS!$G$36="tx mea"))),IFERROR(S10/R10,""),IFERROR(R10/S10,""))</f>
        <v/>
      </c>
      <c r="U10" s="152">
        <f>IFERROR(IF(OR(R10="",S10="",T10=""),0,IF(T10&lt;OBJECTIFS!$E$56,0,IF(T10&lt;OBJECTIFS!$G$56,U$8*OBJECTIFS!$F$60,IF(T10&lt;OBJECTIFS!$I$56,U$8*OBJECTIFS!$H$60,U$8)))),0)</f>
        <v>0</v>
      </c>
      <c r="V10" s="20"/>
      <c r="W10" s="72" t="str">
        <f>IF(OR($A10="",$D10="",V10=""),"",SUMIFS(OBJECTIFS!H$9:H$39,OBJECTIFS!$A$9:$A$39,$D10,OBJECTIFS!$C$9:$C$39,$F10))</f>
        <v/>
      </c>
      <c r="X10" s="72" t="str">
        <f>IF(OR(AND($D10=OBJECTIFS!$B$6,OBJECTIFS!H$8="dmt"),AND($D10=OBJECTIFS!$B$13,OBJECTIFS!$H$15="dmt"),AND($D10=OBJECTIFS!$B$20,OBJECTIFS!$H$22="dmt"),AND($D10=OBJECTIFS!$B$27,OBJECTIFS!$H$29="dmt"),AND($D10=OBJECTIFS!$B$34,OBJECTIFS!$H$36="dmt"),AND($D10=OBJECTIFS!$B$6,OBJECTIFS!$H$8="taux de chute"),AND($D10=OBJECTIFS!$B$13,OBJECTIFS!$H$15="taux de chute"),AND($D10=OBJECTIFS!$B$20,OBJECTIFS!$H$22="taux de chute"),AND($D10=OBJECTIFS!$B$27,OBJECTIFS!$H$29="taux de chute"),AND($D10=OBJECTIFS!$B$34,OBJECTIFS!$H$36="taux de chute"),AND($D10=OBJECTIFS!$B$6,OBJECTIFS!H$8="tx mea"),AND($D10=OBJECTIFS!$B$13,OBJECTIFS!$H$15="tx mea"),AND($D10=OBJECTIFS!$B$20,OBJECTIFS!$H$22="tx mea"),AND($D10=OBJECTIFS!$B$27,OBJECTIFS!$H$29="tx mea"),AND($D10=OBJECTIFS!$B$34,OBJECTIFS!$H$36="tx mea")),IFERROR(W10/V10,""),IFERROR(V10/W10,""))</f>
        <v/>
      </c>
      <c r="Y10" s="149">
        <f>IFERROR(IF(OR(V10="",W10="",X10=""),0,IF(X10&lt;OBJECTIFS!$E$56,0,IF(X10&lt;OBJECTIFS!$G$56,Y$8*OBJECTIFS!$F$60,IF(X10&lt;OBJECTIFS!$I$56,Y$8*OBJECTIFS!$H$60,Y$8)))),0)</f>
        <v>0</v>
      </c>
      <c r="Z10" s="124"/>
      <c r="AA10" s="72" t="str">
        <f>IF(OR($A10="",$D10="",Z10=""),"",SUMIFS(OBJECTIFS!I$9:I$39,OBJECTIFS!$A$9:$A$39,$D10,OBJECTIFS!$C$9:$C$39,$F10))</f>
        <v/>
      </c>
      <c r="AB10" s="72" t="str">
        <f>IF(OR(AND($D10=OBJECTIFS!$B$6,OBJECTIFS!I$8="dmt"),AND($D10=OBJECTIFS!$B$13,OBJECTIFS!$I$15="dmt"),AND($D10=OBJECTIFS!$B$20,OBJECTIFS!$I$22="dmt"),AND($D10=OBJECTIFS!$B$27,OBJECTIFS!$I$29="dmt"),AND($D10=OBJECTIFS!$B$34,OBJECTIFS!$I$36="dmt"),AND($D10=OBJECTIFS!$B$6,OBJECTIFS!$I$8="taux de chute"),AND($D10=OBJECTIFS!$B$13,OBJECTIFS!$I$15="taux de chute"),AND($D10=OBJECTIFS!$B$20,OBJECTIFS!$I$22="taux de chute"),AND($D10=OBJECTIFS!$B$27,OBJECTIFS!$I$29="taux de chute"),AND($D10=OBJECTIFS!$B$34,OBJECTIFS!$I$36="taux de chute"),AND($D10=OBJECTIFS!$B$6,OBJECTIFS!I$8="tx mea"),AND($D10=OBJECTIFS!$B$13,OBJECTIFS!$I$15="tx mea"),AND($D10=OBJECTIFS!$B$20,OBJECTIFS!$I$22="tx mea"),AND($D10=OBJECTIFS!$B$27,OBJECTIFS!$I$29="tx mea"),AND($D10=OBJECTIFS!$B$34,OBJECTIFS!$I$36="tx mea")),IFERROR(AA10/Z10,""),IFERROR(Z10/AA10,""))</f>
        <v/>
      </c>
      <c r="AC10" s="155">
        <f>IFERROR(IF(OR(Z10="",AA10="",AB10=""),0,IF(AB10&lt;OBJECTIFS!$E$56,0,IF(AB10&lt;OBJECTIFS!$G$56,AC$8*OBJECTIFS!$F$60,IF(AB10&lt;OBJECTIFS!$I$56,AC$8*OBJECTIFS!$H$60,AC$8)))),0)</f>
        <v>0</v>
      </c>
      <c r="AD10" s="289"/>
      <c r="AE10" s="290"/>
      <c r="AF10" s="158">
        <f t="shared" ref="AF10:AF73" ca="1" si="3">IF(AD10&gt;=1,0,IF(AD10=1,SUMIF($J$7:$AC$8,"Nb de points",$J10:$AC10)/2,SUMIF($J$7:$AC$8,"Nb de points",$J10:$AC10)))</f>
        <v>0</v>
      </c>
      <c r="AG10" s="52"/>
      <c r="AH10" s="126"/>
      <c r="AI10" s="19"/>
      <c r="AJ10" s="19"/>
      <c r="AK10" s="19"/>
      <c r="AL10" s="19"/>
      <c r="AM10" s="63">
        <f t="shared" ref="AM10:AM79" si="4">SUM(AK10:AL10,AI10)</f>
        <v>0</v>
      </c>
      <c r="AN10" s="63">
        <f>AN9</f>
        <v>22</v>
      </c>
      <c r="AO10" s="64">
        <f t="shared" ref="AO10:AO79" si="5">IFERROR(IF(IF(OR(AI10&gt;=2,AJ10&gt;=8,AND(AI10=1,AJ10&gt;=4)),0,IF(OR(AND(AI10=1,AJ10&lt;4),AND(AI10=0,AJ10&gt;=4,AJ10&lt;8)),50%,100%))*(AN10-AM10)/AN10=0,-100%,IF(OR(AI10&gt;=2,AJ10&gt;=8,AND(AI10=1,AJ10&gt;=4)),0,IF(OR(AND(AI10=1,AJ10&lt;4),AND(AI10=0,AJ10&gt;=4,AJ10&lt;8)),50%,100%))*(AN10-AM10)/AN10-1),"")</f>
        <v>0</v>
      </c>
      <c r="AP10" s="65" t="str">
        <f t="shared" ca="1" si="0"/>
        <v/>
      </c>
      <c r="AQ10" s="66"/>
      <c r="AR10" s="168">
        <f>IFERROR(VLOOKUP(B10,OBJECTIFS!$C$76:$E$137,2,FALSE),0)</f>
        <v>0</v>
      </c>
      <c r="AS10" s="173"/>
      <c r="AT10" s="170">
        <f>IFERROR(VLOOKUP(B10,OBJECTIFS!$H$76:$J$137,2,FALSE),0)</f>
        <v>0</v>
      </c>
      <c r="AU10" s="178">
        <f t="shared" ref="AU10:AU73" si="6">IF($B$5="interne",AT10/191*AH10,AT10/176*AH10)</f>
        <v>0</v>
      </c>
      <c r="AV10" s="173"/>
      <c r="AW10" s="74">
        <f>IFERROR(VLOOKUP(B10,OBJECTIFS!$C$142:$E$203,2,FALSE),0)</f>
        <v>0</v>
      </c>
      <c r="AX10" s="74">
        <f>IFERROR(VLOOKUP(B10,OBJECTIFS!$H$142:$J$203,2,FALSE),0)</f>
        <v>0</v>
      </c>
      <c r="AY10" s="174">
        <f>IFERROR(VLOOKUP(B10,OBJECTIFS!$F$208:$H$269,3,FALSE),0)</f>
        <v>0</v>
      </c>
      <c r="AZ10" s="66"/>
      <c r="BA10" s="75" t="str">
        <f t="shared" ref="BA10:BA73" ca="1" si="7">IFERROR((AP10+SUM(AW10:AY10)+AU10+AR10),"")</f>
        <v/>
      </c>
      <c r="BB10" s="52"/>
      <c r="BC10" s="76">
        <f t="shared" ca="1" si="1"/>
        <v>0</v>
      </c>
      <c r="BD10" s="53" t="str">
        <f t="shared" ca="1" si="2"/>
        <v/>
      </c>
      <c r="BE10" s="77" t="str">
        <f ca="1">IF(BC10=0,"",IF(BC10&gt;=MAX($BC$9:$BC$79),A10,""))</f>
        <v/>
      </c>
    </row>
    <row r="11" spans="1:57" x14ac:dyDescent="0.2">
      <c r="A11" s="16"/>
      <c r="B11" s="17"/>
      <c r="C11" s="17"/>
      <c r="D11" s="18"/>
      <c r="E11" s="19"/>
      <c r="F11" s="27"/>
      <c r="H11" s="71" t="str">
        <f>IF(OR(D11="",F11="",A11=""),"",IF(E11="oui",0,IF(D11=OBJECTIFS!$C$45,VLOOKUP(F11,OBJECTIFS!$C$9:$D$11,2,FALSE),IF(D11=OBJECTIFS!$C$46,VLOOKUP(F11,OBJECTIFS!$C$16:$D$18,2,FALSE),IF(D11=OBJECTIFS!$C$47,VLOOKUP(F11,OBJECTIFS!$C$23:$D$25,2,FALSE),IF(D11=OBJECTIFS!$C$48,VLOOKUP(F11,OBJECTIFS!$C$30:$D$32,2,FALSE),IF(D11=OBJECTIFS!$C$49,VLOOKUP(F11,OBJECTIFS!$C$37:$D$39,2,FALSE))))))))</f>
        <v/>
      </c>
      <c r="J11" s="138"/>
      <c r="K11" s="141" t="str">
        <f>IF(OR($A11="",$D11="",J11=""),"",SUMIFS(OBJECTIFS!E$9:E$39,OBJECTIFS!$A$9:$A$39,$D11,OBJECTIFS!$C$9:$C$39,$F11))</f>
        <v/>
      </c>
      <c r="L11" s="72" t="str">
        <f>IF(OR(AND($D11=OBJECTIFS!$B$6,OBJECTIFS!E$8="dmt"),AND($D11=OBJECTIFS!$B$13,OBJECTIFS!$E$15="dmt"),AND($D11=OBJECTIFS!$B$20,OBJECTIFS!$E$22="dmt"),AND($D11=OBJECTIFS!$B$27,OBJECTIFS!$E$29="dmt"),AND($D11=OBJECTIFS!$B$34,OBJECTIFS!$E$36="dmt"),AND($D11=OBJECTIFS!$B$6,OBJECTIFS!$E$8="taux de chute"),AND($D11=OBJECTIFS!$B$13,OBJECTIFS!$E$15="taux de chute"),AND($D11=OBJECTIFS!$B$20,OBJECTIFS!$E$22="taux de chute"),AND($D11=OBJECTIFS!$B$27,OBJECTIFS!$E$29="taux de chute"),AND($D11=OBJECTIFS!$B$34,OBJECTIFS!$E$36="taux de chute"),AND($D11=OBJECTIFS!$B$6,OBJECTIFS!E$8="tx mea"),AND($D11=OBJECTIFS!$B$13,OBJECTIFS!$E$15="tx mea"),AND($D11=OBJECTIFS!$B$20,OBJECTIFS!$E$22="tx mea"),AND($D11=OBJECTIFS!$B$27,OBJECTIFS!$E$29="tx mea"),AND($D11=OBJECTIFS!$B$34,OBJECTIFS!$E$36="tx mea")),IFERROR(K11/J11,""),IFERROR(J11/K11,""))</f>
        <v/>
      </c>
      <c r="M11" s="149">
        <f>IFERROR(IF(OR(J11="",K11="",L11=""),0,IF(L11&lt;OBJECTIFS!$E$56,0,IF(L11&lt;OBJECTIFS!$G$56,M$8*OBJECTIFS!$F$60,IF(L11&lt;OBJECTIFS!$I$56,M$8*OBJECTIFS!$H$60,M$8)))),0)</f>
        <v>0</v>
      </c>
      <c r="N11" s="144"/>
      <c r="O11" s="145" t="str">
        <f>IF(OR($A11="",$D11="",N11=""),"",SUMIFS(OBJECTIFS!F$9:F$39,OBJECTIFS!$A$9:$A$39,$D11,OBJECTIFS!$C$9:$C$39,$F11))</f>
        <v/>
      </c>
      <c r="P11" s="72" t="str">
        <f>IF(OR(AND($D11=OBJECTIFS!$B$6,OBJECTIFS!$F$8="dmt"),AND($D11=OBJECTIFS!$B$13,OBJECTIFS!$F$15="dmt"),AND($D11=OBJECTIFS!$B$20,OBJECTIFS!$F$22="dmt"),AND($D11=OBJECTIFS!$B$27,OBJECTIFS!$F$29="dmt"),AND($D11=OBJECTIFS!$B$34,OBJECTIFS!$F$36="dmt"),AND($D11=OBJECTIFS!$B$6,OBJECTIFS!$F$8="taux de chute"),AND($D11=OBJECTIFS!$B$13,OBJECTIFS!$F$15="taux de chute"),AND($D11=OBJECTIFS!$B$20,OBJECTIFS!$F$22="taux de chute"),AND($D11=OBJECTIFS!$B$27,OBJECTIFS!$F$29="taux de chute"),AND($D11=OBJECTIFS!$B$34,OBJECTIFS!$F$36="taux de chute"),AND($D11=OBJECTIFS!$B$6,OBJECTIFS!$F$8="tx mea"),AND($D11=OBJECTIFS!$B$13,OBJECTIFS!$F$15="tx mea"),AND($D11=OBJECTIFS!$B$20,OBJECTIFS!$F$22="tx mea"),AND($D11=OBJECTIFS!$B$27,OBJECTIFS!$F$29="tx mea"),AND($D11=OBJECTIFS!$B$34,OBJECTIFS!$F$36="tx mea")),IFERROR(O11/N11,""),IFERROR(N11/O11,""))</f>
        <v/>
      </c>
      <c r="Q11" s="149">
        <f>IFERROR(IF(OR(N11="",O11="",P11=""),0,IF(P11&lt;OBJECTIFS!$E$56,0,IF(P11&lt;OBJECTIFS!$G$56,Q$8*OBJECTIFS!$F$60,IF(P11&lt;OBJECTIFS!$I$56,Q$8*OBJECTIFS!$H$60,Q$8)))),0)</f>
        <v>0</v>
      </c>
      <c r="R11" s="121"/>
      <c r="S11" s="73" t="str">
        <f>IF(OR($A11="",$D11="",R11=""),"",SUMIFS(OBJECTIFS!G$9:G$39,OBJECTIFS!$A$9:$A$39,$D11,OBJECTIFS!$C$9:$C$39,$F11))</f>
        <v/>
      </c>
      <c r="T11" s="72" t="str">
        <f>IF(OR(AND($D11=OBJECTIFS!$B$6,OBJECTIFS!G$8="dmt"),AND($D11=OBJECTIFS!$B$13,OBJECTIFS!$G$15="dmt"),AND($D11=OBJECTIFS!$B$20,OBJECTIFS!$G$22="dmt"),AND($D11=OBJECTIFS!$B$27,OBJECTIFS!$G$29="dmt"),AND($D11=OBJECTIFS!$B$34,OBJECTIFS!$G$36="dmt"),AND($D11=OBJECTIFS!$B$6,OBJECTIFS!$G$8="taux de chute"),AND($D11=OBJECTIFS!$B$13,OBJECTIFS!$G$15="taux de chute"),AND($D11=OBJECTIFS!$B$20,OBJECTIFS!$G$22="taux de chute"),AND($D11=OBJECTIFS!$B$27,OBJECTIFS!$G$29="taux de chute"),AND($D11=OBJECTIFS!$B$34,OBJECTIFS!$G$36="taux de chute",AND($D11=OBJECTIFS!$B$6,OBJECTIFS!G$8="tx mea"),AND($D11=OBJECTIFS!$B$13,OBJECTIFS!$G$15="tx mea"),AND($D11=OBJECTIFS!$B$20,OBJECTIFS!$G$22="tx mea"),AND($D11=OBJECTIFS!$B$27,OBJECTIFS!$G$29="tx mea"),AND($D11=OBJECTIFS!$B$34,OBJECTIFS!$G$36="tx mea"))),IFERROR(S11/R11,""),IFERROR(R11/S11,""))</f>
        <v/>
      </c>
      <c r="U11" s="152">
        <f>IFERROR(IF(OR(R11="",S11="",T11=""),0,IF(T11&lt;OBJECTIFS!$E$56,0,IF(T11&lt;OBJECTIFS!$G$56,U$8*OBJECTIFS!$F$60,IF(T11&lt;OBJECTIFS!$I$56,U$8*OBJECTIFS!$H$60,U$8)))),0)</f>
        <v>0</v>
      </c>
      <c r="V11" s="20"/>
      <c r="W11" s="72" t="str">
        <f>IF(OR($A11="",$D11="",V11=""),"",SUMIFS(OBJECTIFS!H$9:H$39,OBJECTIFS!$A$9:$A$39,$D11,OBJECTIFS!$C$9:$C$39,$F11))</f>
        <v/>
      </c>
      <c r="X11" s="72" t="str">
        <f>IF(OR(AND($D11=OBJECTIFS!$B$6,OBJECTIFS!H$8="dmt"),AND($D11=OBJECTIFS!$B$13,OBJECTIFS!$H$15="dmt"),AND($D11=OBJECTIFS!$B$20,OBJECTIFS!$H$22="dmt"),AND($D11=OBJECTIFS!$B$27,OBJECTIFS!$H$29="dmt"),AND($D11=OBJECTIFS!$B$34,OBJECTIFS!$H$36="dmt"),AND($D11=OBJECTIFS!$B$6,OBJECTIFS!$H$8="taux de chute"),AND($D11=OBJECTIFS!$B$13,OBJECTIFS!$H$15="taux de chute"),AND($D11=OBJECTIFS!$B$20,OBJECTIFS!$H$22="taux de chute"),AND($D11=OBJECTIFS!$B$27,OBJECTIFS!$H$29="taux de chute"),AND($D11=OBJECTIFS!$B$34,OBJECTIFS!$H$36="taux de chute"),AND($D11=OBJECTIFS!$B$6,OBJECTIFS!H$8="tx mea"),AND($D11=OBJECTIFS!$B$13,OBJECTIFS!$H$15="tx mea"),AND($D11=OBJECTIFS!$B$20,OBJECTIFS!$H$22="tx mea"),AND($D11=OBJECTIFS!$B$27,OBJECTIFS!$H$29="tx mea"),AND($D11=OBJECTIFS!$B$34,OBJECTIFS!$H$36="tx mea")),IFERROR(W11/V11,""),IFERROR(V11/W11,""))</f>
        <v/>
      </c>
      <c r="Y11" s="149">
        <f>IFERROR(IF(OR(V11="",W11="",X11=""),0,IF(X11&lt;OBJECTIFS!$E$56,0,IF(X11&lt;OBJECTIFS!$G$56,Y$8*OBJECTIFS!$F$60,IF(X11&lt;OBJECTIFS!$I$56,Y$8*OBJECTIFS!$H$60,Y$8)))),0)</f>
        <v>0</v>
      </c>
      <c r="Z11" s="124"/>
      <c r="AA11" s="72" t="str">
        <f>IF(OR($A11="",$D11="",Z11=""),"",SUMIFS(OBJECTIFS!I$9:I$39,OBJECTIFS!$A$9:$A$39,$D11,OBJECTIFS!$C$9:$C$39,$F11))</f>
        <v/>
      </c>
      <c r="AB11" s="72" t="str">
        <f>IF(OR(AND($D11=OBJECTIFS!$B$6,OBJECTIFS!I$8="dmt"),AND($D11=OBJECTIFS!$B$13,OBJECTIFS!$I$15="dmt"),AND($D11=OBJECTIFS!$B$20,OBJECTIFS!$I$22="dmt"),AND($D11=OBJECTIFS!$B$27,OBJECTIFS!$I$29="dmt"),AND($D11=OBJECTIFS!$B$34,OBJECTIFS!$I$36="dmt"),AND($D11=OBJECTIFS!$B$6,OBJECTIFS!$I$8="taux de chute"),AND($D11=OBJECTIFS!$B$13,OBJECTIFS!$I$15="taux de chute"),AND($D11=OBJECTIFS!$B$20,OBJECTIFS!$I$22="taux de chute"),AND($D11=OBJECTIFS!$B$27,OBJECTIFS!$I$29="taux de chute"),AND($D11=OBJECTIFS!$B$34,OBJECTIFS!$I$36="taux de chute"),AND($D11=OBJECTIFS!$B$6,OBJECTIFS!I$8="tx mea"),AND($D11=OBJECTIFS!$B$13,OBJECTIFS!$I$15="tx mea"),AND($D11=OBJECTIFS!$B$20,OBJECTIFS!$I$22="tx mea"),AND($D11=OBJECTIFS!$B$27,OBJECTIFS!$I$29="tx mea"),AND($D11=OBJECTIFS!$B$34,OBJECTIFS!$I$36="tx mea")),IFERROR(AA11/Z11,""),IFERROR(Z11/AA11,""))</f>
        <v/>
      </c>
      <c r="AC11" s="155">
        <f>IFERROR(IF(OR(Z11="",AA11="",AB11=""),0,IF(AB11&lt;OBJECTIFS!$E$56,0,IF(AB11&lt;OBJECTIFS!$G$56,AC$8*OBJECTIFS!$F$60,IF(AB11&lt;OBJECTIFS!$I$56,AC$8*OBJECTIFS!$H$60,AC$8)))),0)</f>
        <v>0</v>
      </c>
      <c r="AD11" s="289"/>
      <c r="AE11" s="290"/>
      <c r="AF11" s="158">
        <f t="shared" ca="1" si="3"/>
        <v>0</v>
      </c>
      <c r="AG11" s="52"/>
      <c r="AH11" s="126"/>
      <c r="AI11" s="19"/>
      <c r="AJ11" s="19"/>
      <c r="AK11" s="19"/>
      <c r="AL11" s="19"/>
      <c r="AM11" s="63">
        <f t="shared" si="4"/>
        <v>0</v>
      </c>
      <c r="AN11" s="63">
        <f t="shared" ref="AN11:AN79" si="8">AN10</f>
        <v>22</v>
      </c>
      <c r="AO11" s="64">
        <f t="shared" si="5"/>
        <v>0</v>
      </c>
      <c r="AP11" s="65" t="str">
        <f t="shared" ca="1" si="0"/>
        <v/>
      </c>
      <c r="AQ11" s="66"/>
      <c r="AR11" s="168">
        <f>IFERROR(VLOOKUP(B11,OBJECTIFS!$C$76:$E$137,2,FALSE),0)</f>
        <v>0</v>
      </c>
      <c r="AS11" s="173"/>
      <c r="AT11" s="170">
        <f>IFERROR(VLOOKUP(B11,OBJECTIFS!$H$76:$J$137,2,FALSE),0)</f>
        <v>0</v>
      </c>
      <c r="AU11" s="178">
        <f t="shared" si="6"/>
        <v>0</v>
      </c>
      <c r="AV11" s="173"/>
      <c r="AW11" s="74">
        <f>IFERROR(VLOOKUP(B11,OBJECTIFS!$C$142:$E$203,2,FALSE),0)</f>
        <v>0</v>
      </c>
      <c r="AX11" s="74">
        <f>IFERROR(VLOOKUP(B11,OBJECTIFS!$H$142:$J$203,2,FALSE),0)</f>
        <v>0</v>
      </c>
      <c r="AY11" s="174">
        <f>IFERROR(VLOOKUP(B11,OBJECTIFS!$F$208:$H$269,3,FALSE),0)</f>
        <v>0</v>
      </c>
      <c r="AZ11" s="66"/>
      <c r="BA11" s="75" t="str">
        <f t="shared" ca="1" si="7"/>
        <v/>
      </c>
      <c r="BB11" s="52"/>
      <c r="BC11" s="76">
        <f t="shared" ca="1" si="1"/>
        <v>0</v>
      </c>
      <c r="BD11" s="53" t="str">
        <f t="shared" ca="1" si="2"/>
        <v/>
      </c>
      <c r="BE11" s="77" t="str">
        <f t="shared" ref="BE11:BE42" ca="1" si="9">IF(BC11=0,"",IF(BC11&gt;=MAX($BC$9:$BC$78),A11,""))</f>
        <v/>
      </c>
    </row>
    <row r="12" spans="1:57" x14ac:dyDescent="0.2">
      <c r="A12" s="16"/>
      <c r="B12" s="17"/>
      <c r="C12" s="17"/>
      <c r="D12" s="18"/>
      <c r="E12" s="19"/>
      <c r="F12" s="27"/>
      <c r="H12" s="71" t="str">
        <f>IF(OR(D12="",F12="",A12=""),"",IF(E12="oui",0,IF(D12=OBJECTIFS!$C$45,VLOOKUP(F12,OBJECTIFS!$C$9:$D$11,2,FALSE),IF(D12=OBJECTIFS!$C$46,VLOOKUP(F12,OBJECTIFS!$C$16:$D$18,2,FALSE),IF(D12=OBJECTIFS!$C$47,VLOOKUP(F12,OBJECTIFS!$C$23:$D$25,2,FALSE),IF(D12=OBJECTIFS!$C$48,VLOOKUP(F12,OBJECTIFS!$C$30:$D$32,2,FALSE),IF(D12=OBJECTIFS!$C$49,VLOOKUP(F12,OBJECTIFS!$C$37:$D$39,2,FALSE))))))))</f>
        <v/>
      </c>
      <c r="J12" s="138"/>
      <c r="K12" s="141" t="str">
        <f>IF(OR($A12="",$D12="",J12=""),"",SUMIFS(OBJECTIFS!E$9:E$39,OBJECTIFS!$A$9:$A$39,$D12,OBJECTIFS!$C$9:$C$39,$F12))</f>
        <v/>
      </c>
      <c r="L12" s="72" t="str">
        <f>IF(OR(AND($D12=OBJECTIFS!$B$6,OBJECTIFS!E$8="dmt"),AND($D12=OBJECTIFS!$B$13,OBJECTIFS!$E$15="dmt"),AND($D12=OBJECTIFS!$B$20,OBJECTIFS!$E$22="dmt"),AND($D12=OBJECTIFS!$B$27,OBJECTIFS!$E$29="dmt"),AND($D12=OBJECTIFS!$B$34,OBJECTIFS!$E$36="dmt"),AND($D12=OBJECTIFS!$B$6,OBJECTIFS!$E$8="taux de chute"),AND($D12=OBJECTIFS!$B$13,OBJECTIFS!$E$15="taux de chute"),AND($D12=OBJECTIFS!$B$20,OBJECTIFS!$E$22="taux de chute"),AND($D12=OBJECTIFS!$B$27,OBJECTIFS!$E$29="taux de chute"),AND($D12=OBJECTIFS!$B$34,OBJECTIFS!$E$36="taux de chute"),AND($D12=OBJECTIFS!$B$6,OBJECTIFS!E$8="tx mea"),AND($D12=OBJECTIFS!$B$13,OBJECTIFS!$E$15="tx mea"),AND($D12=OBJECTIFS!$B$20,OBJECTIFS!$E$22="tx mea"),AND($D12=OBJECTIFS!$B$27,OBJECTIFS!$E$29="tx mea"),AND($D12=OBJECTIFS!$B$34,OBJECTIFS!$E$36="tx mea")),IFERROR(K12/J12,""),IFERROR(J12/K12,""))</f>
        <v/>
      </c>
      <c r="M12" s="149">
        <f>IFERROR(IF(OR(J12="",K12="",L12=""),0,IF(L12&lt;OBJECTIFS!$E$56,0,IF(L12&lt;OBJECTIFS!$G$56,M$8*OBJECTIFS!$F$60,IF(L12&lt;OBJECTIFS!$I$56,M$8*OBJECTIFS!$H$60,M$8)))),0)</f>
        <v>0</v>
      </c>
      <c r="N12" s="144"/>
      <c r="O12" s="145" t="str">
        <f>IF(OR($A12="",$D12="",N12=""),"",SUMIFS(OBJECTIFS!F$9:F$39,OBJECTIFS!$A$9:$A$39,$D12,OBJECTIFS!$C$9:$C$39,$F12))</f>
        <v/>
      </c>
      <c r="P12" s="72" t="str">
        <f>IF(OR(AND($D12=OBJECTIFS!$B$6,OBJECTIFS!$F$8="dmt"),AND($D12=OBJECTIFS!$B$13,OBJECTIFS!$F$15="dmt"),AND($D12=OBJECTIFS!$B$20,OBJECTIFS!$F$22="dmt"),AND($D12=OBJECTIFS!$B$27,OBJECTIFS!$F$29="dmt"),AND($D12=OBJECTIFS!$B$34,OBJECTIFS!$F$36="dmt"),AND($D12=OBJECTIFS!$B$6,OBJECTIFS!$F$8="taux de chute"),AND($D12=OBJECTIFS!$B$13,OBJECTIFS!$F$15="taux de chute"),AND($D12=OBJECTIFS!$B$20,OBJECTIFS!$F$22="taux de chute"),AND($D12=OBJECTIFS!$B$27,OBJECTIFS!$F$29="taux de chute"),AND($D12=OBJECTIFS!$B$34,OBJECTIFS!$F$36="taux de chute"),AND($D12=OBJECTIFS!$B$6,OBJECTIFS!$F$8="tx mea"),AND($D12=OBJECTIFS!$B$13,OBJECTIFS!$F$15="tx mea"),AND($D12=OBJECTIFS!$B$20,OBJECTIFS!$F$22="tx mea"),AND($D12=OBJECTIFS!$B$27,OBJECTIFS!$F$29="tx mea"),AND($D12=OBJECTIFS!$B$34,OBJECTIFS!$F$36="tx mea")),IFERROR(O12/N12,""),IFERROR(N12/O12,""))</f>
        <v/>
      </c>
      <c r="Q12" s="149">
        <f>IFERROR(IF(OR(N12="",O12="",P12=""),0,IF(P12&lt;OBJECTIFS!$E$56,0,IF(P12&lt;OBJECTIFS!$G$56,Q$8*OBJECTIFS!$F$60,IF(P12&lt;OBJECTIFS!$I$56,Q$8*OBJECTIFS!$H$60,Q$8)))),0)</f>
        <v>0</v>
      </c>
      <c r="R12" s="121"/>
      <c r="S12" s="73" t="str">
        <f>IF(OR($A12="",$D12="",R12=""),"",SUMIFS(OBJECTIFS!G$9:G$39,OBJECTIFS!$A$9:$A$39,$D12,OBJECTIFS!$C$9:$C$39,$F12))</f>
        <v/>
      </c>
      <c r="T12" s="72" t="str">
        <f>IF(OR(AND($D12=OBJECTIFS!$B$6,OBJECTIFS!G$8="dmt"),AND($D12=OBJECTIFS!$B$13,OBJECTIFS!$G$15="dmt"),AND($D12=OBJECTIFS!$B$20,OBJECTIFS!$G$22="dmt"),AND($D12=OBJECTIFS!$B$27,OBJECTIFS!$G$29="dmt"),AND($D12=OBJECTIFS!$B$34,OBJECTIFS!$G$36="dmt"),AND($D12=OBJECTIFS!$B$6,OBJECTIFS!$G$8="taux de chute"),AND($D12=OBJECTIFS!$B$13,OBJECTIFS!$G$15="taux de chute"),AND($D12=OBJECTIFS!$B$20,OBJECTIFS!$G$22="taux de chute"),AND($D12=OBJECTIFS!$B$27,OBJECTIFS!$G$29="taux de chute"),AND($D12=OBJECTIFS!$B$34,OBJECTIFS!$G$36="taux de chute",AND($D12=OBJECTIFS!$B$6,OBJECTIFS!G$8="tx mea"),AND($D12=OBJECTIFS!$B$13,OBJECTIFS!$G$15="tx mea"),AND($D12=OBJECTIFS!$B$20,OBJECTIFS!$G$22="tx mea"),AND($D12=OBJECTIFS!$B$27,OBJECTIFS!$G$29="tx mea"),AND($D12=OBJECTIFS!$B$34,OBJECTIFS!$G$36="tx mea"))),IFERROR(S12/R12,""),IFERROR(R12/S12,""))</f>
        <v/>
      </c>
      <c r="U12" s="152">
        <f>IFERROR(IF(OR(R12="",S12="",T12=""),0,IF(T12&lt;OBJECTIFS!$E$56,0,IF(T12&lt;OBJECTIFS!$G$56,U$8*OBJECTIFS!$F$60,IF(T12&lt;OBJECTIFS!$I$56,U$8*OBJECTIFS!$H$60,U$8)))),0)</f>
        <v>0</v>
      </c>
      <c r="V12" s="20"/>
      <c r="W12" s="72" t="str">
        <f>IF(OR($A12="",$D12="",V12=""),"",SUMIFS(OBJECTIFS!H$9:H$39,OBJECTIFS!$A$9:$A$39,$D12,OBJECTIFS!$C$9:$C$39,$F12))</f>
        <v/>
      </c>
      <c r="X12" s="72" t="str">
        <f>IF(OR(AND($D12=OBJECTIFS!$B$6,OBJECTIFS!H$8="dmt"),AND($D12=OBJECTIFS!$B$13,OBJECTIFS!$H$15="dmt"),AND($D12=OBJECTIFS!$B$20,OBJECTIFS!$H$22="dmt"),AND($D12=OBJECTIFS!$B$27,OBJECTIFS!$H$29="dmt"),AND($D12=OBJECTIFS!$B$34,OBJECTIFS!$H$36="dmt"),AND($D12=OBJECTIFS!$B$6,OBJECTIFS!$H$8="taux de chute"),AND($D12=OBJECTIFS!$B$13,OBJECTIFS!$H$15="taux de chute"),AND($D12=OBJECTIFS!$B$20,OBJECTIFS!$H$22="taux de chute"),AND($D12=OBJECTIFS!$B$27,OBJECTIFS!$H$29="taux de chute"),AND($D12=OBJECTIFS!$B$34,OBJECTIFS!$H$36="taux de chute"),AND($D12=OBJECTIFS!$B$6,OBJECTIFS!H$8="tx mea"),AND($D12=OBJECTIFS!$B$13,OBJECTIFS!$H$15="tx mea"),AND($D12=OBJECTIFS!$B$20,OBJECTIFS!$H$22="tx mea"),AND($D12=OBJECTIFS!$B$27,OBJECTIFS!$H$29="tx mea"),AND($D12=OBJECTIFS!$B$34,OBJECTIFS!$H$36="tx mea")),IFERROR(W12/V12,""),IFERROR(V12/W12,""))</f>
        <v/>
      </c>
      <c r="Y12" s="149">
        <f>IFERROR(IF(OR(V12="",W12="",X12=""),0,IF(X12&lt;OBJECTIFS!$E$56,0,IF(X12&lt;OBJECTIFS!$G$56,Y$8*OBJECTIFS!$F$60,IF(X12&lt;OBJECTIFS!$I$56,Y$8*OBJECTIFS!$H$60,Y$8)))),0)</f>
        <v>0</v>
      </c>
      <c r="Z12" s="124"/>
      <c r="AA12" s="72" t="str">
        <f>IF(OR($A12="",$D12="",Z12=""),"",SUMIFS(OBJECTIFS!I$9:I$39,OBJECTIFS!$A$9:$A$39,$D12,OBJECTIFS!$C$9:$C$39,$F12))</f>
        <v/>
      </c>
      <c r="AB12" s="72" t="str">
        <f>IF(OR(AND($D12=OBJECTIFS!$B$6,OBJECTIFS!I$8="dmt"),AND($D12=OBJECTIFS!$B$13,OBJECTIFS!$I$15="dmt"),AND($D12=OBJECTIFS!$B$20,OBJECTIFS!$I$22="dmt"),AND($D12=OBJECTIFS!$B$27,OBJECTIFS!$I$29="dmt"),AND($D12=OBJECTIFS!$B$34,OBJECTIFS!$I$36="dmt"),AND($D12=OBJECTIFS!$B$6,OBJECTIFS!$I$8="taux de chute"),AND($D12=OBJECTIFS!$B$13,OBJECTIFS!$I$15="taux de chute"),AND($D12=OBJECTIFS!$B$20,OBJECTIFS!$I$22="taux de chute"),AND($D12=OBJECTIFS!$B$27,OBJECTIFS!$I$29="taux de chute"),AND($D12=OBJECTIFS!$B$34,OBJECTIFS!$I$36="taux de chute"),AND($D12=OBJECTIFS!$B$6,OBJECTIFS!I$8="tx mea"),AND($D12=OBJECTIFS!$B$13,OBJECTIFS!$I$15="tx mea"),AND($D12=OBJECTIFS!$B$20,OBJECTIFS!$I$22="tx mea"),AND($D12=OBJECTIFS!$B$27,OBJECTIFS!$I$29="tx mea"),AND($D12=OBJECTIFS!$B$34,OBJECTIFS!$I$36="tx mea")),IFERROR(AA12/Z12,""),IFERROR(Z12/AA12,""))</f>
        <v/>
      </c>
      <c r="AC12" s="155">
        <f>IFERROR(IF(OR(Z12="",AA12="",AB12=""),0,IF(AB12&lt;OBJECTIFS!$E$56,0,IF(AB12&lt;OBJECTIFS!$G$56,AC$8*OBJECTIFS!$F$60,IF(AB12&lt;OBJECTIFS!$I$56,AC$8*OBJECTIFS!$H$60,AC$8)))),0)</f>
        <v>0</v>
      </c>
      <c r="AD12" s="289"/>
      <c r="AE12" s="290"/>
      <c r="AF12" s="158">
        <f t="shared" ca="1" si="3"/>
        <v>0</v>
      </c>
      <c r="AG12" s="52"/>
      <c r="AH12" s="134"/>
      <c r="AI12" s="19"/>
      <c r="AJ12" s="19"/>
      <c r="AK12" s="19"/>
      <c r="AL12" s="19"/>
      <c r="AM12" s="63">
        <f t="shared" ref="AM12" si="10">SUM(AK12:AL12,AI12)</f>
        <v>0</v>
      </c>
      <c r="AN12" s="63">
        <f t="shared" si="8"/>
        <v>22</v>
      </c>
      <c r="AO12" s="64">
        <f t="shared" ref="AO12" si="11">IFERROR(IF(IF(OR(AI12&gt;=2,AJ12&gt;=8,AND(AI12=1,AJ12&gt;=4)),0,IF(OR(AND(AI12=1,AJ12&lt;4),AND(AI12=0,AJ12&gt;=4,AJ12&lt;8)),50%,100%))*(AN12-AM12)/AN12=0,-100%,IF(OR(AI12&gt;=2,AJ12&gt;=8,AND(AI12=1,AJ12&gt;=4)),0,IF(OR(AND(AI12=1,AJ12&lt;4),AND(AI12=0,AJ12&gt;=4,AJ12&lt;8)),50%,100%))*(AN12-AM12)/AN12-1),"")</f>
        <v>0</v>
      </c>
      <c r="AP12" s="65" t="str">
        <f t="shared" ref="AP12" ca="1" si="12">IFERROR((H12*AF12/100)*(1+AO12),"")</f>
        <v/>
      </c>
      <c r="AQ12" s="66"/>
      <c r="AR12" s="168">
        <f>IFERROR(VLOOKUP(B12,OBJECTIFS!$C$76:$E$137,2,FALSE),0)</f>
        <v>0</v>
      </c>
      <c r="AS12" s="173"/>
      <c r="AT12" s="170">
        <f>IFERROR(VLOOKUP(B12,OBJECTIFS!$H$76:$J$137,2,FALSE),0)</f>
        <v>0</v>
      </c>
      <c r="AU12" s="178">
        <f t="shared" si="6"/>
        <v>0</v>
      </c>
      <c r="AV12" s="173"/>
      <c r="AW12" s="74">
        <f>IFERROR(VLOOKUP(B12,OBJECTIFS!$C$142:$E$203,2,FALSE),0)</f>
        <v>0</v>
      </c>
      <c r="AX12" s="74">
        <f>IFERROR(VLOOKUP(B12,OBJECTIFS!$H$142:$J$203,2,FALSE),0)</f>
        <v>0</v>
      </c>
      <c r="AY12" s="174">
        <f>IFERROR(VLOOKUP(B12,OBJECTIFS!$F$208:$H$269,3,FALSE),0)</f>
        <v>0</v>
      </c>
      <c r="AZ12" s="66"/>
      <c r="BA12" s="75" t="str">
        <f t="shared" ca="1" si="7"/>
        <v/>
      </c>
      <c r="BB12" s="52"/>
      <c r="BC12" s="76">
        <f t="shared" ca="1" si="1"/>
        <v>0</v>
      </c>
      <c r="BD12" s="53" t="str">
        <f t="shared" ref="BD12" ca="1" si="13">IF(BE12="","","è")</f>
        <v/>
      </c>
      <c r="BE12" s="77" t="str">
        <f t="shared" ca="1" si="9"/>
        <v/>
      </c>
    </row>
    <row r="13" spans="1:57" x14ac:dyDescent="0.2">
      <c r="A13" s="16"/>
      <c r="B13" s="17"/>
      <c r="C13" s="17"/>
      <c r="D13" s="18"/>
      <c r="E13" s="19"/>
      <c r="F13" s="27"/>
      <c r="H13" s="71" t="str">
        <f>IF(OR(D13="",F13="",A13=""),"",IF(E13="oui",0,IF(D13=OBJECTIFS!$C$45,VLOOKUP(F13,OBJECTIFS!$C$9:$D$11,2,FALSE),IF(D13=OBJECTIFS!$C$46,VLOOKUP(F13,OBJECTIFS!$C$16:$D$18,2,FALSE),IF(D13=OBJECTIFS!$C$47,VLOOKUP(F13,OBJECTIFS!$C$23:$D$25,2,FALSE),IF(D13=OBJECTIFS!$C$48,VLOOKUP(F13,OBJECTIFS!$C$30:$D$32,2,FALSE),IF(D13=OBJECTIFS!$C$49,VLOOKUP(F13,OBJECTIFS!$C$37:$D$39,2,FALSE))))))))</f>
        <v/>
      </c>
      <c r="J13" s="138"/>
      <c r="K13" s="141" t="str">
        <f>IF(OR($A13="",$D13="",J13=""),"",SUMIFS(OBJECTIFS!E$9:E$39,OBJECTIFS!$A$9:$A$39,$D13,OBJECTIFS!$C$9:$C$39,$F13))</f>
        <v/>
      </c>
      <c r="L13" s="72" t="str">
        <f>IF(OR(AND($D13=OBJECTIFS!$B$6,OBJECTIFS!E$8="dmt"),AND($D13=OBJECTIFS!$B$13,OBJECTIFS!$E$15="dmt"),AND($D13=OBJECTIFS!$B$20,OBJECTIFS!$E$22="dmt"),AND($D13=OBJECTIFS!$B$27,OBJECTIFS!$E$29="dmt"),AND($D13=OBJECTIFS!$B$34,OBJECTIFS!$E$36="dmt"),AND($D13=OBJECTIFS!$B$6,OBJECTIFS!$E$8="taux de chute"),AND($D13=OBJECTIFS!$B$13,OBJECTIFS!$E$15="taux de chute"),AND($D13=OBJECTIFS!$B$20,OBJECTIFS!$E$22="taux de chute"),AND($D13=OBJECTIFS!$B$27,OBJECTIFS!$E$29="taux de chute"),AND($D13=OBJECTIFS!$B$34,OBJECTIFS!$E$36="taux de chute"),AND($D13=OBJECTIFS!$B$6,OBJECTIFS!E$8="tx mea"),AND($D13=OBJECTIFS!$B$13,OBJECTIFS!$E$15="tx mea"),AND($D13=OBJECTIFS!$B$20,OBJECTIFS!$E$22="tx mea"),AND($D13=OBJECTIFS!$B$27,OBJECTIFS!$E$29="tx mea"),AND($D13=OBJECTIFS!$B$34,OBJECTIFS!$E$36="tx mea")),IFERROR(K13/J13,""),IFERROR(J13/K13,""))</f>
        <v/>
      </c>
      <c r="M13" s="149">
        <f>IFERROR(IF(OR(J13="",K13="",L13=""),0,IF(L13&lt;OBJECTIFS!$E$56,0,IF(L13&lt;OBJECTIFS!$G$56,M$8*OBJECTIFS!$F$60,IF(L13&lt;OBJECTIFS!$I$56,M$8*OBJECTIFS!$H$60,M$8)))),0)</f>
        <v>0</v>
      </c>
      <c r="N13" s="144"/>
      <c r="O13" s="145" t="str">
        <f>IF(OR($A13="",$D13="",N13=""),"",SUMIFS(OBJECTIFS!F$9:F$39,OBJECTIFS!$A$9:$A$39,$D13,OBJECTIFS!$C$9:$C$39,$F13))</f>
        <v/>
      </c>
      <c r="P13" s="72" t="str">
        <f>IF(OR(AND($D13=OBJECTIFS!$B$6,OBJECTIFS!$F$8="dmt"),AND($D13=OBJECTIFS!$B$13,OBJECTIFS!$F$15="dmt"),AND($D13=OBJECTIFS!$B$20,OBJECTIFS!$F$22="dmt"),AND($D13=OBJECTIFS!$B$27,OBJECTIFS!$F$29="dmt"),AND($D13=OBJECTIFS!$B$34,OBJECTIFS!$F$36="dmt"),AND($D13=OBJECTIFS!$B$6,OBJECTIFS!$F$8="taux de chute"),AND($D13=OBJECTIFS!$B$13,OBJECTIFS!$F$15="taux de chute"),AND($D13=OBJECTIFS!$B$20,OBJECTIFS!$F$22="taux de chute"),AND($D13=OBJECTIFS!$B$27,OBJECTIFS!$F$29="taux de chute"),AND($D13=OBJECTIFS!$B$34,OBJECTIFS!$F$36="taux de chute"),AND($D13=OBJECTIFS!$B$6,OBJECTIFS!$F$8="tx mea"),AND($D13=OBJECTIFS!$B$13,OBJECTIFS!$F$15="tx mea"),AND($D13=OBJECTIFS!$B$20,OBJECTIFS!$F$22="tx mea"),AND($D13=OBJECTIFS!$B$27,OBJECTIFS!$F$29="tx mea"),AND($D13=OBJECTIFS!$B$34,OBJECTIFS!$F$36="tx mea")),IFERROR(O13/N13,""),IFERROR(N13/O13,""))</f>
        <v/>
      </c>
      <c r="Q13" s="149">
        <f>IFERROR(IF(OR(N13="",O13="",P13=""),0,IF(P13&lt;OBJECTIFS!$E$56,0,IF(P13&lt;OBJECTIFS!$G$56,Q$8*OBJECTIFS!$F$60,IF(P13&lt;OBJECTIFS!$I$56,Q$8*OBJECTIFS!$H$60,Q$8)))),0)</f>
        <v>0</v>
      </c>
      <c r="R13" s="121"/>
      <c r="S13" s="73" t="str">
        <f>IF(OR($A13="",$D13="",R13=""),"",SUMIFS(OBJECTIFS!G$9:G$39,OBJECTIFS!$A$9:$A$39,$D13,OBJECTIFS!$C$9:$C$39,$F13))</f>
        <v/>
      </c>
      <c r="T13" s="72" t="str">
        <f>IF(OR(AND($D13=OBJECTIFS!$B$6,OBJECTIFS!G$8="dmt"),AND($D13=OBJECTIFS!$B$13,OBJECTIFS!$G$15="dmt"),AND($D13=OBJECTIFS!$B$20,OBJECTIFS!$G$22="dmt"),AND($D13=OBJECTIFS!$B$27,OBJECTIFS!$G$29="dmt"),AND($D13=OBJECTIFS!$B$34,OBJECTIFS!$G$36="dmt"),AND($D13=OBJECTIFS!$B$6,OBJECTIFS!$G$8="taux de chute"),AND($D13=OBJECTIFS!$B$13,OBJECTIFS!$G$15="taux de chute"),AND($D13=OBJECTIFS!$B$20,OBJECTIFS!$G$22="taux de chute"),AND($D13=OBJECTIFS!$B$27,OBJECTIFS!$G$29="taux de chute"),AND($D13=OBJECTIFS!$B$34,OBJECTIFS!$G$36="taux de chute",AND($D13=OBJECTIFS!$B$6,OBJECTIFS!G$8="tx mea"),AND($D13=OBJECTIFS!$B$13,OBJECTIFS!$G$15="tx mea"),AND($D13=OBJECTIFS!$B$20,OBJECTIFS!$G$22="tx mea"),AND($D13=OBJECTIFS!$B$27,OBJECTIFS!$G$29="tx mea"),AND($D13=OBJECTIFS!$B$34,OBJECTIFS!$G$36="tx mea"))),IFERROR(S13/R13,""),IFERROR(R13/S13,""))</f>
        <v/>
      </c>
      <c r="U13" s="152">
        <f>IFERROR(IF(OR(R13="",S13="",T13=""),0,IF(T13&lt;OBJECTIFS!$E$56,0,IF(T13&lt;OBJECTIFS!$G$56,U$8*OBJECTIFS!$F$60,IF(T13&lt;OBJECTIFS!$I$56,U$8*OBJECTIFS!$H$60,U$8)))),0)</f>
        <v>0</v>
      </c>
      <c r="V13" s="20"/>
      <c r="W13" s="72" t="str">
        <f>IF(OR($A13="",$D13="",V13=""),"",SUMIFS(OBJECTIFS!H$9:H$39,OBJECTIFS!$A$9:$A$39,$D13,OBJECTIFS!$C$9:$C$39,$F13))</f>
        <v/>
      </c>
      <c r="X13" s="72" t="str">
        <f>IF(OR(AND($D13=OBJECTIFS!$B$6,OBJECTIFS!H$8="dmt"),AND($D13=OBJECTIFS!$B$13,OBJECTIFS!$H$15="dmt"),AND($D13=OBJECTIFS!$B$20,OBJECTIFS!$H$22="dmt"),AND($D13=OBJECTIFS!$B$27,OBJECTIFS!$H$29="dmt"),AND($D13=OBJECTIFS!$B$34,OBJECTIFS!$H$36="dmt"),AND($D13=OBJECTIFS!$B$6,OBJECTIFS!$H$8="taux de chute"),AND($D13=OBJECTIFS!$B$13,OBJECTIFS!$H$15="taux de chute"),AND($D13=OBJECTIFS!$B$20,OBJECTIFS!$H$22="taux de chute"),AND($D13=OBJECTIFS!$B$27,OBJECTIFS!$H$29="taux de chute"),AND($D13=OBJECTIFS!$B$34,OBJECTIFS!$H$36="taux de chute"),AND($D13=OBJECTIFS!$B$6,OBJECTIFS!H$8="tx mea"),AND($D13=OBJECTIFS!$B$13,OBJECTIFS!$H$15="tx mea"),AND($D13=OBJECTIFS!$B$20,OBJECTIFS!$H$22="tx mea"),AND($D13=OBJECTIFS!$B$27,OBJECTIFS!$H$29="tx mea"),AND($D13=OBJECTIFS!$B$34,OBJECTIFS!$H$36="tx mea")),IFERROR(W13/V13,""),IFERROR(V13/W13,""))</f>
        <v/>
      </c>
      <c r="Y13" s="149">
        <f>IFERROR(IF(OR(V13="",W13="",X13=""),0,IF(X13&lt;OBJECTIFS!$E$56,0,IF(X13&lt;OBJECTIFS!$G$56,Y$8*OBJECTIFS!$F$60,IF(X13&lt;OBJECTIFS!$I$56,Y$8*OBJECTIFS!$H$60,Y$8)))),0)</f>
        <v>0</v>
      </c>
      <c r="Z13" s="124"/>
      <c r="AA13" s="72" t="str">
        <f>IF(OR($A13="",$D13="",Z13=""),"",SUMIFS(OBJECTIFS!I$9:I$39,OBJECTIFS!$A$9:$A$39,$D13,OBJECTIFS!$C$9:$C$39,$F13))</f>
        <v/>
      </c>
      <c r="AB13" s="72" t="str">
        <f>IF(OR(AND($D13=OBJECTIFS!$B$6,OBJECTIFS!I$8="dmt"),AND($D13=OBJECTIFS!$B$13,OBJECTIFS!$I$15="dmt"),AND($D13=OBJECTIFS!$B$20,OBJECTIFS!$I$22="dmt"),AND($D13=OBJECTIFS!$B$27,OBJECTIFS!$I$29="dmt"),AND($D13=OBJECTIFS!$B$34,OBJECTIFS!$I$36="dmt"),AND($D13=OBJECTIFS!$B$6,OBJECTIFS!$I$8="taux de chute"),AND($D13=OBJECTIFS!$B$13,OBJECTIFS!$I$15="taux de chute"),AND($D13=OBJECTIFS!$B$20,OBJECTIFS!$I$22="taux de chute"),AND($D13=OBJECTIFS!$B$27,OBJECTIFS!$I$29="taux de chute"),AND($D13=OBJECTIFS!$B$34,OBJECTIFS!$I$36="taux de chute"),AND($D13=OBJECTIFS!$B$6,OBJECTIFS!I$8="tx mea"),AND($D13=OBJECTIFS!$B$13,OBJECTIFS!$I$15="tx mea"),AND($D13=OBJECTIFS!$B$20,OBJECTIFS!$I$22="tx mea"),AND($D13=OBJECTIFS!$B$27,OBJECTIFS!$I$29="tx mea"),AND($D13=OBJECTIFS!$B$34,OBJECTIFS!$I$36="tx mea")),IFERROR(AA13/Z13,""),IFERROR(Z13/AA13,""))</f>
        <v/>
      </c>
      <c r="AC13" s="155">
        <f>IFERROR(IF(OR(Z13="",AA13="",AB13=""),0,IF(AB13&lt;OBJECTIFS!$E$56,0,IF(AB13&lt;OBJECTIFS!$G$56,AC$8*OBJECTIFS!$F$60,IF(AB13&lt;OBJECTIFS!$I$56,AC$8*OBJECTIFS!$H$60,AC$8)))),0)</f>
        <v>0</v>
      </c>
      <c r="AD13" s="289"/>
      <c r="AE13" s="290"/>
      <c r="AF13" s="158">
        <f t="shared" ca="1" si="3"/>
        <v>0</v>
      </c>
      <c r="AG13" s="52"/>
      <c r="AH13" s="134"/>
      <c r="AI13" s="19"/>
      <c r="AJ13" s="19"/>
      <c r="AK13" s="19"/>
      <c r="AL13" s="19"/>
      <c r="AM13" s="63">
        <f t="shared" ref="AM13" si="14">SUM(AK13:AL13,AI13)</f>
        <v>0</v>
      </c>
      <c r="AN13" s="63">
        <f t="shared" si="8"/>
        <v>22</v>
      </c>
      <c r="AO13" s="64">
        <f t="shared" ref="AO13" si="15">IFERROR(IF(IF(OR(AI13&gt;=2,AJ13&gt;=8,AND(AI13=1,AJ13&gt;=4)),0,IF(OR(AND(AI13=1,AJ13&lt;4),AND(AI13=0,AJ13&gt;=4,AJ13&lt;8)),50%,100%))*(AN13-AM13)/AN13=0,-100%,IF(OR(AI13&gt;=2,AJ13&gt;=8,AND(AI13=1,AJ13&gt;=4)),0,IF(OR(AND(AI13=1,AJ13&lt;4),AND(AI13=0,AJ13&gt;=4,AJ13&lt;8)),50%,100%))*(AN13-AM13)/AN13-1),"")</f>
        <v>0</v>
      </c>
      <c r="AP13" s="65" t="str">
        <f t="shared" ref="AP13" ca="1" si="16">IFERROR((H13*AF13/100)*(1+AO13),"")</f>
        <v/>
      </c>
      <c r="AQ13" s="66"/>
      <c r="AR13" s="168">
        <f>IFERROR(VLOOKUP(B13,OBJECTIFS!$C$76:$E$137,2,FALSE),0)</f>
        <v>0</v>
      </c>
      <c r="AS13" s="173"/>
      <c r="AT13" s="170">
        <f>IFERROR(VLOOKUP(B13,OBJECTIFS!$H$76:$J$137,2,FALSE),0)</f>
        <v>0</v>
      </c>
      <c r="AU13" s="178">
        <f t="shared" si="6"/>
        <v>0</v>
      </c>
      <c r="AV13" s="173"/>
      <c r="AW13" s="74">
        <f>IFERROR(VLOOKUP(B13,OBJECTIFS!$C$142:$E$203,2,FALSE),0)</f>
        <v>0</v>
      </c>
      <c r="AX13" s="74">
        <f>IFERROR(VLOOKUP(B13,OBJECTIFS!$H$142:$J$203,2,FALSE),0)</f>
        <v>0</v>
      </c>
      <c r="AY13" s="174">
        <f>IFERROR(VLOOKUP(B13,OBJECTIFS!$F$208:$H$269,3,FALSE),0)</f>
        <v>0</v>
      </c>
      <c r="AZ13" s="66"/>
      <c r="BA13" s="75" t="str">
        <f t="shared" ca="1" si="7"/>
        <v/>
      </c>
      <c r="BB13" s="52"/>
      <c r="BC13" s="76">
        <f t="shared" ca="1" si="1"/>
        <v>0</v>
      </c>
      <c r="BD13" s="53" t="str">
        <f t="shared" ref="BD13" ca="1" si="17">IF(BE13="","","è")</f>
        <v/>
      </c>
      <c r="BE13" s="77" t="str">
        <f t="shared" ca="1" si="9"/>
        <v/>
      </c>
    </row>
    <row r="14" spans="1:57" x14ac:dyDescent="0.2">
      <c r="A14" s="16"/>
      <c r="B14" s="17"/>
      <c r="C14" s="17"/>
      <c r="D14" s="18"/>
      <c r="E14" s="19"/>
      <c r="F14" s="27"/>
      <c r="H14" s="71" t="str">
        <f>IF(OR(D14="",F14="",A14=""),"",IF(E14="oui",0,IF(D14=OBJECTIFS!$C$45,VLOOKUP(F14,OBJECTIFS!$C$9:$D$11,2,FALSE),IF(D14=OBJECTIFS!$C$46,VLOOKUP(F14,OBJECTIFS!$C$16:$D$18,2,FALSE),IF(D14=OBJECTIFS!$C$47,VLOOKUP(F14,OBJECTIFS!$C$23:$D$25,2,FALSE),IF(D14=OBJECTIFS!$C$48,VLOOKUP(F14,OBJECTIFS!$C$30:$D$32,2,FALSE),IF(D14=OBJECTIFS!$C$49,VLOOKUP(F14,OBJECTIFS!$C$37:$D$39,2,FALSE))))))))</f>
        <v/>
      </c>
      <c r="J14" s="138"/>
      <c r="K14" s="141" t="str">
        <f>IF(OR($A14="",$D14="",J14=""),"",SUMIFS(OBJECTIFS!E$9:E$39,OBJECTIFS!$A$9:$A$39,$D14,OBJECTIFS!$C$9:$C$39,$F14))</f>
        <v/>
      </c>
      <c r="L14" s="72" t="str">
        <f>IF(OR(AND($D14=OBJECTIFS!$B$6,OBJECTIFS!E$8="dmt"),AND($D14=OBJECTIFS!$B$13,OBJECTIFS!$E$15="dmt"),AND($D14=OBJECTIFS!$B$20,OBJECTIFS!$E$22="dmt"),AND($D14=OBJECTIFS!$B$27,OBJECTIFS!$E$29="dmt"),AND($D14=OBJECTIFS!$B$34,OBJECTIFS!$E$36="dmt"),AND($D14=OBJECTIFS!$B$6,OBJECTIFS!$E$8="taux de chute"),AND($D14=OBJECTIFS!$B$13,OBJECTIFS!$E$15="taux de chute"),AND($D14=OBJECTIFS!$B$20,OBJECTIFS!$E$22="taux de chute"),AND($D14=OBJECTIFS!$B$27,OBJECTIFS!$E$29="taux de chute"),AND($D14=OBJECTIFS!$B$34,OBJECTIFS!$E$36="taux de chute"),AND($D14=OBJECTIFS!$B$6,OBJECTIFS!E$8="tx mea"),AND($D14=OBJECTIFS!$B$13,OBJECTIFS!$E$15="tx mea"),AND($D14=OBJECTIFS!$B$20,OBJECTIFS!$E$22="tx mea"),AND($D14=OBJECTIFS!$B$27,OBJECTIFS!$E$29="tx mea"),AND($D14=OBJECTIFS!$B$34,OBJECTIFS!$E$36="tx mea")),IFERROR(K14/J14,""),IFERROR(J14/K14,""))</f>
        <v/>
      </c>
      <c r="M14" s="149">
        <f>IFERROR(IF(OR(J14="",K14="",L14=""),0,IF(L14&lt;OBJECTIFS!$E$56,0,IF(L14&lt;OBJECTIFS!$G$56,M$8*OBJECTIFS!$F$60,IF(L14&lt;OBJECTIFS!$I$56,M$8*OBJECTIFS!$H$60,M$8)))),0)</f>
        <v>0</v>
      </c>
      <c r="N14" s="144"/>
      <c r="O14" s="145" t="str">
        <f>IF(OR($A14="",$D14="",N14=""),"",SUMIFS(OBJECTIFS!F$9:F$39,OBJECTIFS!$A$9:$A$39,$D14,OBJECTIFS!$C$9:$C$39,$F14))</f>
        <v/>
      </c>
      <c r="P14" s="72" t="str">
        <f>IF(OR(AND($D14=OBJECTIFS!$B$6,OBJECTIFS!$F$8="dmt"),AND($D14=OBJECTIFS!$B$13,OBJECTIFS!$F$15="dmt"),AND($D14=OBJECTIFS!$B$20,OBJECTIFS!$F$22="dmt"),AND($D14=OBJECTIFS!$B$27,OBJECTIFS!$F$29="dmt"),AND($D14=OBJECTIFS!$B$34,OBJECTIFS!$F$36="dmt"),AND($D14=OBJECTIFS!$B$6,OBJECTIFS!$F$8="taux de chute"),AND($D14=OBJECTIFS!$B$13,OBJECTIFS!$F$15="taux de chute"),AND($D14=OBJECTIFS!$B$20,OBJECTIFS!$F$22="taux de chute"),AND($D14=OBJECTIFS!$B$27,OBJECTIFS!$F$29="taux de chute"),AND($D14=OBJECTIFS!$B$34,OBJECTIFS!$F$36="taux de chute"),AND($D14=OBJECTIFS!$B$6,OBJECTIFS!$F$8="tx mea"),AND($D14=OBJECTIFS!$B$13,OBJECTIFS!$F$15="tx mea"),AND($D14=OBJECTIFS!$B$20,OBJECTIFS!$F$22="tx mea"),AND($D14=OBJECTIFS!$B$27,OBJECTIFS!$F$29="tx mea"),AND($D14=OBJECTIFS!$B$34,OBJECTIFS!$F$36="tx mea")),IFERROR(O14/N14,""),IFERROR(N14/O14,""))</f>
        <v/>
      </c>
      <c r="Q14" s="149">
        <f>IFERROR(IF(OR(N14="",O14="",P14=""),0,IF(P14&lt;OBJECTIFS!$E$56,0,IF(P14&lt;OBJECTIFS!$G$56,Q$8*OBJECTIFS!$F$60,IF(P14&lt;OBJECTIFS!$I$56,Q$8*OBJECTIFS!$H$60,Q$8)))),0)</f>
        <v>0</v>
      </c>
      <c r="R14" s="121"/>
      <c r="S14" s="73" t="str">
        <f>IF(OR($A14="",$D14="",R14=""),"",SUMIFS(OBJECTIFS!G$9:G$39,OBJECTIFS!$A$9:$A$39,$D14,OBJECTIFS!$C$9:$C$39,$F14))</f>
        <v/>
      </c>
      <c r="T14" s="72" t="str">
        <f>IF(OR(AND($D14=OBJECTIFS!$B$6,OBJECTIFS!G$8="dmt"),AND($D14=OBJECTIFS!$B$13,OBJECTIFS!$G$15="dmt"),AND($D14=OBJECTIFS!$B$20,OBJECTIFS!$G$22="dmt"),AND($D14=OBJECTIFS!$B$27,OBJECTIFS!$G$29="dmt"),AND($D14=OBJECTIFS!$B$34,OBJECTIFS!$G$36="dmt"),AND($D14=OBJECTIFS!$B$6,OBJECTIFS!$G$8="taux de chute"),AND($D14=OBJECTIFS!$B$13,OBJECTIFS!$G$15="taux de chute"),AND($D14=OBJECTIFS!$B$20,OBJECTIFS!$G$22="taux de chute"),AND($D14=OBJECTIFS!$B$27,OBJECTIFS!$G$29="taux de chute"),AND($D14=OBJECTIFS!$B$34,OBJECTIFS!$G$36="taux de chute",AND($D14=OBJECTIFS!$B$6,OBJECTIFS!G$8="tx mea"),AND($D14=OBJECTIFS!$B$13,OBJECTIFS!$G$15="tx mea"),AND($D14=OBJECTIFS!$B$20,OBJECTIFS!$G$22="tx mea"),AND($D14=OBJECTIFS!$B$27,OBJECTIFS!$G$29="tx mea"),AND($D14=OBJECTIFS!$B$34,OBJECTIFS!$G$36="tx mea"))),IFERROR(S14/R14,""),IFERROR(R14/S14,""))</f>
        <v/>
      </c>
      <c r="U14" s="152">
        <f>IFERROR(IF(OR(R14="",S14="",T14=""),0,IF(T14&lt;OBJECTIFS!$E$56,0,IF(T14&lt;OBJECTIFS!$G$56,U$8*OBJECTIFS!$F$60,IF(T14&lt;OBJECTIFS!$I$56,U$8*OBJECTIFS!$H$60,U$8)))),0)</f>
        <v>0</v>
      </c>
      <c r="V14" s="20"/>
      <c r="W14" s="72" t="str">
        <f>IF(OR($A14="",$D14="",V14=""),"",SUMIFS(OBJECTIFS!H$9:H$39,OBJECTIFS!$A$9:$A$39,$D14,OBJECTIFS!$C$9:$C$39,$F14))</f>
        <v/>
      </c>
      <c r="X14" s="72" t="str">
        <f>IF(OR(AND($D14=OBJECTIFS!$B$6,OBJECTIFS!H$8="dmt"),AND($D14=OBJECTIFS!$B$13,OBJECTIFS!$H$15="dmt"),AND($D14=OBJECTIFS!$B$20,OBJECTIFS!$H$22="dmt"),AND($D14=OBJECTIFS!$B$27,OBJECTIFS!$H$29="dmt"),AND($D14=OBJECTIFS!$B$34,OBJECTIFS!$H$36="dmt"),AND($D14=OBJECTIFS!$B$6,OBJECTIFS!$H$8="taux de chute"),AND($D14=OBJECTIFS!$B$13,OBJECTIFS!$H$15="taux de chute"),AND($D14=OBJECTIFS!$B$20,OBJECTIFS!$H$22="taux de chute"),AND($D14=OBJECTIFS!$B$27,OBJECTIFS!$H$29="taux de chute"),AND($D14=OBJECTIFS!$B$34,OBJECTIFS!$H$36="taux de chute"),AND($D14=OBJECTIFS!$B$6,OBJECTIFS!H$8="tx mea"),AND($D14=OBJECTIFS!$B$13,OBJECTIFS!$H$15="tx mea"),AND($D14=OBJECTIFS!$B$20,OBJECTIFS!$H$22="tx mea"),AND($D14=OBJECTIFS!$B$27,OBJECTIFS!$H$29="tx mea"),AND($D14=OBJECTIFS!$B$34,OBJECTIFS!$H$36="tx mea")),IFERROR(W14/V14,""),IFERROR(V14/W14,""))</f>
        <v/>
      </c>
      <c r="Y14" s="149">
        <f>IFERROR(IF(OR(V14="",W14="",X14=""),0,IF(X14&lt;OBJECTIFS!$E$56,0,IF(X14&lt;OBJECTIFS!$G$56,Y$8*OBJECTIFS!$F$60,IF(X14&lt;OBJECTIFS!$I$56,Y$8*OBJECTIFS!$H$60,Y$8)))),0)</f>
        <v>0</v>
      </c>
      <c r="Z14" s="124"/>
      <c r="AA14" s="72" t="str">
        <f>IF(OR($A14="",$D14="",Z14=""),"",SUMIFS(OBJECTIFS!I$9:I$39,OBJECTIFS!$A$9:$A$39,$D14,OBJECTIFS!$C$9:$C$39,$F14))</f>
        <v/>
      </c>
      <c r="AB14" s="72" t="str">
        <f>IF(OR(AND($D14=OBJECTIFS!$B$6,OBJECTIFS!I$8="dmt"),AND($D14=OBJECTIFS!$B$13,OBJECTIFS!$I$15="dmt"),AND($D14=OBJECTIFS!$B$20,OBJECTIFS!$I$22="dmt"),AND($D14=OBJECTIFS!$B$27,OBJECTIFS!$I$29="dmt"),AND($D14=OBJECTIFS!$B$34,OBJECTIFS!$I$36="dmt"),AND($D14=OBJECTIFS!$B$6,OBJECTIFS!$I$8="taux de chute"),AND($D14=OBJECTIFS!$B$13,OBJECTIFS!$I$15="taux de chute"),AND($D14=OBJECTIFS!$B$20,OBJECTIFS!$I$22="taux de chute"),AND($D14=OBJECTIFS!$B$27,OBJECTIFS!$I$29="taux de chute"),AND($D14=OBJECTIFS!$B$34,OBJECTIFS!$I$36="taux de chute"),AND($D14=OBJECTIFS!$B$6,OBJECTIFS!I$8="tx mea"),AND($D14=OBJECTIFS!$B$13,OBJECTIFS!$I$15="tx mea"),AND($D14=OBJECTIFS!$B$20,OBJECTIFS!$I$22="tx mea"),AND($D14=OBJECTIFS!$B$27,OBJECTIFS!$I$29="tx mea"),AND($D14=OBJECTIFS!$B$34,OBJECTIFS!$I$36="tx mea")),IFERROR(AA14/Z14,""),IFERROR(Z14/AA14,""))</f>
        <v/>
      </c>
      <c r="AC14" s="155">
        <f>IFERROR(IF(OR(Z14="",AA14="",AB14=""),0,IF(AB14&lt;OBJECTIFS!$E$56,0,IF(AB14&lt;OBJECTIFS!$G$56,AC$8*OBJECTIFS!$F$60,IF(AB14&lt;OBJECTIFS!$I$56,AC$8*OBJECTIFS!$H$60,AC$8)))),0)</f>
        <v>0</v>
      </c>
      <c r="AD14" s="289"/>
      <c r="AE14" s="290"/>
      <c r="AF14" s="158">
        <f t="shared" ca="1" si="3"/>
        <v>0</v>
      </c>
      <c r="AG14" s="52"/>
      <c r="AH14" s="134"/>
      <c r="AI14" s="19"/>
      <c r="AJ14" s="19"/>
      <c r="AK14" s="19"/>
      <c r="AL14" s="19"/>
      <c r="AM14" s="63">
        <f t="shared" ref="AM14" si="18">SUM(AK14:AL14,AI14)</f>
        <v>0</v>
      </c>
      <c r="AN14" s="63">
        <f t="shared" si="8"/>
        <v>22</v>
      </c>
      <c r="AO14" s="64">
        <f t="shared" ref="AO14" si="19">IFERROR(IF(IF(OR(AI14&gt;=2,AJ14&gt;=8,AND(AI14=1,AJ14&gt;=4)),0,IF(OR(AND(AI14=1,AJ14&lt;4),AND(AI14=0,AJ14&gt;=4,AJ14&lt;8)),50%,100%))*(AN14-AM14)/AN14=0,-100%,IF(OR(AI14&gt;=2,AJ14&gt;=8,AND(AI14=1,AJ14&gt;=4)),0,IF(OR(AND(AI14=1,AJ14&lt;4),AND(AI14=0,AJ14&gt;=4,AJ14&lt;8)),50%,100%))*(AN14-AM14)/AN14-1),"")</f>
        <v>0</v>
      </c>
      <c r="AP14" s="65" t="str">
        <f t="shared" ref="AP14" ca="1" si="20">IFERROR((H14*AF14/100)*(1+AO14),"")</f>
        <v/>
      </c>
      <c r="AQ14" s="66"/>
      <c r="AR14" s="168">
        <f>IFERROR(VLOOKUP(B14,OBJECTIFS!$C$76:$E$137,2,FALSE),0)</f>
        <v>0</v>
      </c>
      <c r="AS14" s="173"/>
      <c r="AT14" s="170">
        <f>IFERROR(VLOOKUP(B14,OBJECTIFS!$H$76:$J$137,2,FALSE),0)</f>
        <v>0</v>
      </c>
      <c r="AU14" s="178">
        <f t="shared" si="6"/>
        <v>0</v>
      </c>
      <c r="AV14" s="173"/>
      <c r="AW14" s="74">
        <f>IFERROR(VLOOKUP(B14,OBJECTIFS!$C$142:$E$203,2,FALSE),0)</f>
        <v>0</v>
      </c>
      <c r="AX14" s="74">
        <f>IFERROR(VLOOKUP(B14,OBJECTIFS!$H$142:$J$203,2,FALSE),0)</f>
        <v>0</v>
      </c>
      <c r="AY14" s="174">
        <f>IFERROR(VLOOKUP(B14,OBJECTIFS!$F$208:$H$269,3,FALSE),0)</f>
        <v>0</v>
      </c>
      <c r="AZ14" s="66"/>
      <c r="BA14" s="75" t="str">
        <f t="shared" ca="1" si="7"/>
        <v/>
      </c>
      <c r="BB14" s="52"/>
      <c r="BC14" s="76">
        <f t="shared" ca="1" si="1"/>
        <v>0</v>
      </c>
      <c r="BD14" s="53" t="str">
        <f t="shared" ref="BD14" ca="1" si="21">IF(BE14="","","è")</f>
        <v/>
      </c>
      <c r="BE14" s="77" t="str">
        <f t="shared" ca="1" si="9"/>
        <v/>
      </c>
    </row>
    <row r="15" spans="1:57" x14ac:dyDescent="0.2">
      <c r="A15" s="16"/>
      <c r="B15" s="17"/>
      <c r="C15" s="17"/>
      <c r="D15" s="18"/>
      <c r="E15" s="19"/>
      <c r="F15" s="27"/>
      <c r="H15" s="71" t="str">
        <f>IF(OR(D15="",F15="",A15=""),"",IF(E15="oui",0,IF(D15=OBJECTIFS!$C$45,VLOOKUP(F15,OBJECTIFS!$C$9:$D$11,2,FALSE),IF(D15=OBJECTIFS!$C$46,VLOOKUP(F15,OBJECTIFS!$C$16:$D$18,2,FALSE),IF(D15=OBJECTIFS!$C$47,VLOOKUP(F15,OBJECTIFS!$C$23:$D$25,2,FALSE),IF(D15=OBJECTIFS!$C$48,VLOOKUP(F15,OBJECTIFS!$C$30:$D$32,2,FALSE),IF(D15=OBJECTIFS!$C$49,VLOOKUP(F15,OBJECTIFS!$C$37:$D$39,2,FALSE))))))))</f>
        <v/>
      </c>
      <c r="J15" s="138"/>
      <c r="K15" s="141" t="str">
        <f>IF(OR($A15="",$D15="",J15=""),"",SUMIFS(OBJECTIFS!E$9:E$39,OBJECTIFS!$A$9:$A$39,$D15,OBJECTIFS!$C$9:$C$39,$F15))</f>
        <v/>
      </c>
      <c r="L15" s="72" t="str">
        <f>IF(OR(AND($D15=OBJECTIFS!$B$6,OBJECTIFS!E$8="dmt"),AND($D15=OBJECTIFS!$B$13,OBJECTIFS!$E$15="dmt"),AND($D15=OBJECTIFS!$B$20,OBJECTIFS!$E$22="dmt"),AND($D15=OBJECTIFS!$B$27,OBJECTIFS!$E$29="dmt"),AND($D15=OBJECTIFS!$B$34,OBJECTIFS!$E$36="dmt"),AND($D15=OBJECTIFS!$B$6,OBJECTIFS!$E$8="taux de chute"),AND($D15=OBJECTIFS!$B$13,OBJECTIFS!$E$15="taux de chute"),AND($D15=OBJECTIFS!$B$20,OBJECTIFS!$E$22="taux de chute"),AND($D15=OBJECTIFS!$B$27,OBJECTIFS!$E$29="taux de chute"),AND($D15=OBJECTIFS!$B$34,OBJECTIFS!$E$36="taux de chute"),AND($D15=OBJECTIFS!$B$6,OBJECTIFS!E$8="tx mea"),AND($D15=OBJECTIFS!$B$13,OBJECTIFS!$E$15="tx mea"),AND($D15=OBJECTIFS!$B$20,OBJECTIFS!$E$22="tx mea"),AND($D15=OBJECTIFS!$B$27,OBJECTIFS!$E$29="tx mea"),AND($D15=OBJECTIFS!$B$34,OBJECTIFS!$E$36="tx mea")),IFERROR(K15/J15,""),IFERROR(J15/K15,""))</f>
        <v/>
      </c>
      <c r="M15" s="149">
        <f>IFERROR(IF(OR(J15="",K15="",L15=""),0,IF(L15&lt;OBJECTIFS!$E$56,0,IF(L15&lt;OBJECTIFS!$G$56,M$8*OBJECTIFS!$F$60,IF(L15&lt;OBJECTIFS!$I$56,M$8*OBJECTIFS!$H$60,M$8)))),0)</f>
        <v>0</v>
      </c>
      <c r="N15" s="144"/>
      <c r="O15" s="145" t="str">
        <f>IF(OR($A15="",$D15="",N15=""),"",SUMIFS(OBJECTIFS!F$9:F$39,OBJECTIFS!$A$9:$A$39,$D15,OBJECTIFS!$C$9:$C$39,$F15))</f>
        <v/>
      </c>
      <c r="P15" s="72" t="str">
        <f>IF(OR(AND($D15=OBJECTIFS!$B$6,OBJECTIFS!$F$8="dmt"),AND($D15=OBJECTIFS!$B$13,OBJECTIFS!$F$15="dmt"),AND($D15=OBJECTIFS!$B$20,OBJECTIFS!$F$22="dmt"),AND($D15=OBJECTIFS!$B$27,OBJECTIFS!$F$29="dmt"),AND($D15=OBJECTIFS!$B$34,OBJECTIFS!$F$36="dmt"),AND($D15=OBJECTIFS!$B$6,OBJECTIFS!$F$8="taux de chute"),AND($D15=OBJECTIFS!$B$13,OBJECTIFS!$F$15="taux de chute"),AND($D15=OBJECTIFS!$B$20,OBJECTIFS!$F$22="taux de chute"),AND($D15=OBJECTIFS!$B$27,OBJECTIFS!$F$29="taux de chute"),AND($D15=OBJECTIFS!$B$34,OBJECTIFS!$F$36="taux de chute"),AND($D15=OBJECTIFS!$B$6,OBJECTIFS!$F$8="tx mea"),AND($D15=OBJECTIFS!$B$13,OBJECTIFS!$F$15="tx mea"),AND($D15=OBJECTIFS!$B$20,OBJECTIFS!$F$22="tx mea"),AND($D15=OBJECTIFS!$B$27,OBJECTIFS!$F$29="tx mea"),AND($D15=OBJECTIFS!$B$34,OBJECTIFS!$F$36="tx mea")),IFERROR(O15/N15,""),IFERROR(N15/O15,""))</f>
        <v/>
      </c>
      <c r="Q15" s="149">
        <f>IFERROR(IF(OR(N15="",O15="",P15=""),0,IF(P15&lt;OBJECTIFS!$E$56,0,IF(P15&lt;OBJECTIFS!$G$56,Q$8*OBJECTIFS!$F$60,IF(P15&lt;OBJECTIFS!$I$56,Q$8*OBJECTIFS!$H$60,Q$8)))),0)</f>
        <v>0</v>
      </c>
      <c r="R15" s="121"/>
      <c r="S15" s="73" t="str">
        <f>IF(OR($A15="",$D15="",R15=""),"",SUMIFS(OBJECTIFS!G$9:G$39,OBJECTIFS!$A$9:$A$39,$D15,OBJECTIFS!$C$9:$C$39,$F15))</f>
        <v/>
      </c>
      <c r="T15" s="72" t="str">
        <f>IF(OR(AND($D15=OBJECTIFS!$B$6,OBJECTIFS!G$8="dmt"),AND($D15=OBJECTIFS!$B$13,OBJECTIFS!$G$15="dmt"),AND($D15=OBJECTIFS!$B$20,OBJECTIFS!$G$22="dmt"),AND($D15=OBJECTIFS!$B$27,OBJECTIFS!$G$29="dmt"),AND($D15=OBJECTIFS!$B$34,OBJECTIFS!$G$36="dmt"),AND($D15=OBJECTIFS!$B$6,OBJECTIFS!$G$8="taux de chute"),AND($D15=OBJECTIFS!$B$13,OBJECTIFS!$G$15="taux de chute"),AND($D15=OBJECTIFS!$B$20,OBJECTIFS!$G$22="taux de chute"),AND($D15=OBJECTIFS!$B$27,OBJECTIFS!$G$29="taux de chute"),AND($D15=OBJECTIFS!$B$34,OBJECTIFS!$G$36="taux de chute",AND($D15=OBJECTIFS!$B$6,OBJECTIFS!G$8="tx mea"),AND($D15=OBJECTIFS!$B$13,OBJECTIFS!$G$15="tx mea"),AND($D15=OBJECTIFS!$B$20,OBJECTIFS!$G$22="tx mea"),AND($D15=OBJECTIFS!$B$27,OBJECTIFS!$G$29="tx mea"),AND($D15=OBJECTIFS!$B$34,OBJECTIFS!$G$36="tx mea"))),IFERROR(S15/R15,""),IFERROR(R15/S15,""))</f>
        <v/>
      </c>
      <c r="U15" s="152">
        <f>IFERROR(IF(OR(R15="",S15="",T15=""),0,IF(T15&lt;OBJECTIFS!$E$56,0,IF(T15&lt;OBJECTIFS!$G$56,U$8*OBJECTIFS!$F$60,IF(T15&lt;OBJECTIFS!$I$56,U$8*OBJECTIFS!$H$60,U$8)))),0)</f>
        <v>0</v>
      </c>
      <c r="V15" s="20"/>
      <c r="W15" s="72" t="str">
        <f>IF(OR($A15="",$D15="",V15=""),"",SUMIFS(OBJECTIFS!H$9:H$39,OBJECTIFS!$A$9:$A$39,$D15,OBJECTIFS!$C$9:$C$39,$F15))</f>
        <v/>
      </c>
      <c r="X15" s="72" t="str">
        <f>IF(OR(AND($D15=OBJECTIFS!$B$6,OBJECTIFS!H$8="dmt"),AND($D15=OBJECTIFS!$B$13,OBJECTIFS!$H$15="dmt"),AND($D15=OBJECTIFS!$B$20,OBJECTIFS!$H$22="dmt"),AND($D15=OBJECTIFS!$B$27,OBJECTIFS!$H$29="dmt"),AND($D15=OBJECTIFS!$B$34,OBJECTIFS!$H$36="dmt"),AND($D15=OBJECTIFS!$B$6,OBJECTIFS!$H$8="taux de chute"),AND($D15=OBJECTIFS!$B$13,OBJECTIFS!$H$15="taux de chute"),AND($D15=OBJECTIFS!$B$20,OBJECTIFS!$H$22="taux de chute"),AND($D15=OBJECTIFS!$B$27,OBJECTIFS!$H$29="taux de chute"),AND($D15=OBJECTIFS!$B$34,OBJECTIFS!$H$36="taux de chute"),AND($D15=OBJECTIFS!$B$6,OBJECTIFS!H$8="tx mea"),AND($D15=OBJECTIFS!$B$13,OBJECTIFS!$H$15="tx mea"),AND($D15=OBJECTIFS!$B$20,OBJECTIFS!$H$22="tx mea"),AND($D15=OBJECTIFS!$B$27,OBJECTIFS!$H$29="tx mea"),AND($D15=OBJECTIFS!$B$34,OBJECTIFS!$H$36="tx mea")),IFERROR(W15/V15,""),IFERROR(V15/W15,""))</f>
        <v/>
      </c>
      <c r="Y15" s="149">
        <f>IFERROR(IF(OR(V15="",W15="",X15=""),0,IF(X15&lt;OBJECTIFS!$E$56,0,IF(X15&lt;OBJECTIFS!$G$56,Y$8*OBJECTIFS!$F$60,IF(X15&lt;OBJECTIFS!$I$56,Y$8*OBJECTIFS!$H$60,Y$8)))),0)</f>
        <v>0</v>
      </c>
      <c r="Z15" s="124"/>
      <c r="AA15" s="72" t="str">
        <f>IF(OR($A15="",$D15="",Z15=""),"",SUMIFS(OBJECTIFS!I$9:I$39,OBJECTIFS!$A$9:$A$39,$D15,OBJECTIFS!$C$9:$C$39,$F15))</f>
        <v/>
      </c>
      <c r="AB15" s="72" t="str">
        <f>IF(OR(AND($D15=OBJECTIFS!$B$6,OBJECTIFS!I$8="dmt"),AND($D15=OBJECTIFS!$B$13,OBJECTIFS!$I$15="dmt"),AND($D15=OBJECTIFS!$B$20,OBJECTIFS!$I$22="dmt"),AND($D15=OBJECTIFS!$B$27,OBJECTIFS!$I$29="dmt"),AND($D15=OBJECTIFS!$B$34,OBJECTIFS!$I$36="dmt"),AND($D15=OBJECTIFS!$B$6,OBJECTIFS!$I$8="taux de chute"),AND($D15=OBJECTIFS!$B$13,OBJECTIFS!$I$15="taux de chute"),AND($D15=OBJECTIFS!$B$20,OBJECTIFS!$I$22="taux de chute"),AND($D15=OBJECTIFS!$B$27,OBJECTIFS!$I$29="taux de chute"),AND($D15=OBJECTIFS!$B$34,OBJECTIFS!$I$36="taux de chute"),AND($D15=OBJECTIFS!$B$6,OBJECTIFS!I$8="tx mea"),AND($D15=OBJECTIFS!$B$13,OBJECTIFS!$I$15="tx mea"),AND($D15=OBJECTIFS!$B$20,OBJECTIFS!$I$22="tx mea"),AND($D15=OBJECTIFS!$B$27,OBJECTIFS!$I$29="tx mea"),AND($D15=OBJECTIFS!$B$34,OBJECTIFS!$I$36="tx mea")),IFERROR(AA15/Z15,""),IFERROR(Z15/AA15,""))</f>
        <v/>
      </c>
      <c r="AC15" s="155">
        <f>IFERROR(IF(OR(Z15="",AA15="",AB15=""),0,IF(AB15&lt;OBJECTIFS!$E$56,0,IF(AB15&lt;OBJECTIFS!$G$56,AC$8*OBJECTIFS!$F$60,IF(AB15&lt;OBJECTIFS!$I$56,AC$8*OBJECTIFS!$H$60,AC$8)))),0)</f>
        <v>0</v>
      </c>
      <c r="AD15" s="289"/>
      <c r="AE15" s="290"/>
      <c r="AF15" s="158">
        <f t="shared" ca="1" si="3"/>
        <v>0</v>
      </c>
      <c r="AG15" s="52"/>
      <c r="AH15" s="134"/>
      <c r="AI15" s="19"/>
      <c r="AJ15" s="19"/>
      <c r="AK15" s="19"/>
      <c r="AL15" s="19"/>
      <c r="AM15" s="63">
        <f t="shared" ref="AM15" si="22">SUM(AK15:AL15,AI15)</f>
        <v>0</v>
      </c>
      <c r="AN15" s="63">
        <f t="shared" si="8"/>
        <v>22</v>
      </c>
      <c r="AO15" s="64">
        <f t="shared" ref="AO15" si="23">IFERROR(IF(IF(OR(AI15&gt;=2,AJ15&gt;=8,AND(AI15=1,AJ15&gt;=4)),0,IF(OR(AND(AI15=1,AJ15&lt;4),AND(AI15=0,AJ15&gt;=4,AJ15&lt;8)),50%,100%))*(AN15-AM15)/AN15=0,-100%,IF(OR(AI15&gt;=2,AJ15&gt;=8,AND(AI15=1,AJ15&gt;=4)),0,IF(OR(AND(AI15=1,AJ15&lt;4),AND(AI15=0,AJ15&gt;=4,AJ15&lt;8)),50%,100%))*(AN15-AM15)/AN15-1),"")</f>
        <v>0</v>
      </c>
      <c r="AP15" s="65" t="str">
        <f t="shared" ref="AP15" ca="1" si="24">IFERROR((H15*AF15/100)*(1+AO15),"")</f>
        <v/>
      </c>
      <c r="AQ15" s="66"/>
      <c r="AR15" s="168">
        <f>IFERROR(VLOOKUP(B15,OBJECTIFS!$C$76:$E$137,2,FALSE),0)</f>
        <v>0</v>
      </c>
      <c r="AS15" s="173"/>
      <c r="AT15" s="170">
        <f>IFERROR(VLOOKUP(B15,OBJECTIFS!$H$76:$J$137,2,FALSE),0)</f>
        <v>0</v>
      </c>
      <c r="AU15" s="178">
        <f t="shared" si="6"/>
        <v>0</v>
      </c>
      <c r="AV15" s="173"/>
      <c r="AW15" s="74">
        <f>IFERROR(VLOOKUP(B15,OBJECTIFS!$C$142:$E$203,2,FALSE),0)</f>
        <v>0</v>
      </c>
      <c r="AX15" s="74">
        <f>IFERROR(VLOOKUP(B15,OBJECTIFS!$H$142:$J$203,2,FALSE),0)</f>
        <v>0</v>
      </c>
      <c r="AY15" s="174">
        <f>IFERROR(VLOOKUP(B15,OBJECTIFS!$F$208:$H$269,3,FALSE),0)</f>
        <v>0</v>
      </c>
      <c r="AZ15" s="66"/>
      <c r="BA15" s="75" t="str">
        <f t="shared" ca="1" si="7"/>
        <v/>
      </c>
      <c r="BB15" s="52"/>
      <c r="BC15" s="76">
        <f t="shared" ca="1" si="1"/>
        <v>0</v>
      </c>
      <c r="BD15" s="53" t="str">
        <f t="shared" ref="BD15" ca="1" si="25">IF(BE15="","","è")</f>
        <v/>
      </c>
      <c r="BE15" s="77" t="str">
        <f t="shared" ca="1" si="9"/>
        <v/>
      </c>
    </row>
    <row r="16" spans="1:57" x14ac:dyDescent="0.2">
      <c r="A16" s="16"/>
      <c r="B16" s="17"/>
      <c r="C16" s="17"/>
      <c r="D16" s="18"/>
      <c r="E16" s="19"/>
      <c r="F16" s="27"/>
      <c r="H16" s="71" t="str">
        <f>IF(OR(D16="",F16="",A16=""),"",IF(E16="oui",0,IF(D16=OBJECTIFS!$C$45,VLOOKUP(F16,OBJECTIFS!$C$9:$D$11,2,FALSE),IF(D16=OBJECTIFS!$C$46,VLOOKUP(F16,OBJECTIFS!$C$16:$D$18,2,FALSE),IF(D16=OBJECTIFS!$C$47,VLOOKUP(F16,OBJECTIFS!$C$23:$D$25,2,FALSE),IF(D16=OBJECTIFS!$C$48,VLOOKUP(F16,OBJECTIFS!$C$30:$D$32,2,FALSE),IF(D16=OBJECTIFS!$C$49,VLOOKUP(F16,OBJECTIFS!$C$37:$D$39,2,FALSE))))))))</f>
        <v/>
      </c>
      <c r="J16" s="138"/>
      <c r="K16" s="141" t="str">
        <f>IF(OR($A16="",$D16="",J16=""),"",SUMIFS(OBJECTIFS!E$9:E$39,OBJECTIFS!$A$9:$A$39,$D16,OBJECTIFS!$C$9:$C$39,$F16))</f>
        <v/>
      </c>
      <c r="L16" s="72" t="str">
        <f>IF(OR(AND($D16=OBJECTIFS!$B$6,OBJECTIFS!E$8="dmt"),AND($D16=OBJECTIFS!$B$13,OBJECTIFS!$E$15="dmt"),AND($D16=OBJECTIFS!$B$20,OBJECTIFS!$E$22="dmt"),AND($D16=OBJECTIFS!$B$27,OBJECTIFS!$E$29="dmt"),AND($D16=OBJECTIFS!$B$34,OBJECTIFS!$E$36="dmt"),AND($D16=OBJECTIFS!$B$6,OBJECTIFS!$E$8="taux de chute"),AND($D16=OBJECTIFS!$B$13,OBJECTIFS!$E$15="taux de chute"),AND($D16=OBJECTIFS!$B$20,OBJECTIFS!$E$22="taux de chute"),AND($D16=OBJECTIFS!$B$27,OBJECTIFS!$E$29="taux de chute"),AND($D16=OBJECTIFS!$B$34,OBJECTIFS!$E$36="taux de chute"),AND($D16=OBJECTIFS!$B$6,OBJECTIFS!E$8="tx mea"),AND($D16=OBJECTIFS!$B$13,OBJECTIFS!$E$15="tx mea"),AND($D16=OBJECTIFS!$B$20,OBJECTIFS!$E$22="tx mea"),AND($D16=OBJECTIFS!$B$27,OBJECTIFS!$E$29="tx mea"),AND($D16=OBJECTIFS!$B$34,OBJECTIFS!$E$36="tx mea")),IFERROR(K16/J16,""),IFERROR(J16/K16,""))</f>
        <v/>
      </c>
      <c r="M16" s="149">
        <f>IFERROR(IF(OR(J16="",K16="",L16=""),0,IF(L16&lt;OBJECTIFS!$E$56,0,IF(L16&lt;OBJECTIFS!$G$56,M$8*OBJECTIFS!$F$60,IF(L16&lt;OBJECTIFS!$I$56,M$8*OBJECTIFS!$H$60,M$8)))),0)</f>
        <v>0</v>
      </c>
      <c r="N16" s="144"/>
      <c r="O16" s="145" t="str">
        <f>IF(OR($A16="",$D16="",N16=""),"",SUMIFS(OBJECTIFS!F$9:F$39,OBJECTIFS!$A$9:$A$39,$D16,OBJECTIFS!$C$9:$C$39,$F16))</f>
        <v/>
      </c>
      <c r="P16" s="72" t="str">
        <f>IF(OR(AND($D16=OBJECTIFS!$B$6,OBJECTIFS!$F$8="dmt"),AND($D16=OBJECTIFS!$B$13,OBJECTIFS!$F$15="dmt"),AND($D16=OBJECTIFS!$B$20,OBJECTIFS!$F$22="dmt"),AND($D16=OBJECTIFS!$B$27,OBJECTIFS!$F$29="dmt"),AND($D16=OBJECTIFS!$B$34,OBJECTIFS!$F$36="dmt"),AND($D16=OBJECTIFS!$B$6,OBJECTIFS!$F$8="taux de chute"),AND($D16=OBJECTIFS!$B$13,OBJECTIFS!$F$15="taux de chute"),AND($D16=OBJECTIFS!$B$20,OBJECTIFS!$F$22="taux de chute"),AND($D16=OBJECTIFS!$B$27,OBJECTIFS!$F$29="taux de chute"),AND($D16=OBJECTIFS!$B$34,OBJECTIFS!$F$36="taux de chute"),AND($D16=OBJECTIFS!$B$6,OBJECTIFS!$F$8="tx mea"),AND($D16=OBJECTIFS!$B$13,OBJECTIFS!$F$15="tx mea"),AND($D16=OBJECTIFS!$B$20,OBJECTIFS!$F$22="tx mea"),AND($D16=OBJECTIFS!$B$27,OBJECTIFS!$F$29="tx mea"),AND($D16=OBJECTIFS!$B$34,OBJECTIFS!$F$36="tx mea")),IFERROR(O16/N16,""),IFERROR(N16/O16,""))</f>
        <v/>
      </c>
      <c r="Q16" s="149">
        <f>IFERROR(IF(OR(N16="",O16="",P16=""),0,IF(P16&lt;OBJECTIFS!$E$56,0,IF(P16&lt;OBJECTIFS!$G$56,Q$8*OBJECTIFS!$F$60,IF(P16&lt;OBJECTIFS!$I$56,Q$8*OBJECTIFS!$H$60,Q$8)))),0)</f>
        <v>0</v>
      </c>
      <c r="R16" s="121"/>
      <c r="S16" s="73" t="str">
        <f>IF(OR($A16="",$D16="",R16=""),"",SUMIFS(OBJECTIFS!G$9:G$39,OBJECTIFS!$A$9:$A$39,$D16,OBJECTIFS!$C$9:$C$39,$F16))</f>
        <v/>
      </c>
      <c r="T16" s="72" t="str">
        <f>IF(OR(AND($D16=OBJECTIFS!$B$6,OBJECTIFS!G$8="dmt"),AND($D16=OBJECTIFS!$B$13,OBJECTIFS!$G$15="dmt"),AND($D16=OBJECTIFS!$B$20,OBJECTIFS!$G$22="dmt"),AND($D16=OBJECTIFS!$B$27,OBJECTIFS!$G$29="dmt"),AND($D16=OBJECTIFS!$B$34,OBJECTIFS!$G$36="dmt"),AND($D16=OBJECTIFS!$B$6,OBJECTIFS!$G$8="taux de chute"),AND($D16=OBJECTIFS!$B$13,OBJECTIFS!$G$15="taux de chute"),AND($D16=OBJECTIFS!$B$20,OBJECTIFS!$G$22="taux de chute"),AND($D16=OBJECTIFS!$B$27,OBJECTIFS!$G$29="taux de chute"),AND($D16=OBJECTIFS!$B$34,OBJECTIFS!$G$36="taux de chute",AND($D16=OBJECTIFS!$B$6,OBJECTIFS!G$8="tx mea"),AND($D16=OBJECTIFS!$B$13,OBJECTIFS!$G$15="tx mea"),AND($D16=OBJECTIFS!$B$20,OBJECTIFS!$G$22="tx mea"),AND($D16=OBJECTIFS!$B$27,OBJECTIFS!$G$29="tx mea"),AND($D16=OBJECTIFS!$B$34,OBJECTIFS!$G$36="tx mea"))),IFERROR(S16/R16,""),IFERROR(R16/S16,""))</f>
        <v/>
      </c>
      <c r="U16" s="152">
        <f>IFERROR(IF(OR(R16="",S16="",T16=""),0,IF(T16&lt;OBJECTIFS!$E$56,0,IF(T16&lt;OBJECTIFS!$G$56,U$8*OBJECTIFS!$F$60,IF(T16&lt;OBJECTIFS!$I$56,U$8*OBJECTIFS!$H$60,U$8)))),0)</f>
        <v>0</v>
      </c>
      <c r="V16" s="20"/>
      <c r="W16" s="72" t="str">
        <f>IF(OR($A16="",$D16="",V16=""),"",SUMIFS(OBJECTIFS!H$9:H$39,OBJECTIFS!$A$9:$A$39,$D16,OBJECTIFS!$C$9:$C$39,$F16))</f>
        <v/>
      </c>
      <c r="X16" s="72" t="str">
        <f>IF(OR(AND($D16=OBJECTIFS!$B$6,OBJECTIFS!H$8="dmt"),AND($D16=OBJECTIFS!$B$13,OBJECTIFS!$H$15="dmt"),AND($D16=OBJECTIFS!$B$20,OBJECTIFS!$H$22="dmt"),AND($D16=OBJECTIFS!$B$27,OBJECTIFS!$H$29="dmt"),AND($D16=OBJECTIFS!$B$34,OBJECTIFS!$H$36="dmt"),AND($D16=OBJECTIFS!$B$6,OBJECTIFS!$H$8="taux de chute"),AND($D16=OBJECTIFS!$B$13,OBJECTIFS!$H$15="taux de chute"),AND($D16=OBJECTIFS!$B$20,OBJECTIFS!$H$22="taux de chute"),AND($D16=OBJECTIFS!$B$27,OBJECTIFS!$H$29="taux de chute"),AND($D16=OBJECTIFS!$B$34,OBJECTIFS!$H$36="taux de chute"),AND($D16=OBJECTIFS!$B$6,OBJECTIFS!H$8="tx mea"),AND($D16=OBJECTIFS!$B$13,OBJECTIFS!$H$15="tx mea"),AND($D16=OBJECTIFS!$B$20,OBJECTIFS!$H$22="tx mea"),AND($D16=OBJECTIFS!$B$27,OBJECTIFS!$H$29="tx mea"),AND($D16=OBJECTIFS!$B$34,OBJECTIFS!$H$36="tx mea")),IFERROR(W16/V16,""),IFERROR(V16/W16,""))</f>
        <v/>
      </c>
      <c r="Y16" s="149">
        <f>IFERROR(IF(OR(V16="",W16="",X16=""),0,IF(X16&lt;OBJECTIFS!$E$56,0,IF(X16&lt;OBJECTIFS!$G$56,Y$8*OBJECTIFS!$F$60,IF(X16&lt;OBJECTIFS!$I$56,Y$8*OBJECTIFS!$H$60,Y$8)))),0)</f>
        <v>0</v>
      </c>
      <c r="Z16" s="124"/>
      <c r="AA16" s="72" t="str">
        <f>IF(OR($A16="",$D16="",Z16=""),"",SUMIFS(OBJECTIFS!I$9:I$39,OBJECTIFS!$A$9:$A$39,$D16,OBJECTIFS!$C$9:$C$39,$F16))</f>
        <v/>
      </c>
      <c r="AB16" s="72" t="str">
        <f>IF(OR(AND($D16=OBJECTIFS!$B$6,OBJECTIFS!I$8="dmt"),AND($D16=OBJECTIFS!$B$13,OBJECTIFS!$I$15="dmt"),AND($D16=OBJECTIFS!$B$20,OBJECTIFS!$I$22="dmt"),AND($D16=OBJECTIFS!$B$27,OBJECTIFS!$I$29="dmt"),AND($D16=OBJECTIFS!$B$34,OBJECTIFS!$I$36="dmt"),AND($D16=OBJECTIFS!$B$6,OBJECTIFS!$I$8="taux de chute"),AND($D16=OBJECTIFS!$B$13,OBJECTIFS!$I$15="taux de chute"),AND($D16=OBJECTIFS!$B$20,OBJECTIFS!$I$22="taux de chute"),AND($D16=OBJECTIFS!$B$27,OBJECTIFS!$I$29="taux de chute"),AND($D16=OBJECTIFS!$B$34,OBJECTIFS!$I$36="taux de chute"),AND($D16=OBJECTIFS!$B$6,OBJECTIFS!I$8="tx mea"),AND($D16=OBJECTIFS!$B$13,OBJECTIFS!$I$15="tx mea"),AND($D16=OBJECTIFS!$B$20,OBJECTIFS!$I$22="tx mea"),AND($D16=OBJECTIFS!$B$27,OBJECTIFS!$I$29="tx mea"),AND($D16=OBJECTIFS!$B$34,OBJECTIFS!$I$36="tx mea")),IFERROR(AA16/Z16,""),IFERROR(Z16/AA16,""))</f>
        <v/>
      </c>
      <c r="AC16" s="155">
        <f>IFERROR(IF(OR(Z16="",AA16="",AB16=""),0,IF(AB16&lt;OBJECTIFS!$E$56,0,IF(AB16&lt;OBJECTIFS!$G$56,AC$8*OBJECTIFS!$F$60,IF(AB16&lt;OBJECTIFS!$I$56,AC$8*OBJECTIFS!$H$60,AC$8)))),0)</f>
        <v>0</v>
      </c>
      <c r="AD16" s="289"/>
      <c r="AE16" s="290"/>
      <c r="AF16" s="158">
        <f t="shared" ca="1" si="3"/>
        <v>0</v>
      </c>
      <c r="AG16" s="52"/>
      <c r="AH16" s="126"/>
      <c r="AI16" s="19"/>
      <c r="AJ16" s="19"/>
      <c r="AK16" s="19"/>
      <c r="AL16" s="19"/>
      <c r="AM16" s="63">
        <f t="shared" si="4"/>
        <v>0</v>
      </c>
      <c r="AN16" s="63">
        <f t="shared" si="8"/>
        <v>22</v>
      </c>
      <c r="AO16" s="64">
        <f t="shared" si="5"/>
        <v>0</v>
      </c>
      <c r="AP16" s="65" t="str">
        <f t="shared" ca="1" si="0"/>
        <v/>
      </c>
      <c r="AQ16" s="66"/>
      <c r="AR16" s="168">
        <f>IFERROR(VLOOKUP(B16,OBJECTIFS!$C$76:$E$137,2,FALSE),0)</f>
        <v>0</v>
      </c>
      <c r="AS16" s="173"/>
      <c r="AT16" s="170">
        <f>IFERROR(VLOOKUP(B16,OBJECTIFS!$H$76:$J$137,2,FALSE),0)</f>
        <v>0</v>
      </c>
      <c r="AU16" s="178">
        <f t="shared" si="6"/>
        <v>0</v>
      </c>
      <c r="AV16" s="173"/>
      <c r="AW16" s="74">
        <f>IFERROR(VLOOKUP(B16,OBJECTIFS!$C$142:$E$203,2,FALSE),0)</f>
        <v>0</v>
      </c>
      <c r="AX16" s="74">
        <f>IFERROR(VLOOKUP(B16,OBJECTIFS!$H$142:$J$203,2,FALSE),0)</f>
        <v>0</v>
      </c>
      <c r="AY16" s="174">
        <f>IFERROR(VLOOKUP(B16,OBJECTIFS!$F$208:$H$269,3,FALSE),0)</f>
        <v>0</v>
      </c>
      <c r="AZ16" s="66"/>
      <c r="BA16" s="75" t="str">
        <f t="shared" ca="1" si="7"/>
        <v/>
      </c>
      <c r="BB16" s="52"/>
      <c r="BC16" s="76">
        <f t="shared" ca="1" si="1"/>
        <v>0</v>
      </c>
      <c r="BD16" s="53" t="str">
        <f t="shared" ca="1" si="2"/>
        <v/>
      </c>
      <c r="BE16" s="77" t="str">
        <f t="shared" ca="1" si="9"/>
        <v/>
      </c>
    </row>
    <row r="17" spans="1:57" x14ac:dyDescent="0.2">
      <c r="A17" s="16"/>
      <c r="B17" s="17"/>
      <c r="C17" s="17"/>
      <c r="D17" s="18"/>
      <c r="E17" s="19"/>
      <c r="F17" s="27"/>
      <c r="H17" s="71" t="str">
        <f>IF(OR(D17="",F17="",A17=""),"",IF(E17="oui",0,IF(D17=OBJECTIFS!$C$45,VLOOKUP(F17,OBJECTIFS!$C$9:$D$11,2,FALSE),IF(D17=OBJECTIFS!$C$46,VLOOKUP(F17,OBJECTIFS!$C$16:$D$18,2,FALSE),IF(D17=OBJECTIFS!$C$47,VLOOKUP(F17,OBJECTIFS!$C$23:$D$25,2,FALSE),IF(D17=OBJECTIFS!$C$48,VLOOKUP(F17,OBJECTIFS!$C$30:$D$32,2,FALSE),IF(D17=OBJECTIFS!$C$49,VLOOKUP(F17,OBJECTIFS!$C$37:$D$39,2,FALSE))))))))</f>
        <v/>
      </c>
      <c r="J17" s="138"/>
      <c r="K17" s="141" t="str">
        <f>IF(OR($A17="",$D17="",J17=""),"",SUMIFS(OBJECTIFS!E$9:E$39,OBJECTIFS!$A$9:$A$39,$D17,OBJECTIFS!$C$9:$C$39,$F17))</f>
        <v/>
      </c>
      <c r="L17" s="72" t="str">
        <f>IF(OR(AND($D17=OBJECTIFS!$B$6,OBJECTIFS!E$8="dmt"),AND($D17=OBJECTIFS!$B$13,OBJECTIFS!$E$15="dmt"),AND($D17=OBJECTIFS!$B$20,OBJECTIFS!$E$22="dmt"),AND($D17=OBJECTIFS!$B$27,OBJECTIFS!$E$29="dmt"),AND($D17=OBJECTIFS!$B$34,OBJECTIFS!$E$36="dmt"),AND($D17=OBJECTIFS!$B$6,OBJECTIFS!$E$8="taux de chute"),AND($D17=OBJECTIFS!$B$13,OBJECTIFS!$E$15="taux de chute"),AND($D17=OBJECTIFS!$B$20,OBJECTIFS!$E$22="taux de chute"),AND($D17=OBJECTIFS!$B$27,OBJECTIFS!$E$29="taux de chute"),AND($D17=OBJECTIFS!$B$34,OBJECTIFS!$E$36="taux de chute"),AND($D17=OBJECTIFS!$B$6,OBJECTIFS!E$8="tx mea"),AND($D17=OBJECTIFS!$B$13,OBJECTIFS!$E$15="tx mea"),AND($D17=OBJECTIFS!$B$20,OBJECTIFS!$E$22="tx mea"),AND($D17=OBJECTIFS!$B$27,OBJECTIFS!$E$29="tx mea"),AND($D17=OBJECTIFS!$B$34,OBJECTIFS!$E$36="tx mea")),IFERROR(K17/J17,""),IFERROR(J17/K17,""))</f>
        <v/>
      </c>
      <c r="M17" s="149">
        <f>IFERROR(IF(OR(J17="",K17="",L17=""),0,IF(L17&lt;OBJECTIFS!$E$56,0,IF(L17&lt;OBJECTIFS!$G$56,M$8*OBJECTIFS!$F$60,IF(L17&lt;OBJECTIFS!$I$56,M$8*OBJECTIFS!$H$60,M$8)))),0)</f>
        <v>0</v>
      </c>
      <c r="N17" s="144"/>
      <c r="O17" s="145" t="str">
        <f>IF(OR($A17="",$D17="",N17=""),"",SUMIFS(OBJECTIFS!F$9:F$39,OBJECTIFS!$A$9:$A$39,$D17,OBJECTIFS!$C$9:$C$39,$F17))</f>
        <v/>
      </c>
      <c r="P17" s="72" t="str">
        <f>IF(OR(AND($D17=OBJECTIFS!$B$6,OBJECTIFS!$F$8="dmt"),AND($D17=OBJECTIFS!$B$13,OBJECTIFS!$F$15="dmt"),AND($D17=OBJECTIFS!$B$20,OBJECTIFS!$F$22="dmt"),AND($D17=OBJECTIFS!$B$27,OBJECTIFS!$F$29="dmt"),AND($D17=OBJECTIFS!$B$34,OBJECTIFS!$F$36="dmt"),AND($D17=OBJECTIFS!$B$6,OBJECTIFS!$F$8="taux de chute"),AND($D17=OBJECTIFS!$B$13,OBJECTIFS!$F$15="taux de chute"),AND($D17=OBJECTIFS!$B$20,OBJECTIFS!$F$22="taux de chute"),AND($D17=OBJECTIFS!$B$27,OBJECTIFS!$F$29="taux de chute"),AND($D17=OBJECTIFS!$B$34,OBJECTIFS!$F$36="taux de chute"),AND($D17=OBJECTIFS!$B$6,OBJECTIFS!$F$8="tx mea"),AND($D17=OBJECTIFS!$B$13,OBJECTIFS!$F$15="tx mea"),AND($D17=OBJECTIFS!$B$20,OBJECTIFS!$F$22="tx mea"),AND($D17=OBJECTIFS!$B$27,OBJECTIFS!$F$29="tx mea"),AND($D17=OBJECTIFS!$B$34,OBJECTIFS!$F$36="tx mea")),IFERROR(O17/N17,""),IFERROR(N17/O17,""))</f>
        <v/>
      </c>
      <c r="Q17" s="149">
        <f>IFERROR(IF(OR(N17="",O17="",P17=""),0,IF(P17&lt;OBJECTIFS!$E$56,0,IF(P17&lt;OBJECTIFS!$G$56,Q$8*OBJECTIFS!$F$60,IF(P17&lt;OBJECTIFS!$I$56,Q$8*OBJECTIFS!$H$60,Q$8)))),0)</f>
        <v>0</v>
      </c>
      <c r="R17" s="121"/>
      <c r="S17" s="73" t="str">
        <f>IF(OR($A17="",$D17="",R17=""),"",SUMIFS(OBJECTIFS!G$9:G$39,OBJECTIFS!$A$9:$A$39,$D17,OBJECTIFS!$C$9:$C$39,$F17))</f>
        <v/>
      </c>
      <c r="T17" s="72" t="str">
        <f>IF(OR(AND($D17=OBJECTIFS!$B$6,OBJECTIFS!G$8="dmt"),AND($D17=OBJECTIFS!$B$13,OBJECTIFS!$G$15="dmt"),AND($D17=OBJECTIFS!$B$20,OBJECTIFS!$G$22="dmt"),AND($D17=OBJECTIFS!$B$27,OBJECTIFS!$G$29="dmt"),AND($D17=OBJECTIFS!$B$34,OBJECTIFS!$G$36="dmt"),AND($D17=OBJECTIFS!$B$6,OBJECTIFS!$G$8="taux de chute"),AND($D17=OBJECTIFS!$B$13,OBJECTIFS!$G$15="taux de chute"),AND($D17=OBJECTIFS!$B$20,OBJECTIFS!$G$22="taux de chute"),AND($D17=OBJECTIFS!$B$27,OBJECTIFS!$G$29="taux de chute"),AND($D17=OBJECTIFS!$B$34,OBJECTIFS!$G$36="taux de chute",AND($D17=OBJECTIFS!$B$6,OBJECTIFS!G$8="tx mea"),AND($D17=OBJECTIFS!$B$13,OBJECTIFS!$G$15="tx mea"),AND($D17=OBJECTIFS!$B$20,OBJECTIFS!$G$22="tx mea"),AND($D17=OBJECTIFS!$B$27,OBJECTIFS!$G$29="tx mea"),AND($D17=OBJECTIFS!$B$34,OBJECTIFS!$G$36="tx mea"))),IFERROR(S17/R17,""),IFERROR(R17/S17,""))</f>
        <v/>
      </c>
      <c r="U17" s="152">
        <f>IFERROR(IF(OR(R17="",S17="",T17=""),0,IF(T17&lt;OBJECTIFS!$E$56,0,IF(T17&lt;OBJECTIFS!$G$56,U$8*OBJECTIFS!$F$60,IF(T17&lt;OBJECTIFS!$I$56,U$8*OBJECTIFS!$H$60,U$8)))),0)</f>
        <v>0</v>
      </c>
      <c r="V17" s="20"/>
      <c r="W17" s="72" t="str">
        <f>IF(OR($A17="",$D17="",V17=""),"",SUMIFS(OBJECTIFS!H$9:H$39,OBJECTIFS!$A$9:$A$39,$D17,OBJECTIFS!$C$9:$C$39,$F17))</f>
        <v/>
      </c>
      <c r="X17" s="72" t="str">
        <f>IF(OR(AND($D17=OBJECTIFS!$B$6,OBJECTIFS!H$8="dmt"),AND($D17=OBJECTIFS!$B$13,OBJECTIFS!$H$15="dmt"),AND($D17=OBJECTIFS!$B$20,OBJECTIFS!$H$22="dmt"),AND($D17=OBJECTIFS!$B$27,OBJECTIFS!$H$29="dmt"),AND($D17=OBJECTIFS!$B$34,OBJECTIFS!$H$36="dmt"),AND($D17=OBJECTIFS!$B$6,OBJECTIFS!$H$8="taux de chute"),AND($D17=OBJECTIFS!$B$13,OBJECTIFS!$H$15="taux de chute"),AND($D17=OBJECTIFS!$B$20,OBJECTIFS!$H$22="taux de chute"),AND($D17=OBJECTIFS!$B$27,OBJECTIFS!$H$29="taux de chute"),AND($D17=OBJECTIFS!$B$34,OBJECTIFS!$H$36="taux de chute"),AND($D17=OBJECTIFS!$B$6,OBJECTIFS!H$8="tx mea"),AND($D17=OBJECTIFS!$B$13,OBJECTIFS!$H$15="tx mea"),AND($D17=OBJECTIFS!$B$20,OBJECTIFS!$H$22="tx mea"),AND($D17=OBJECTIFS!$B$27,OBJECTIFS!$H$29="tx mea"),AND($D17=OBJECTIFS!$B$34,OBJECTIFS!$H$36="tx mea")),IFERROR(W17/V17,""),IFERROR(V17/W17,""))</f>
        <v/>
      </c>
      <c r="Y17" s="149">
        <f>IFERROR(IF(OR(V17="",W17="",X17=""),0,IF(X17&lt;OBJECTIFS!$E$56,0,IF(X17&lt;OBJECTIFS!$G$56,Y$8*OBJECTIFS!$F$60,IF(X17&lt;OBJECTIFS!$I$56,Y$8*OBJECTIFS!$H$60,Y$8)))),0)</f>
        <v>0</v>
      </c>
      <c r="Z17" s="124"/>
      <c r="AA17" s="72" t="str">
        <f>IF(OR($A17="",$D17="",Z17=""),"",SUMIFS(OBJECTIFS!I$9:I$39,OBJECTIFS!$A$9:$A$39,$D17,OBJECTIFS!$C$9:$C$39,$F17))</f>
        <v/>
      </c>
      <c r="AB17" s="72" t="str">
        <f>IF(OR(AND($D17=OBJECTIFS!$B$6,OBJECTIFS!I$8="dmt"),AND($D17=OBJECTIFS!$B$13,OBJECTIFS!$I$15="dmt"),AND($D17=OBJECTIFS!$B$20,OBJECTIFS!$I$22="dmt"),AND($D17=OBJECTIFS!$B$27,OBJECTIFS!$I$29="dmt"),AND($D17=OBJECTIFS!$B$34,OBJECTIFS!$I$36="dmt"),AND($D17=OBJECTIFS!$B$6,OBJECTIFS!$I$8="taux de chute"),AND($D17=OBJECTIFS!$B$13,OBJECTIFS!$I$15="taux de chute"),AND($D17=OBJECTIFS!$B$20,OBJECTIFS!$I$22="taux de chute"),AND($D17=OBJECTIFS!$B$27,OBJECTIFS!$I$29="taux de chute"),AND($D17=OBJECTIFS!$B$34,OBJECTIFS!$I$36="taux de chute"),AND($D17=OBJECTIFS!$B$6,OBJECTIFS!I$8="tx mea"),AND($D17=OBJECTIFS!$B$13,OBJECTIFS!$I$15="tx mea"),AND($D17=OBJECTIFS!$B$20,OBJECTIFS!$I$22="tx mea"),AND($D17=OBJECTIFS!$B$27,OBJECTIFS!$I$29="tx mea"),AND($D17=OBJECTIFS!$B$34,OBJECTIFS!$I$36="tx mea")),IFERROR(AA17/Z17,""),IFERROR(Z17/AA17,""))</f>
        <v/>
      </c>
      <c r="AC17" s="155">
        <f>IFERROR(IF(OR(Z17="",AA17="",AB17=""),0,IF(AB17&lt;OBJECTIFS!$E$56,0,IF(AB17&lt;OBJECTIFS!$G$56,AC$8*OBJECTIFS!$F$60,IF(AB17&lt;OBJECTIFS!$I$56,AC$8*OBJECTIFS!$H$60,AC$8)))),0)</f>
        <v>0</v>
      </c>
      <c r="AD17" s="289"/>
      <c r="AE17" s="290"/>
      <c r="AF17" s="158">
        <f t="shared" ca="1" si="3"/>
        <v>0</v>
      </c>
      <c r="AG17" s="52"/>
      <c r="AH17" s="126"/>
      <c r="AI17" s="19"/>
      <c r="AJ17" s="19"/>
      <c r="AK17" s="19"/>
      <c r="AL17" s="19"/>
      <c r="AM17" s="63">
        <f t="shared" si="4"/>
        <v>0</v>
      </c>
      <c r="AN17" s="63">
        <f t="shared" si="8"/>
        <v>22</v>
      </c>
      <c r="AO17" s="64">
        <f t="shared" si="5"/>
        <v>0</v>
      </c>
      <c r="AP17" s="65" t="str">
        <f t="shared" ca="1" si="0"/>
        <v/>
      </c>
      <c r="AQ17" s="66"/>
      <c r="AR17" s="168">
        <f>IFERROR(VLOOKUP(B17,OBJECTIFS!$C$76:$E$137,2,FALSE),0)</f>
        <v>0</v>
      </c>
      <c r="AS17" s="173"/>
      <c r="AT17" s="170">
        <f>IFERROR(VLOOKUP(B17,OBJECTIFS!$H$76:$J$137,2,FALSE),0)</f>
        <v>0</v>
      </c>
      <c r="AU17" s="178">
        <f t="shared" si="6"/>
        <v>0</v>
      </c>
      <c r="AV17" s="173"/>
      <c r="AW17" s="74">
        <f>IFERROR(VLOOKUP(B17,OBJECTIFS!$C$142:$E$203,2,FALSE),0)</f>
        <v>0</v>
      </c>
      <c r="AX17" s="74">
        <f>IFERROR(VLOOKUP(B17,OBJECTIFS!$H$142:$J$203,2,FALSE),0)</f>
        <v>0</v>
      </c>
      <c r="AY17" s="174">
        <f>IFERROR(VLOOKUP(B17,OBJECTIFS!$F$208:$H$269,3,FALSE),0)</f>
        <v>0</v>
      </c>
      <c r="AZ17" s="66"/>
      <c r="BA17" s="75" t="str">
        <f t="shared" ca="1" si="7"/>
        <v/>
      </c>
      <c r="BB17" s="52"/>
      <c r="BC17" s="76">
        <f t="shared" ca="1" si="1"/>
        <v>0</v>
      </c>
      <c r="BD17" s="53" t="str">
        <f t="shared" ca="1" si="2"/>
        <v/>
      </c>
      <c r="BE17" s="77" t="str">
        <f t="shared" ca="1" si="9"/>
        <v/>
      </c>
    </row>
    <row r="18" spans="1:57" x14ac:dyDescent="0.2">
      <c r="A18" s="16"/>
      <c r="B18" s="17"/>
      <c r="C18" s="17"/>
      <c r="D18" s="18"/>
      <c r="E18" s="19"/>
      <c r="F18" s="27"/>
      <c r="H18" s="71" t="str">
        <f>IF(OR(D18="",F18="",A18=""),"",IF(E18="oui",0,IF(D18=OBJECTIFS!$C$45,VLOOKUP(F18,OBJECTIFS!$C$9:$D$11,2,FALSE),IF(D18=OBJECTIFS!$C$46,VLOOKUP(F18,OBJECTIFS!$C$16:$D$18,2,FALSE),IF(D18=OBJECTIFS!$C$47,VLOOKUP(F18,OBJECTIFS!$C$23:$D$25,2,FALSE),IF(D18=OBJECTIFS!$C$48,VLOOKUP(F18,OBJECTIFS!$C$30:$D$32,2,FALSE),IF(D18=OBJECTIFS!$C$49,VLOOKUP(F18,OBJECTIFS!$C$37:$D$39,2,FALSE))))))))</f>
        <v/>
      </c>
      <c r="J18" s="138"/>
      <c r="K18" s="141" t="str">
        <f>IF(OR($A18="",$D18="",J18=""),"",SUMIFS(OBJECTIFS!E$9:E$39,OBJECTIFS!$A$9:$A$39,$D18,OBJECTIFS!$C$9:$C$39,$F18))</f>
        <v/>
      </c>
      <c r="L18" s="72" t="str">
        <f>IF(OR(AND($D18=OBJECTIFS!$B$6,OBJECTIFS!E$8="dmt"),AND($D18=OBJECTIFS!$B$13,OBJECTIFS!$E$15="dmt"),AND($D18=OBJECTIFS!$B$20,OBJECTIFS!$E$22="dmt"),AND($D18=OBJECTIFS!$B$27,OBJECTIFS!$E$29="dmt"),AND($D18=OBJECTIFS!$B$34,OBJECTIFS!$E$36="dmt"),AND($D18=OBJECTIFS!$B$6,OBJECTIFS!$E$8="taux de chute"),AND($D18=OBJECTIFS!$B$13,OBJECTIFS!$E$15="taux de chute"),AND($D18=OBJECTIFS!$B$20,OBJECTIFS!$E$22="taux de chute"),AND($D18=OBJECTIFS!$B$27,OBJECTIFS!$E$29="taux de chute"),AND($D18=OBJECTIFS!$B$34,OBJECTIFS!$E$36="taux de chute"),AND($D18=OBJECTIFS!$B$6,OBJECTIFS!E$8="tx mea"),AND($D18=OBJECTIFS!$B$13,OBJECTIFS!$E$15="tx mea"),AND($D18=OBJECTIFS!$B$20,OBJECTIFS!$E$22="tx mea"),AND($D18=OBJECTIFS!$B$27,OBJECTIFS!$E$29="tx mea"),AND($D18=OBJECTIFS!$B$34,OBJECTIFS!$E$36="tx mea")),IFERROR(K18/J18,""),IFERROR(J18/K18,""))</f>
        <v/>
      </c>
      <c r="M18" s="149">
        <f>IFERROR(IF(OR(J18="",K18="",L18=""),0,IF(L18&lt;OBJECTIFS!$E$56,0,IF(L18&lt;OBJECTIFS!$G$56,M$8*OBJECTIFS!$F$60,IF(L18&lt;OBJECTIFS!$I$56,M$8*OBJECTIFS!$H$60,M$8)))),0)</f>
        <v>0</v>
      </c>
      <c r="N18" s="144"/>
      <c r="O18" s="145" t="str">
        <f>IF(OR($A18="",$D18="",N18=""),"",SUMIFS(OBJECTIFS!F$9:F$39,OBJECTIFS!$A$9:$A$39,$D18,OBJECTIFS!$C$9:$C$39,$F18))</f>
        <v/>
      </c>
      <c r="P18" s="72" t="str">
        <f>IF(OR(AND($D18=OBJECTIFS!$B$6,OBJECTIFS!$F$8="dmt"),AND($D18=OBJECTIFS!$B$13,OBJECTIFS!$F$15="dmt"),AND($D18=OBJECTIFS!$B$20,OBJECTIFS!$F$22="dmt"),AND($D18=OBJECTIFS!$B$27,OBJECTIFS!$F$29="dmt"),AND($D18=OBJECTIFS!$B$34,OBJECTIFS!$F$36="dmt"),AND($D18=OBJECTIFS!$B$6,OBJECTIFS!$F$8="taux de chute"),AND($D18=OBJECTIFS!$B$13,OBJECTIFS!$F$15="taux de chute"),AND($D18=OBJECTIFS!$B$20,OBJECTIFS!$F$22="taux de chute"),AND($D18=OBJECTIFS!$B$27,OBJECTIFS!$F$29="taux de chute"),AND($D18=OBJECTIFS!$B$34,OBJECTIFS!$F$36="taux de chute"),AND($D18=OBJECTIFS!$B$6,OBJECTIFS!$F$8="tx mea"),AND($D18=OBJECTIFS!$B$13,OBJECTIFS!$F$15="tx mea"),AND($D18=OBJECTIFS!$B$20,OBJECTIFS!$F$22="tx mea"),AND($D18=OBJECTIFS!$B$27,OBJECTIFS!$F$29="tx mea"),AND($D18=OBJECTIFS!$B$34,OBJECTIFS!$F$36="tx mea")),IFERROR(O18/N18,""),IFERROR(N18/O18,""))</f>
        <v/>
      </c>
      <c r="Q18" s="149">
        <f>IFERROR(IF(OR(N18="",O18="",P18=""),0,IF(P18&lt;OBJECTIFS!$E$56,0,IF(P18&lt;OBJECTIFS!$G$56,Q$8*OBJECTIFS!$F$60,IF(P18&lt;OBJECTIFS!$I$56,Q$8*OBJECTIFS!$H$60,Q$8)))),0)</f>
        <v>0</v>
      </c>
      <c r="R18" s="121"/>
      <c r="S18" s="73" t="str">
        <f>IF(OR($A18="",$D18="",R18=""),"",SUMIFS(OBJECTIFS!G$9:G$39,OBJECTIFS!$A$9:$A$39,$D18,OBJECTIFS!$C$9:$C$39,$F18))</f>
        <v/>
      </c>
      <c r="T18" s="72" t="str">
        <f>IF(OR(AND($D18=OBJECTIFS!$B$6,OBJECTIFS!G$8="dmt"),AND($D18=OBJECTIFS!$B$13,OBJECTIFS!$G$15="dmt"),AND($D18=OBJECTIFS!$B$20,OBJECTIFS!$G$22="dmt"),AND($D18=OBJECTIFS!$B$27,OBJECTIFS!$G$29="dmt"),AND($D18=OBJECTIFS!$B$34,OBJECTIFS!$G$36="dmt"),AND($D18=OBJECTIFS!$B$6,OBJECTIFS!$G$8="taux de chute"),AND($D18=OBJECTIFS!$B$13,OBJECTIFS!$G$15="taux de chute"),AND($D18=OBJECTIFS!$B$20,OBJECTIFS!$G$22="taux de chute"),AND($D18=OBJECTIFS!$B$27,OBJECTIFS!$G$29="taux de chute"),AND($D18=OBJECTIFS!$B$34,OBJECTIFS!$G$36="taux de chute",AND($D18=OBJECTIFS!$B$6,OBJECTIFS!G$8="tx mea"),AND($D18=OBJECTIFS!$B$13,OBJECTIFS!$G$15="tx mea"),AND($D18=OBJECTIFS!$B$20,OBJECTIFS!$G$22="tx mea"),AND($D18=OBJECTIFS!$B$27,OBJECTIFS!$G$29="tx mea"),AND($D18=OBJECTIFS!$B$34,OBJECTIFS!$G$36="tx mea"))),IFERROR(S18/R18,""),IFERROR(R18/S18,""))</f>
        <v/>
      </c>
      <c r="U18" s="152">
        <f>IFERROR(IF(OR(R18="",S18="",T18=""),0,IF(T18&lt;OBJECTIFS!$E$56,0,IF(T18&lt;OBJECTIFS!$G$56,U$8*OBJECTIFS!$F$60,IF(T18&lt;OBJECTIFS!$I$56,U$8*OBJECTIFS!$H$60,U$8)))),0)</f>
        <v>0</v>
      </c>
      <c r="V18" s="20"/>
      <c r="W18" s="72" t="str">
        <f>IF(OR($A18="",$D18="",V18=""),"",SUMIFS(OBJECTIFS!H$9:H$39,OBJECTIFS!$A$9:$A$39,$D18,OBJECTIFS!$C$9:$C$39,$F18))</f>
        <v/>
      </c>
      <c r="X18" s="72" t="str">
        <f>IF(OR(AND($D18=OBJECTIFS!$B$6,OBJECTIFS!H$8="dmt"),AND($D18=OBJECTIFS!$B$13,OBJECTIFS!$H$15="dmt"),AND($D18=OBJECTIFS!$B$20,OBJECTIFS!$H$22="dmt"),AND($D18=OBJECTIFS!$B$27,OBJECTIFS!$H$29="dmt"),AND($D18=OBJECTIFS!$B$34,OBJECTIFS!$H$36="dmt"),AND($D18=OBJECTIFS!$B$6,OBJECTIFS!$H$8="taux de chute"),AND($D18=OBJECTIFS!$B$13,OBJECTIFS!$H$15="taux de chute"),AND($D18=OBJECTIFS!$B$20,OBJECTIFS!$H$22="taux de chute"),AND($D18=OBJECTIFS!$B$27,OBJECTIFS!$H$29="taux de chute"),AND($D18=OBJECTIFS!$B$34,OBJECTIFS!$H$36="taux de chute"),AND($D18=OBJECTIFS!$B$6,OBJECTIFS!H$8="tx mea"),AND($D18=OBJECTIFS!$B$13,OBJECTIFS!$H$15="tx mea"),AND($D18=OBJECTIFS!$B$20,OBJECTIFS!$H$22="tx mea"),AND($D18=OBJECTIFS!$B$27,OBJECTIFS!$H$29="tx mea"),AND($D18=OBJECTIFS!$B$34,OBJECTIFS!$H$36="tx mea")),IFERROR(W18/V18,""),IFERROR(V18/W18,""))</f>
        <v/>
      </c>
      <c r="Y18" s="149">
        <f>IFERROR(IF(OR(V18="",W18="",X18=""),0,IF(X18&lt;OBJECTIFS!$E$56,0,IF(X18&lt;OBJECTIFS!$G$56,Y$8*OBJECTIFS!$F$60,IF(X18&lt;OBJECTIFS!$I$56,Y$8*OBJECTIFS!$H$60,Y$8)))),0)</f>
        <v>0</v>
      </c>
      <c r="Z18" s="124"/>
      <c r="AA18" s="72" t="str">
        <f>IF(OR($A18="",$D18="",Z18=""),"",SUMIFS(OBJECTIFS!I$9:I$39,OBJECTIFS!$A$9:$A$39,$D18,OBJECTIFS!$C$9:$C$39,$F18))</f>
        <v/>
      </c>
      <c r="AB18" s="72" t="str">
        <f>IF(OR(AND($D18=OBJECTIFS!$B$6,OBJECTIFS!I$8="dmt"),AND($D18=OBJECTIFS!$B$13,OBJECTIFS!$I$15="dmt"),AND($D18=OBJECTIFS!$B$20,OBJECTIFS!$I$22="dmt"),AND($D18=OBJECTIFS!$B$27,OBJECTIFS!$I$29="dmt"),AND($D18=OBJECTIFS!$B$34,OBJECTIFS!$I$36="dmt"),AND($D18=OBJECTIFS!$B$6,OBJECTIFS!$I$8="taux de chute"),AND($D18=OBJECTIFS!$B$13,OBJECTIFS!$I$15="taux de chute"),AND($D18=OBJECTIFS!$B$20,OBJECTIFS!$I$22="taux de chute"),AND($D18=OBJECTIFS!$B$27,OBJECTIFS!$I$29="taux de chute"),AND($D18=OBJECTIFS!$B$34,OBJECTIFS!$I$36="taux de chute"),AND($D18=OBJECTIFS!$B$6,OBJECTIFS!I$8="tx mea"),AND($D18=OBJECTIFS!$B$13,OBJECTIFS!$I$15="tx mea"),AND($D18=OBJECTIFS!$B$20,OBJECTIFS!$I$22="tx mea"),AND($D18=OBJECTIFS!$B$27,OBJECTIFS!$I$29="tx mea"),AND($D18=OBJECTIFS!$B$34,OBJECTIFS!$I$36="tx mea")),IFERROR(AA18/Z18,""),IFERROR(Z18/AA18,""))</f>
        <v/>
      </c>
      <c r="AC18" s="155">
        <f>IFERROR(IF(OR(Z18="",AA18="",AB18=""),0,IF(AB18&lt;OBJECTIFS!$E$56,0,IF(AB18&lt;OBJECTIFS!$G$56,AC$8*OBJECTIFS!$F$60,IF(AB18&lt;OBJECTIFS!$I$56,AC$8*OBJECTIFS!$H$60,AC$8)))),0)</f>
        <v>0</v>
      </c>
      <c r="AD18" s="289"/>
      <c r="AE18" s="290"/>
      <c r="AF18" s="158">
        <f t="shared" ca="1" si="3"/>
        <v>0</v>
      </c>
      <c r="AG18" s="52"/>
      <c r="AH18" s="126"/>
      <c r="AI18" s="19"/>
      <c r="AJ18" s="19"/>
      <c r="AK18" s="19"/>
      <c r="AL18" s="19"/>
      <c r="AM18" s="63">
        <f t="shared" si="4"/>
        <v>0</v>
      </c>
      <c r="AN18" s="63">
        <f t="shared" si="8"/>
        <v>22</v>
      </c>
      <c r="AO18" s="64">
        <f t="shared" si="5"/>
        <v>0</v>
      </c>
      <c r="AP18" s="65" t="str">
        <f t="shared" ca="1" si="0"/>
        <v/>
      </c>
      <c r="AQ18" s="66"/>
      <c r="AR18" s="168">
        <f>IFERROR(VLOOKUP(B18,OBJECTIFS!$C$76:$E$137,2,FALSE),0)</f>
        <v>0</v>
      </c>
      <c r="AS18" s="173"/>
      <c r="AT18" s="170">
        <f>IFERROR(VLOOKUP(B18,OBJECTIFS!$H$76:$J$137,2,FALSE),0)</f>
        <v>0</v>
      </c>
      <c r="AU18" s="178">
        <f t="shared" si="6"/>
        <v>0</v>
      </c>
      <c r="AV18" s="173"/>
      <c r="AW18" s="74">
        <f>IFERROR(VLOOKUP(B18,OBJECTIFS!$C$142:$E$203,2,FALSE),0)</f>
        <v>0</v>
      </c>
      <c r="AX18" s="74">
        <f>IFERROR(VLOOKUP(B18,OBJECTIFS!$H$142:$J$203,2,FALSE),0)</f>
        <v>0</v>
      </c>
      <c r="AY18" s="174">
        <f>IFERROR(VLOOKUP(B18,OBJECTIFS!$F$208:$H$269,3,FALSE),0)</f>
        <v>0</v>
      </c>
      <c r="AZ18" s="66"/>
      <c r="BA18" s="75" t="str">
        <f t="shared" ca="1" si="7"/>
        <v/>
      </c>
      <c r="BB18" s="52"/>
      <c r="BC18" s="76">
        <f t="shared" ca="1" si="1"/>
        <v>0</v>
      </c>
      <c r="BD18" s="53" t="str">
        <f t="shared" ca="1" si="2"/>
        <v/>
      </c>
      <c r="BE18" s="77" t="str">
        <f t="shared" ca="1" si="9"/>
        <v/>
      </c>
    </row>
    <row r="19" spans="1:57" x14ac:dyDescent="0.2">
      <c r="A19" s="16"/>
      <c r="B19" s="17"/>
      <c r="C19" s="17"/>
      <c r="D19" s="18"/>
      <c r="E19" s="19"/>
      <c r="F19" s="27"/>
      <c r="H19" s="71" t="str">
        <f>IF(OR(D19="",F19="",A19=""),"",IF(E19="oui",0,IF(D19=OBJECTIFS!$C$45,VLOOKUP(F19,OBJECTIFS!$C$9:$D$11,2,FALSE),IF(D19=OBJECTIFS!$C$46,VLOOKUP(F19,OBJECTIFS!$C$16:$D$18,2,FALSE),IF(D19=OBJECTIFS!$C$47,VLOOKUP(F19,OBJECTIFS!$C$23:$D$25,2,FALSE),IF(D19=OBJECTIFS!$C$48,VLOOKUP(F19,OBJECTIFS!$C$30:$D$32,2,FALSE),IF(D19=OBJECTIFS!$C$49,VLOOKUP(F19,OBJECTIFS!$C$37:$D$39,2,FALSE))))))))</f>
        <v/>
      </c>
      <c r="J19" s="138"/>
      <c r="K19" s="141" t="str">
        <f>IF(OR($A19="",$D19="",J19=""),"",SUMIFS(OBJECTIFS!E$9:E$39,OBJECTIFS!$A$9:$A$39,$D19,OBJECTIFS!$C$9:$C$39,$F19))</f>
        <v/>
      </c>
      <c r="L19" s="72" t="str">
        <f>IF(OR(AND($D19=OBJECTIFS!$B$6,OBJECTIFS!E$8="dmt"),AND($D19=OBJECTIFS!$B$13,OBJECTIFS!$E$15="dmt"),AND($D19=OBJECTIFS!$B$20,OBJECTIFS!$E$22="dmt"),AND($D19=OBJECTIFS!$B$27,OBJECTIFS!$E$29="dmt"),AND($D19=OBJECTIFS!$B$34,OBJECTIFS!$E$36="dmt"),AND($D19=OBJECTIFS!$B$6,OBJECTIFS!$E$8="taux de chute"),AND($D19=OBJECTIFS!$B$13,OBJECTIFS!$E$15="taux de chute"),AND($D19=OBJECTIFS!$B$20,OBJECTIFS!$E$22="taux de chute"),AND($D19=OBJECTIFS!$B$27,OBJECTIFS!$E$29="taux de chute"),AND($D19=OBJECTIFS!$B$34,OBJECTIFS!$E$36="taux de chute"),AND($D19=OBJECTIFS!$B$6,OBJECTIFS!E$8="tx mea"),AND($D19=OBJECTIFS!$B$13,OBJECTIFS!$E$15="tx mea"),AND($D19=OBJECTIFS!$B$20,OBJECTIFS!$E$22="tx mea"),AND($D19=OBJECTIFS!$B$27,OBJECTIFS!$E$29="tx mea"),AND($D19=OBJECTIFS!$B$34,OBJECTIFS!$E$36="tx mea")),IFERROR(K19/J19,""),IFERROR(J19/K19,""))</f>
        <v/>
      </c>
      <c r="M19" s="149">
        <f>IFERROR(IF(OR(J19="",K19="",L19=""),0,IF(L19&lt;OBJECTIFS!$E$56,0,IF(L19&lt;OBJECTIFS!$G$56,M$8*OBJECTIFS!$F$60,IF(L19&lt;OBJECTIFS!$I$56,M$8*OBJECTIFS!$H$60,M$8)))),0)</f>
        <v>0</v>
      </c>
      <c r="N19" s="144"/>
      <c r="O19" s="145" t="str">
        <f>IF(OR($A19="",$D19="",N19=""),"",SUMIFS(OBJECTIFS!F$9:F$39,OBJECTIFS!$A$9:$A$39,$D19,OBJECTIFS!$C$9:$C$39,$F19))</f>
        <v/>
      </c>
      <c r="P19" s="72" t="str">
        <f>IF(OR(AND($D19=OBJECTIFS!$B$6,OBJECTIFS!$F$8="dmt"),AND($D19=OBJECTIFS!$B$13,OBJECTIFS!$F$15="dmt"),AND($D19=OBJECTIFS!$B$20,OBJECTIFS!$F$22="dmt"),AND($D19=OBJECTIFS!$B$27,OBJECTIFS!$F$29="dmt"),AND($D19=OBJECTIFS!$B$34,OBJECTIFS!$F$36="dmt"),AND($D19=OBJECTIFS!$B$6,OBJECTIFS!$F$8="taux de chute"),AND($D19=OBJECTIFS!$B$13,OBJECTIFS!$F$15="taux de chute"),AND($D19=OBJECTIFS!$B$20,OBJECTIFS!$F$22="taux de chute"),AND($D19=OBJECTIFS!$B$27,OBJECTIFS!$F$29="taux de chute"),AND($D19=OBJECTIFS!$B$34,OBJECTIFS!$F$36="taux de chute"),AND($D19=OBJECTIFS!$B$6,OBJECTIFS!$F$8="tx mea"),AND($D19=OBJECTIFS!$B$13,OBJECTIFS!$F$15="tx mea"),AND($D19=OBJECTIFS!$B$20,OBJECTIFS!$F$22="tx mea"),AND($D19=OBJECTIFS!$B$27,OBJECTIFS!$F$29="tx mea"),AND($D19=OBJECTIFS!$B$34,OBJECTIFS!$F$36="tx mea")),IFERROR(O19/N19,""),IFERROR(N19/O19,""))</f>
        <v/>
      </c>
      <c r="Q19" s="149">
        <f>IFERROR(IF(OR(N19="",O19="",P19=""),0,IF(P19&lt;OBJECTIFS!$E$56,0,IF(P19&lt;OBJECTIFS!$G$56,Q$8*OBJECTIFS!$F$60,IF(P19&lt;OBJECTIFS!$I$56,Q$8*OBJECTIFS!$H$60,Q$8)))),0)</f>
        <v>0</v>
      </c>
      <c r="R19" s="121"/>
      <c r="S19" s="73" t="str">
        <f>IF(OR($A19="",$D19="",R19=""),"",SUMIFS(OBJECTIFS!G$9:G$39,OBJECTIFS!$A$9:$A$39,$D19,OBJECTIFS!$C$9:$C$39,$F19))</f>
        <v/>
      </c>
      <c r="T19" s="72" t="str">
        <f>IF(OR(AND($D19=OBJECTIFS!$B$6,OBJECTIFS!G$8="dmt"),AND($D19=OBJECTIFS!$B$13,OBJECTIFS!$G$15="dmt"),AND($D19=OBJECTIFS!$B$20,OBJECTIFS!$G$22="dmt"),AND($D19=OBJECTIFS!$B$27,OBJECTIFS!$G$29="dmt"),AND($D19=OBJECTIFS!$B$34,OBJECTIFS!$G$36="dmt"),AND($D19=OBJECTIFS!$B$6,OBJECTIFS!$G$8="taux de chute"),AND($D19=OBJECTIFS!$B$13,OBJECTIFS!$G$15="taux de chute"),AND($D19=OBJECTIFS!$B$20,OBJECTIFS!$G$22="taux de chute"),AND($D19=OBJECTIFS!$B$27,OBJECTIFS!$G$29="taux de chute"),AND($D19=OBJECTIFS!$B$34,OBJECTIFS!$G$36="taux de chute",AND($D19=OBJECTIFS!$B$6,OBJECTIFS!G$8="tx mea"),AND($D19=OBJECTIFS!$B$13,OBJECTIFS!$G$15="tx mea"),AND($D19=OBJECTIFS!$B$20,OBJECTIFS!$G$22="tx mea"),AND($D19=OBJECTIFS!$B$27,OBJECTIFS!$G$29="tx mea"),AND($D19=OBJECTIFS!$B$34,OBJECTIFS!$G$36="tx mea"))),IFERROR(S19/R19,""),IFERROR(R19/S19,""))</f>
        <v/>
      </c>
      <c r="U19" s="152">
        <f>IFERROR(IF(OR(R19="",S19="",T19=""),0,IF(T19&lt;OBJECTIFS!$E$56,0,IF(T19&lt;OBJECTIFS!$G$56,U$8*OBJECTIFS!$F$60,IF(T19&lt;OBJECTIFS!$I$56,U$8*OBJECTIFS!$H$60,U$8)))),0)</f>
        <v>0</v>
      </c>
      <c r="V19" s="20"/>
      <c r="W19" s="72" t="str">
        <f>IF(OR($A19="",$D19="",V19=""),"",SUMIFS(OBJECTIFS!H$9:H$39,OBJECTIFS!$A$9:$A$39,$D19,OBJECTIFS!$C$9:$C$39,$F19))</f>
        <v/>
      </c>
      <c r="X19" s="72" t="str">
        <f>IF(OR(AND($D19=OBJECTIFS!$B$6,OBJECTIFS!H$8="dmt"),AND($D19=OBJECTIFS!$B$13,OBJECTIFS!$H$15="dmt"),AND($D19=OBJECTIFS!$B$20,OBJECTIFS!$H$22="dmt"),AND($D19=OBJECTIFS!$B$27,OBJECTIFS!$H$29="dmt"),AND($D19=OBJECTIFS!$B$34,OBJECTIFS!$H$36="dmt"),AND($D19=OBJECTIFS!$B$6,OBJECTIFS!$H$8="taux de chute"),AND($D19=OBJECTIFS!$B$13,OBJECTIFS!$H$15="taux de chute"),AND($D19=OBJECTIFS!$B$20,OBJECTIFS!$H$22="taux de chute"),AND($D19=OBJECTIFS!$B$27,OBJECTIFS!$H$29="taux de chute"),AND($D19=OBJECTIFS!$B$34,OBJECTIFS!$H$36="taux de chute"),AND($D19=OBJECTIFS!$B$6,OBJECTIFS!H$8="tx mea"),AND($D19=OBJECTIFS!$B$13,OBJECTIFS!$H$15="tx mea"),AND($D19=OBJECTIFS!$B$20,OBJECTIFS!$H$22="tx mea"),AND($D19=OBJECTIFS!$B$27,OBJECTIFS!$H$29="tx mea"),AND($D19=OBJECTIFS!$B$34,OBJECTIFS!$H$36="tx mea")),IFERROR(W19/V19,""),IFERROR(V19/W19,""))</f>
        <v/>
      </c>
      <c r="Y19" s="149">
        <f>IFERROR(IF(OR(V19="",W19="",X19=""),0,IF(X19&lt;OBJECTIFS!$E$56,0,IF(X19&lt;OBJECTIFS!$G$56,Y$8*OBJECTIFS!$F$60,IF(X19&lt;OBJECTIFS!$I$56,Y$8*OBJECTIFS!$H$60,Y$8)))),0)</f>
        <v>0</v>
      </c>
      <c r="Z19" s="124"/>
      <c r="AA19" s="72" t="str">
        <f>IF(OR($A19="",$D19="",Z19=""),"",SUMIFS(OBJECTIFS!I$9:I$39,OBJECTIFS!$A$9:$A$39,$D19,OBJECTIFS!$C$9:$C$39,$F19))</f>
        <v/>
      </c>
      <c r="AB19" s="72" t="str">
        <f>IF(OR(AND($D19=OBJECTIFS!$B$6,OBJECTIFS!I$8="dmt"),AND($D19=OBJECTIFS!$B$13,OBJECTIFS!$I$15="dmt"),AND($D19=OBJECTIFS!$B$20,OBJECTIFS!$I$22="dmt"),AND($D19=OBJECTIFS!$B$27,OBJECTIFS!$I$29="dmt"),AND($D19=OBJECTIFS!$B$34,OBJECTIFS!$I$36="dmt"),AND($D19=OBJECTIFS!$B$6,OBJECTIFS!$I$8="taux de chute"),AND($D19=OBJECTIFS!$B$13,OBJECTIFS!$I$15="taux de chute"),AND($D19=OBJECTIFS!$B$20,OBJECTIFS!$I$22="taux de chute"),AND($D19=OBJECTIFS!$B$27,OBJECTIFS!$I$29="taux de chute"),AND($D19=OBJECTIFS!$B$34,OBJECTIFS!$I$36="taux de chute"),AND($D19=OBJECTIFS!$B$6,OBJECTIFS!I$8="tx mea"),AND($D19=OBJECTIFS!$B$13,OBJECTIFS!$I$15="tx mea"),AND($D19=OBJECTIFS!$B$20,OBJECTIFS!$I$22="tx mea"),AND($D19=OBJECTIFS!$B$27,OBJECTIFS!$I$29="tx mea"),AND($D19=OBJECTIFS!$B$34,OBJECTIFS!$I$36="tx mea")),IFERROR(AA19/Z19,""),IFERROR(Z19/AA19,""))</f>
        <v/>
      </c>
      <c r="AC19" s="155">
        <f>IFERROR(IF(OR(Z19="",AA19="",AB19=""),0,IF(AB19&lt;OBJECTIFS!$E$56,0,IF(AB19&lt;OBJECTIFS!$G$56,AC$8*OBJECTIFS!$F$60,IF(AB19&lt;OBJECTIFS!$I$56,AC$8*OBJECTIFS!$H$60,AC$8)))),0)</f>
        <v>0</v>
      </c>
      <c r="AD19" s="289"/>
      <c r="AE19" s="290"/>
      <c r="AF19" s="158">
        <f t="shared" ca="1" si="3"/>
        <v>0</v>
      </c>
      <c r="AG19" s="52"/>
      <c r="AH19" s="126"/>
      <c r="AI19" s="19"/>
      <c r="AJ19" s="19"/>
      <c r="AK19" s="19"/>
      <c r="AL19" s="19"/>
      <c r="AM19" s="63">
        <f t="shared" si="4"/>
        <v>0</v>
      </c>
      <c r="AN19" s="63">
        <f t="shared" si="8"/>
        <v>22</v>
      </c>
      <c r="AO19" s="64">
        <f t="shared" si="5"/>
        <v>0</v>
      </c>
      <c r="AP19" s="65" t="str">
        <f t="shared" ca="1" si="0"/>
        <v/>
      </c>
      <c r="AQ19" s="66"/>
      <c r="AR19" s="168">
        <f>IFERROR(VLOOKUP(B19,OBJECTIFS!$C$76:$E$137,2,FALSE),0)</f>
        <v>0</v>
      </c>
      <c r="AS19" s="173"/>
      <c r="AT19" s="170">
        <f>IFERROR(VLOOKUP(B19,OBJECTIFS!$H$76:$J$137,2,FALSE),0)</f>
        <v>0</v>
      </c>
      <c r="AU19" s="178">
        <f t="shared" si="6"/>
        <v>0</v>
      </c>
      <c r="AV19" s="173"/>
      <c r="AW19" s="74">
        <f>IFERROR(VLOOKUP(B19,OBJECTIFS!$C$142:$E$203,2,FALSE),0)</f>
        <v>0</v>
      </c>
      <c r="AX19" s="74">
        <f>IFERROR(VLOOKUP(B19,OBJECTIFS!$H$142:$J$203,2,FALSE),0)</f>
        <v>0</v>
      </c>
      <c r="AY19" s="174">
        <f>IFERROR(VLOOKUP(B19,OBJECTIFS!$F$208:$H$269,3,FALSE),0)</f>
        <v>0</v>
      </c>
      <c r="AZ19" s="66"/>
      <c r="BA19" s="75" t="str">
        <f t="shared" ca="1" si="7"/>
        <v/>
      </c>
      <c r="BB19" s="52"/>
      <c r="BC19" s="76">
        <f t="shared" ca="1" si="1"/>
        <v>0</v>
      </c>
      <c r="BD19" s="53" t="str">
        <f t="shared" ca="1" si="2"/>
        <v/>
      </c>
      <c r="BE19" s="77" t="str">
        <f t="shared" ca="1" si="9"/>
        <v/>
      </c>
    </row>
    <row r="20" spans="1:57" x14ac:dyDescent="0.2">
      <c r="A20" s="16"/>
      <c r="B20" s="17"/>
      <c r="C20" s="17"/>
      <c r="D20" s="18"/>
      <c r="E20" s="19"/>
      <c r="F20" s="27"/>
      <c r="H20" s="71" t="str">
        <f>IF(OR(D20="",F20="",A20=""),"",IF(E20="oui",0,IF(D20=OBJECTIFS!$C$45,VLOOKUP(F20,OBJECTIFS!$C$9:$D$11,2,FALSE),IF(D20=OBJECTIFS!$C$46,VLOOKUP(F20,OBJECTIFS!$C$16:$D$18,2,FALSE),IF(D20=OBJECTIFS!$C$47,VLOOKUP(F20,OBJECTIFS!$C$23:$D$25,2,FALSE),IF(D20=OBJECTIFS!$C$48,VLOOKUP(F20,OBJECTIFS!$C$30:$D$32,2,FALSE),IF(D20=OBJECTIFS!$C$49,VLOOKUP(F20,OBJECTIFS!$C$37:$D$39,2,FALSE))))))))</f>
        <v/>
      </c>
      <c r="J20" s="138"/>
      <c r="K20" s="141" t="str">
        <f>IF(OR($A20="",$D20="",J20=""),"",SUMIFS(OBJECTIFS!E$9:E$39,OBJECTIFS!$A$9:$A$39,$D20,OBJECTIFS!$C$9:$C$39,$F20))</f>
        <v/>
      </c>
      <c r="L20" s="72" t="str">
        <f>IF(OR(AND($D20=OBJECTIFS!$B$6,OBJECTIFS!E$8="dmt"),AND($D20=OBJECTIFS!$B$13,OBJECTIFS!$E$15="dmt"),AND($D20=OBJECTIFS!$B$20,OBJECTIFS!$E$22="dmt"),AND($D20=OBJECTIFS!$B$27,OBJECTIFS!$E$29="dmt"),AND($D20=OBJECTIFS!$B$34,OBJECTIFS!$E$36="dmt"),AND($D20=OBJECTIFS!$B$6,OBJECTIFS!$E$8="taux de chute"),AND($D20=OBJECTIFS!$B$13,OBJECTIFS!$E$15="taux de chute"),AND($D20=OBJECTIFS!$B$20,OBJECTIFS!$E$22="taux de chute"),AND($D20=OBJECTIFS!$B$27,OBJECTIFS!$E$29="taux de chute"),AND($D20=OBJECTIFS!$B$34,OBJECTIFS!$E$36="taux de chute"),AND($D20=OBJECTIFS!$B$6,OBJECTIFS!E$8="tx mea"),AND($D20=OBJECTIFS!$B$13,OBJECTIFS!$E$15="tx mea"),AND($D20=OBJECTIFS!$B$20,OBJECTIFS!$E$22="tx mea"),AND($D20=OBJECTIFS!$B$27,OBJECTIFS!$E$29="tx mea"),AND($D20=OBJECTIFS!$B$34,OBJECTIFS!$E$36="tx mea")),IFERROR(K20/J20,""),IFERROR(J20/K20,""))</f>
        <v/>
      </c>
      <c r="M20" s="149">
        <f>IFERROR(IF(OR(J20="",K20="",L20=""),0,IF(L20&lt;OBJECTIFS!$E$56,0,IF(L20&lt;OBJECTIFS!$G$56,M$8*OBJECTIFS!$F$60,IF(L20&lt;OBJECTIFS!$I$56,M$8*OBJECTIFS!$H$60,M$8)))),0)</f>
        <v>0</v>
      </c>
      <c r="N20" s="144"/>
      <c r="O20" s="145" t="str">
        <f>IF(OR($A20="",$D20="",N20=""),"",SUMIFS(OBJECTIFS!F$9:F$39,OBJECTIFS!$A$9:$A$39,$D20,OBJECTIFS!$C$9:$C$39,$F20))</f>
        <v/>
      </c>
      <c r="P20" s="72" t="str">
        <f>IF(OR(AND($D20=OBJECTIFS!$B$6,OBJECTIFS!$F$8="dmt"),AND($D20=OBJECTIFS!$B$13,OBJECTIFS!$F$15="dmt"),AND($D20=OBJECTIFS!$B$20,OBJECTIFS!$F$22="dmt"),AND($D20=OBJECTIFS!$B$27,OBJECTIFS!$F$29="dmt"),AND($D20=OBJECTIFS!$B$34,OBJECTIFS!$F$36="dmt"),AND($D20=OBJECTIFS!$B$6,OBJECTIFS!$F$8="taux de chute"),AND($D20=OBJECTIFS!$B$13,OBJECTIFS!$F$15="taux de chute"),AND($D20=OBJECTIFS!$B$20,OBJECTIFS!$F$22="taux de chute"),AND($D20=OBJECTIFS!$B$27,OBJECTIFS!$F$29="taux de chute"),AND($D20=OBJECTIFS!$B$34,OBJECTIFS!$F$36="taux de chute"),AND($D20=OBJECTIFS!$B$6,OBJECTIFS!$F$8="tx mea"),AND($D20=OBJECTIFS!$B$13,OBJECTIFS!$F$15="tx mea"),AND($D20=OBJECTIFS!$B$20,OBJECTIFS!$F$22="tx mea"),AND($D20=OBJECTIFS!$B$27,OBJECTIFS!$F$29="tx mea"),AND($D20=OBJECTIFS!$B$34,OBJECTIFS!$F$36="tx mea")),IFERROR(O20/N20,""),IFERROR(N20/O20,""))</f>
        <v/>
      </c>
      <c r="Q20" s="149">
        <f>IFERROR(IF(OR(N20="",O20="",P20=""),0,IF(P20&lt;OBJECTIFS!$E$56,0,IF(P20&lt;OBJECTIFS!$G$56,Q$8*OBJECTIFS!$F$60,IF(P20&lt;OBJECTIFS!$I$56,Q$8*OBJECTIFS!$H$60,Q$8)))),0)</f>
        <v>0</v>
      </c>
      <c r="R20" s="121"/>
      <c r="S20" s="73" t="str">
        <f>IF(OR($A20="",$D20="",R20=""),"",SUMIFS(OBJECTIFS!G$9:G$39,OBJECTIFS!$A$9:$A$39,$D20,OBJECTIFS!$C$9:$C$39,$F20))</f>
        <v/>
      </c>
      <c r="T20" s="72" t="str">
        <f>IF(OR(AND($D20=OBJECTIFS!$B$6,OBJECTIFS!G$8="dmt"),AND($D20=OBJECTIFS!$B$13,OBJECTIFS!$G$15="dmt"),AND($D20=OBJECTIFS!$B$20,OBJECTIFS!$G$22="dmt"),AND($D20=OBJECTIFS!$B$27,OBJECTIFS!$G$29="dmt"),AND($D20=OBJECTIFS!$B$34,OBJECTIFS!$G$36="dmt"),AND($D20=OBJECTIFS!$B$6,OBJECTIFS!$G$8="taux de chute"),AND($D20=OBJECTIFS!$B$13,OBJECTIFS!$G$15="taux de chute"),AND($D20=OBJECTIFS!$B$20,OBJECTIFS!$G$22="taux de chute"),AND($D20=OBJECTIFS!$B$27,OBJECTIFS!$G$29="taux de chute"),AND($D20=OBJECTIFS!$B$34,OBJECTIFS!$G$36="taux de chute",AND($D20=OBJECTIFS!$B$6,OBJECTIFS!G$8="tx mea"),AND($D20=OBJECTIFS!$B$13,OBJECTIFS!$G$15="tx mea"),AND($D20=OBJECTIFS!$B$20,OBJECTIFS!$G$22="tx mea"),AND($D20=OBJECTIFS!$B$27,OBJECTIFS!$G$29="tx mea"),AND($D20=OBJECTIFS!$B$34,OBJECTIFS!$G$36="tx mea"))),IFERROR(S20/R20,""),IFERROR(R20/S20,""))</f>
        <v/>
      </c>
      <c r="U20" s="152">
        <f>IFERROR(IF(OR(R20="",S20="",T20=""),0,IF(T20&lt;OBJECTIFS!$E$56,0,IF(T20&lt;OBJECTIFS!$G$56,U$8*OBJECTIFS!$F$60,IF(T20&lt;OBJECTIFS!$I$56,U$8*OBJECTIFS!$H$60,U$8)))),0)</f>
        <v>0</v>
      </c>
      <c r="V20" s="20"/>
      <c r="W20" s="72" t="str">
        <f>IF(OR($A20="",$D20="",V20=""),"",SUMIFS(OBJECTIFS!H$9:H$39,OBJECTIFS!$A$9:$A$39,$D20,OBJECTIFS!$C$9:$C$39,$F20))</f>
        <v/>
      </c>
      <c r="X20" s="72" t="str">
        <f>IF(OR(AND($D20=OBJECTIFS!$B$6,OBJECTIFS!H$8="dmt"),AND($D20=OBJECTIFS!$B$13,OBJECTIFS!$H$15="dmt"),AND($D20=OBJECTIFS!$B$20,OBJECTIFS!$H$22="dmt"),AND($D20=OBJECTIFS!$B$27,OBJECTIFS!$H$29="dmt"),AND($D20=OBJECTIFS!$B$34,OBJECTIFS!$H$36="dmt"),AND($D20=OBJECTIFS!$B$6,OBJECTIFS!$H$8="taux de chute"),AND($D20=OBJECTIFS!$B$13,OBJECTIFS!$H$15="taux de chute"),AND($D20=OBJECTIFS!$B$20,OBJECTIFS!$H$22="taux de chute"),AND($D20=OBJECTIFS!$B$27,OBJECTIFS!$H$29="taux de chute"),AND($D20=OBJECTIFS!$B$34,OBJECTIFS!$H$36="taux de chute"),AND($D20=OBJECTIFS!$B$6,OBJECTIFS!H$8="tx mea"),AND($D20=OBJECTIFS!$B$13,OBJECTIFS!$H$15="tx mea"),AND($D20=OBJECTIFS!$B$20,OBJECTIFS!$H$22="tx mea"),AND($D20=OBJECTIFS!$B$27,OBJECTIFS!$H$29="tx mea"),AND($D20=OBJECTIFS!$B$34,OBJECTIFS!$H$36="tx mea")),IFERROR(W20/V20,""),IFERROR(V20/W20,""))</f>
        <v/>
      </c>
      <c r="Y20" s="149">
        <f>IFERROR(IF(OR(V20="",W20="",X20=""),0,IF(X20&lt;OBJECTIFS!$E$56,0,IF(X20&lt;OBJECTIFS!$G$56,Y$8*OBJECTIFS!$F$60,IF(X20&lt;OBJECTIFS!$I$56,Y$8*OBJECTIFS!$H$60,Y$8)))),0)</f>
        <v>0</v>
      </c>
      <c r="Z20" s="124"/>
      <c r="AA20" s="72" t="str">
        <f>IF(OR($A20="",$D20="",Z20=""),"",SUMIFS(OBJECTIFS!I$9:I$39,OBJECTIFS!$A$9:$A$39,$D20,OBJECTIFS!$C$9:$C$39,$F20))</f>
        <v/>
      </c>
      <c r="AB20" s="72" t="str">
        <f>IF(OR(AND($D20=OBJECTIFS!$B$6,OBJECTIFS!I$8="dmt"),AND($D20=OBJECTIFS!$B$13,OBJECTIFS!$I$15="dmt"),AND($D20=OBJECTIFS!$B$20,OBJECTIFS!$I$22="dmt"),AND($D20=OBJECTIFS!$B$27,OBJECTIFS!$I$29="dmt"),AND($D20=OBJECTIFS!$B$34,OBJECTIFS!$I$36="dmt"),AND($D20=OBJECTIFS!$B$6,OBJECTIFS!$I$8="taux de chute"),AND($D20=OBJECTIFS!$B$13,OBJECTIFS!$I$15="taux de chute"),AND($D20=OBJECTIFS!$B$20,OBJECTIFS!$I$22="taux de chute"),AND($D20=OBJECTIFS!$B$27,OBJECTIFS!$I$29="taux de chute"),AND($D20=OBJECTIFS!$B$34,OBJECTIFS!$I$36="taux de chute"),AND($D20=OBJECTIFS!$B$6,OBJECTIFS!I$8="tx mea"),AND($D20=OBJECTIFS!$B$13,OBJECTIFS!$I$15="tx mea"),AND($D20=OBJECTIFS!$B$20,OBJECTIFS!$I$22="tx mea"),AND($D20=OBJECTIFS!$B$27,OBJECTIFS!$I$29="tx mea"),AND($D20=OBJECTIFS!$B$34,OBJECTIFS!$I$36="tx mea")),IFERROR(AA20/Z20,""),IFERROR(Z20/AA20,""))</f>
        <v/>
      </c>
      <c r="AC20" s="155">
        <f>IFERROR(IF(OR(Z20="",AA20="",AB20=""),0,IF(AB20&lt;OBJECTIFS!$E$56,0,IF(AB20&lt;OBJECTIFS!$G$56,AC$8*OBJECTIFS!$F$60,IF(AB20&lt;OBJECTIFS!$I$56,AC$8*OBJECTIFS!$H$60,AC$8)))),0)</f>
        <v>0</v>
      </c>
      <c r="AD20" s="289"/>
      <c r="AE20" s="290"/>
      <c r="AF20" s="158">
        <f t="shared" ca="1" si="3"/>
        <v>0</v>
      </c>
      <c r="AG20" s="52"/>
      <c r="AH20" s="126"/>
      <c r="AI20" s="19"/>
      <c r="AJ20" s="19"/>
      <c r="AK20" s="19"/>
      <c r="AL20" s="19"/>
      <c r="AM20" s="63">
        <f t="shared" si="4"/>
        <v>0</v>
      </c>
      <c r="AN20" s="63">
        <f t="shared" si="8"/>
        <v>22</v>
      </c>
      <c r="AO20" s="64">
        <f t="shared" si="5"/>
        <v>0</v>
      </c>
      <c r="AP20" s="65" t="str">
        <f t="shared" ca="1" si="0"/>
        <v/>
      </c>
      <c r="AQ20" s="66"/>
      <c r="AR20" s="168">
        <f>IFERROR(VLOOKUP(B20,OBJECTIFS!$C$76:$E$137,2,FALSE),0)</f>
        <v>0</v>
      </c>
      <c r="AS20" s="173"/>
      <c r="AT20" s="170">
        <f>IFERROR(VLOOKUP(B20,OBJECTIFS!$H$76:$J$137,2,FALSE),0)</f>
        <v>0</v>
      </c>
      <c r="AU20" s="178">
        <f t="shared" si="6"/>
        <v>0</v>
      </c>
      <c r="AV20" s="173"/>
      <c r="AW20" s="74">
        <f>IFERROR(VLOOKUP(B20,OBJECTIFS!$C$142:$E$203,2,FALSE),0)</f>
        <v>0</v>
      </c>
      <c r="AX20" s="74">
        <f>IFERROR(VLOOKUP(B20,OBJECTIFS!$H$142:$J$203,2,FALSE),0)</f>
        <v>0</v>
      </c>
      <c r="AY20" s="174">
        <f>IFERROR(VLOOKUP(B20,OBJECTIFS!$F$208:$H$269,3,FALSE),0)</f>
        <v>0</v>
      </c>
      <c r="AZ20" s="66"/>
      <c r="BA20" s="75" t="str">
        <f t="shared" ca="1" si="7"/>
        <v/>
      </c>
      <c r="BB20" s="52"/>
      <c r="BC20" s="76">
        <f t="shared" ca="1" si="1"/>
        <v>0</v>
      </c>
      <c r="BD20" s="53" t="str">
        <f t="shared" ca="1" si="2"/>
        <v/>
      </c>
      <c r="BE20" s="77" t="str">
        <f t="shared" ca="1" si="9"/>
        <v/>
      </c>
    </row>
    <row r="21" spans="1:57" x14ac:dyDescent="0.2">
      <c r="A21" s="16"/>
      <c r="B21" s="17"/>
      <c r="C21" s="17"/>
      <c r="D21" s="18"/>
      <c r="E21" s="19"/>
      <c r="F21" s="27"/>
      <c r="H21" s="71" t="str">
        <f>IF(OR(D21="",F21="",A21=""),"",IF(E21="oui",0,IF(D21=OBJECTIFS!$C$45,VLOOKUP(F21,OBJECTIFS!$C$9:$D$11,2,FALSE),IF(D21=OBJECTIFS!$C$46,VLOOKUP(F21,OBJECTIFS!$C$16:$D$18,2,FALSE),IF(D21=OBJECTIFS!$C$47,VLOOKUP(F21,OBJECTIFS!$C$23:$D$25,2,FALSE),IF(D21=OBJECTIFS!$C$48,VLOOKUP(F21,OBJECTIFS!$C$30:$D$32,2,FALSE),IF(D21=OBJECTIFS!$C$49,VLOOKUP(F21,OBJECTIFS!$C$37:$D$39,2,FALSE))))))))</f>
        <v/>
      </c>
      <c r="J21" s="138"/>
      <c r="K21" s="141" t="str">
        <f>IF(OR($A21="",$D21="",J21=""),"",SUMIFS(OBJECTIFS!E$9:E$39,OBJECTIFS!$A$9:$A$39,$D21,OBJECTIFS!$C$9:$C$39,$F21))</f>
        <v/>
      </c>
      <c r="L21" s="72" t="str">
        <f>IF(OR(AND($D21=OBJECTIFS!$B$6,OBJECTIFS!E$8="dmt"),AND($D21=OBJECTIFS!$B$13,OBJECTIFS!$E$15="dmt"),AND($D21=OBJECTIFS!$B$20,OBJECTIFS!$E$22="dmt"),AND($D21=OBJECTIFS!$B$27,OBJECTIFS!$E$29="dmt"),AND($D21=OBJECTIFS!$B$34,OBJECTIFS!$E$36="dmt"),AND($D21=OBJECTIFS!$B$6,OBJECTIFS!$E$8="taux de chute"),AND($D21=OBJECTIFS!$B$13,OBJECTIFS!$E$15="taux de chute"),AND($D21=OBJECTIFS!$B$20,OBJECTIFS!$E$22="taux de chute"),AND($D21=OBJECTIFS!$B$27,OBJECTIFS!$E$29="taux de chute"),AND($D21=OBJECTIFS!$B$34,OBJECTIFS!$E$36="taux de chute"),AND($D21=OBJECTIFS!$B$6,OBJECTIFS!E$8="tx mea"),AND($D21=OBJECTIFS!$B$13,OBJECTIFS!$E$15="tx mea"),AND($D21=OBJECTIFS!$B$20,OBJECTIFS!$E$22="tx mea"),AND($D21=OBJECTIFS!$B$27,OBJECTIFS!$E$29="tx mea"),AND($D21=OBJECTIFS!$B$34,OBJECTIFS!$E$36="tx mea")),IFERROR(K21/J21,""),IFERROR(J21/K21,""))</f>
        <v/>
      </c>
      <c r="M21" s="149">
        <f>IFERROR(IF(OR(J21="",K21="",L21=""),0,IF(L21&lt;OBJECTIFS!$E$56,0,IF(L21&lt;OBJECTIFS!$G$56,M$8*OBJECTIFS!$F$60,IF(L21&lt;OBJECTIFS!$I$56,M$8*OBJECTIFS!$H$60,M$8)))),0)</f>
        <v>0</v>
      </c>
      <c r="N21" s="144"/>
      <c r="O21" s="145" t="str">
        <f>IF(OR($A21="",$D21="",N21=""),"",SUMIFS(OBJECTIFS!F$9:F$39,OBJECTIFS!$A$9:$A$39,$D21,OBJECTIFS!$C$9:$C$39,$F21))</f>
        <v/>
      </c>
      <c r="P21" s="72" t="str">
        <f>IF(OR(AND($D21=OBJECTIFS!$B$6,OBJECTIFS!$F$8="dmt"),AND($D21=OBJECTIFS!$B$13,OBJECTIFS!$F$15="dmt"),AND($D21=OBJECTIFS!$B$20,OBJECTIFS!$F$22="dmt"),AND($D21=OBJECTIFS!$B$27,OBJECTIFS!$F$29="dmt"),AND($D21=OBJECTIFS!$B$34,OBJECTIFS!$F$36="dmt"),AND($D21=OBJECTIFS!$B$6,OBJECTIFS!$F$8="taux de chute"),AND($D21=OBJECTIFS!$B$13,OBJECTIFS!$F$15="taux de chute"),AND($D21=OBJECTIFS!$B$20,OBJECTIFS!$F$22="taux de chute"),AND($D21=OBJECTIFS!$B$27,OBJECTIFS!$F$29="taux de chute"),AND($D21=OBJECTIFS!$B$34,OBJECTIFS!$F$36="taux de chute"),AND($D21=OBJECTIFS!$B$6,OBJECTIFS!$F$8="tx mea"),AND($D21=OBJECTIFS!$B$13,OBJECTIFS!$F$15="tx mea"),AND($D21=OBJECTIFS!$B$20,OBJECTIFS!$F$22="tx mea"),AND($D21=OBJECTIFS!$B$27,OBJECTIFS!$F$29="tx mea"),AND($D21=OBJECTIFS!$B$34,OBJECTIFS!$F$36="tx mea")),IFERROR(O21/N21,""),IFERROR(N21/O21,""))</f>
        <v/>
      </c>
      <c r="Q21" s="149">
        <f>IFERROR(IF(OR(N21="",O21="",P21=""),0,IF(P21&lt;OBJECTIFS!$E$56,0,IF(P21&lt;OBJECTIFS!$G$56,Q$8*OBJECTIFS!$F$60,IF(P21&lt;OBJECTIFS!$I$56,Q$8*OBJECTIFS!$H$60,Q$8)))),0)</f>
        <v>0</v>
      </c>
      <c r="R21" s="121"/>
      <c r="S21" s="73" t="str">
        <f>IF(OR($A21="",$D21="",R21=""),"",SUMIFS(OBJECTIFS!G$9:G$39,OBJECTIFS!$A$9:$A$39,$D21,OBJECTIFS!$C$9:$C$39,$F21))</f>
        <v/>
      </c>
      <c r="T21" s="72" t="str">
        <f>IF(OR(AND($D21=OBJECTIFS!$B$6,OBJECTIFS!G$8="dmt"),AND($D21=OBJECTIFS!$B$13,OBJECTIFS!$G$15="dmt"),AND($D21=OBJECTIFS!$B$20,OBJECTIFS!$G$22="dmt"),AND($D21=OBJECTIFS!$B$27,OBJECTIFS!$G$29="dmt"),AND($D21=OBJECTIFS!$B$34,OBJECTIFS!$G$36="dmt"),AND($D21=OBJECTIFS!$B$6,OBJECTIFS!$G$8="taux de chute"),AND($D21=OBJECTIFS!$B$13,OBJECTIFS!$G$15="taux de chute"),AND($D21=OBJECTIFS!$B$20,OBJECTIFS!$G$22="taux de chute"),AND($D21=OBJECTIFS!$B$27,OBJECTIFS!$G$29="taux de chute"),AND($D21=OBJECTIFS!$B$34,OBJECTIFS!$G$36="taux de chute",AND($D21=OBJECTIFS!$B$6,OBJECTIFS!G$8="tx mea"),AND($D21=OBJECTIFS!$B$13,OBJECTIFS!$G$15="tx mea"),AND($D21=OBJECTIFS!$B$20,OBJECTIFS!$G$22="tx mea"),AND($D21=OBJECTIFS!$B$27,OBJECTIFS!$G$29="tx mea"),AND($D21=OBJECTIFS!$B$34,OBJECTIFS!$G$36="tx mea"))),IFERROR(S21/R21,""),IFERROR(R21/S21,""))</f>
        <v/>
      </c>
      <c r="U21" s="152">
        <f>IFERROR(IF(OR(R21="",S21="",T21=""),0,IF(T21&lt;OBJECTIFS!$E$56,0,IF(T21&lt;OBJECTIFS!$G$56,U$8*OBJECTIFS!$F$60,IF(T21&lt;OBJECTIFS!$I$56,U$8*OBJECTIFS!$H$60,U$8)))),0)</f>
        <v>0</v>
      </c>
      <c r="V21" s="20"/>
      <c r="W21" s="72" t="str">
        <f>IF(OR($A21="",$D21="",V21=""),"",SUMIFS(OBJECTIFS!H$9:H$39,OBJECTIFS!$A$9:$A$39,$D21,OBJECTIFS!$C$9:$C$39,$F21))</f>
        <v/>
      </c>
      <c r="X21" s="72" t="str">
        <f>IF(OR(AND($D21=OBJECTIFS!$B$6,OBJECTIFS!H$8="dmt"),AND($D21=OBJECTIFS!$B$13,OBJECTIFS!$H$15="dmt"),AND($D21=OBJECTIFS!$B$20,OBJECTIFS!$H$22="dmt"),AND($D21=OBJECTIFS!$B$27,OBJECTIFS!$H$29="dmt"),AND($D21=OBJECTIFS!$B$34,OBJECTIFS!$H$36="dmt"),AND($D21=OBJECTIFS!$B$6,OBJECTIFS!$H$8="taux de chute"),AND($D21=OBJECTIFS!$B$13,OBJECTIFS!$H$15="taux de chute"),AND($D21=OBJECTIFS!$B$20,OBJECTIFS!$H$22="taux de chute"),AND($D21=OBJECTIFS!$B$27,OBJECTIFS!$H$29="taux de chute"),AND($D21=OBJECTIFS!$B$34,OBJECTIFS!$H$36="taux de chute"),AND($D21=OBJECTIFS!$B$6,OBJECTIFS!H$8="tx mea"),AND($D21=OBJECTIFS!$B$13,OBJECTIFS!$H$15="tx mea"),AND($D21=OBJECTIFS!$B$20,OBJECTIFS!$H$22="tx mea"),AND($D21=OBJECTIFS!$B$27,OBJECTIFS!$H$29="tx mea"),AND($D21=OBJECTIFS!$B$34,OBJECTIFS!$H$36="tx mea")),IFERROR(W21/V21,""),IFERROR(V21/W21,""))</f>
        <v/>
      </c>
      <c r="Y21" s="149">
        <f>IFERROR(IF(OR(V21="",W21="",X21=""),0,IF(X21&lt;OBJECTIFS!$E$56,0,IF(X21&lt;OBJECTIFS!$G$56,Y$8*OBJECTIFS!$F$60,IF(X21&lt;OBJECTIFS!$I$56,Y$8*OBJECTIFS!$H$60,Y$8)))),0)</f>
        <v>0</v>
      </c>
      <c r="Z21" s="124"/>
      <c r="AA21" s="72" t="str">
        <f>IF(OR($A21="",$D21="",Z21=""),"",SUMIFS(OBJECTIFS!I$9:I$39,OBJECTIFS!$A$9:$A$39,$D21,OBJECTIFS!$C$9:$C$39,$F21))</f>
        <v/>
      </c>
      <c r="AB21" s="72" t="str">
        <f>IF(OR(AND($D21=OBJECTIFS!$B$6,OBJECTIFS!I$8="dmt"),AND($D21=OBJECTIFS!$B$13,OBJECTIFS!$I$15="dmt"),AND($D21=OBJECTIFS!$B$20,OBJECTIFS!$I$22="dmt"),AND($D21=OBJECTIFS!$B$27,OBJECTIFS!$I$29="dmt"),AND($D21=OBJECTIFS!$B$34,OBJECTIFS!$I$36="dmt"),AND($D21=OBJECTIFS!$B$6,OBJECTIFS!$I$8="taux de chute"),AND($D21=OBJECTIFS!$B$13,OBJECTIFS!$I$15="taux de chute"),AND($D21=OBJECTIFS!$B$20,OBJECTIFS!$I$22="taux de chute"),AND($D21=OBJECTIFS!$B$27,OBJECTIFS!$I$29="taux de chute"),AND($D21=OBJECTIFS!$B$34,OBJECTIFS!$I$36="taux de chute"),AND($D21=OBJECTIFS!$B$6,OBJECTIFS!I$8="tx mea"),AND($D21=OBJECTIFS!$B$13,OBJECTIFS!$I$15="tx mea"),AND($D21=OBJECTIFS!$B$20,OBJECTIFS!$I$22="tx mea"),AND($D21=OBJECTIFS!$B$27,OBJECTIFS!$I$29="tx mea"),AND($D21=OBJECTIFS!$B$34,OBJECTIFS!$I$36="tx mea")),IFERROR(AA21/Z21,""),IFERROR(Z21/AA21,""))</f>
        <v/>
      </c>
      <c r="AC21" s="155">
        <f>IFERROR(IF(OR(Z21="",AA21="",AB21=""),0,IF(AB21&lt;OBJECTIFS!$E$56,0,IF(AB21&lt;OBJECTIFS!$G$56,AC$8*OBJECTIFS!$F$60,IF(AB21&lt;OBJECTIFS!$I$56,AC$8*OBJECTIFS!$H$60,AC$8)))),0)</f>
        <v>0</v>
      </c>
      <c r="AD21" s="289"/>
      <c r="AE21" s="290"/>
      <c r="AF21" s="158">
        <f t="shared" ca="1" si="3"/>
        <v>0</v>
      </c>
      <c r="AG21" s="52"/>
      <c r="AH21" s="126"/>
      <c r="AI21" s="19"/>
      <c r="AJ21" s="19"/>
      <c r="AK21" s="19"/>
      <c r="AL21" s="19"/>
      <c r="AM21" s="63">
        <f t="shared" si="4"/>
        <v>0</v>
      </c>
      <c r="AN21" s="63">
        <f t="shared" si="8"/>
        <v>22</v>
      </c>
      <c r="AO21" s="64">
        <f t="shared" si="5"/>
        <v>0</v>
      </c>
      <c r="AP21" s="65" t="str">
        <f t="shared" ca="1" si="0"/>
        <v/>
      </c>
      <c r="AQ21" s="66"/>
      <c r="AR21" s="168">
        <f>IFERROR(VLOOKUP(B21,OBJECTIFS!$C$76:$E$137,2,FALSE),0)</f>
        <v>0</v>
      </c>
      <c r="AS21" s="173"/>
      <c r="AT21" s="170">
        <f>IFERROR(VLOOKUP(B21,OBJECTIFS!$H$76:$J$137,2,FALSE),0)</f>
        <v>0</v>
      </c>
      <c r="AU21" s="178">
        <f t="shared" si="6"/>
        <v>0</v>
      </c>
      <c r="AV21" s="173"/>
      <c r="AW21" s="74">
        <f>IFERROR(VLOOKUP(B21,OBJECTIFS!$C$142:$E$203,2,FALSE),0)</f>
        <v>0</v>
      </c>
      <c r="AX21" s="74">
        <f>IFERROR(VLOOKUP(B21,OBJECTIFS!$H$142:$J$203,2,FALSE),0)</f>
        <v>0</v>
      </c>
      <c r="AY21" s="174">
        <f>IFERROR(VLOOKUP(B21,OBJECTIFS!$F$208:$H$269,3,FALSE),0)</f>
        <v>0</v>
      </c>
      <c r="AZ21" s="66"/>
      <c r="BA21" s="75" t="str">
        <f t="shared" ca="1" si="7"/>
        <v/>
      </c>
      <c r="BB21" s="52"/>
      <c r="BC21" s="76">
        <f t="shared" ca="1" si="1"/>
        <v>0</v>
      </c>
      <c r="BD21" s="53" t="str">
        <f t="shared" ca="1" si="2"/>
        <v/>
      </c>
      <c r="BE21" s="77" t="str">
        <f t="shared" ca="1" si="9"/>
        <v/>
      </c>
    </row>
    <row r="22" spans="1:57" x14ac:dyDescent="0.2">
      <c r="A22" s="16"/>
      <c r="B22" s="17"/>
      <c r="C22" s="17"/>
      <c r="D22" s="18"/>
      <c r="E22" s="19"/>
      <c r="F22" s="27"/>
      <c r="H22" s="71" t="str">
        <f>IF(OR(D22="",F22="",A22=""),"",IF(E22="oui",0,IF(D22=OBJECTIFS!$C$45,VLOOKUP(F22,OBJECTIFS!$C$9:$D$11,2,FALSE),IF(D22=OBJECTIFS!$C$46,VLOOKUP(F22,OBJECTIFS!$C$16:$D$18,2,FALSE),IF(D22=OBJECTIFS!$C$47,VLOOKUP(F22,OBJECTIFS!$C$23:$D$25,2,FALSE),IF(D22=OBJECTIFS!$C$48,VLOOKUP(F22,OBJECTIFS!$C$30:$D$32,2,FALSE),IF(D22=OBJECTIFS!$C$49,VLOOKUP(F22,OBJECTIFS!$C$37:$D$39,2,FALSE))))))))</f>
        <v/>
      </c>
      <c r="J22" s="138"/>
      <c r="K22" s="141" t="str">
        <f>IF(OR($A22="",$D22="",J22=""),"",SUMIFS(OBJECTIFS!E$9:E$39,OBJECTIFS!$A$9:$A$39,$D22,OBJECTIFS!$C$9:$C$39,$F22))</f>
        <v/>
      </c>
      <c r="L22" s="72" t="str">
        <f>IF(OR(AND($D22=OBJECTIFS!$B$6,OBJECTIFS!E$8="dmt"),AND($D22=OBJECTIFS!$B$13,OBJECTIFS!$E$15="dmt"),AND($D22=OBJECTIFS!$B$20,OBJECTIFS!$E$22="dmt"),AND($D22=OBJECTIFS!$B$27,OBJECTIFS!$E$29="dmt"),AND($D22=OBJECTIFS!$B$34,OBJECTIFS!$E$36="dmt"),AND($D22=OBJECTIFS!$B$6,OBJECTIFS!$E$8="taux de chute"),AND($D22=OBJECTIFS!$B$13,OBJECTIFS!$E$15="taux de chute"),AND($D22=OBJECTIFS!$B$20,OBJECTIFS!$E$22="taux de chute"),AND($D22=OBJECTIFS!$B$27,OBJECTIFS!$E$29="taux de chute"),AND($D22=OBJECTIFS!$B$34,OBJECTIFS!$E$36="taux de chute"),AND($D22=OBJECTIFS!$B$6,OBJECTIFS!E$8="tx mea"),AND($D22=OBJECTIFS!$B$13,OBJECTIFS!$E$15="tx mea"),AND($D22=OBJECTIFS!$B$20,OBJECTIFS!$E$22="tx mea"),AND($D22=OBJECTIFS!$B$27,OBJECTIFS!$E$29="tx mea"),AND($D22=OBJECTIFS!$B$34,OBJECTIFS!$E$36="tx mea")),IFERROR(K22/J22,""),IFERROR(J22/K22,""))</f>
        <v/>
      </c>
      <c r="M22" s="149">
        <f>IFERROR(IF(OR(J22="",K22="",L22=""),0,IF(L22&lt;OBJECTIFS!$E$56,0,IF(L22&lt;OBJECTIFS!$G$56,M$8*OBJECTIFS!$F$60,IF(L22&lt;OBJECTIFS!$I$56,M$8*OBJECTIFS!$H$60,M$8)))),0)</f>
        <v>0</v>
      </c>
      <c r="N22" s="144"/>
      <c r="O22" s="145" t="str">
        <f>IF(OR($A22="",$D22="",N22=""),"",SUMIFS(OBJECTIFS!F$9:F$39,OBJECTIFS!$A$9:$A$39,$D22,OBJECTIFS!$C$9:$C$39,$F22))</f>
        <v/>
      </c>
      <c r="P22" s="72" t="str">
        <f>IF(OR(AND($D22=OBJECTIFS!$B$6,OBJECTIFS!$F$8="dmt"),AND($D22=OBJECTIFS!$B$13,OBJECTIFS!$F$15="dmt"),AND($D22=OBJECTIFS!$B$20,OBJECTIFS!$F$22="dmt"),AND($D22=OBJECTIFS!$B$27,OBJECTIFS!$F$29="dmt"),AND($D22=OBJECTIFS!$B$34,OBJECTIFS!$F$36="dmt"),AND($D22=OBJECTIFS!$B$6,OBJECTIFS!$F$8="taux de chute"),AND($D22=OBJECTIFS!$B$13,OBJECTIFS!$F$15="taux de chute"),AND($D22=OBJECTIFS!$B$20,OBJECTIFS!$F$22="taux de chute"),AND($D22=OBJECTIFS!$B$27,OBJECTIFS!$F$29="taux de chute"),AND($D22=OBJECTIFS!$B$34,OBJECTIFS!$F$36="taux de chute"),AND($D22=OBJECTIFS!$B$6,OBJECTIFS!$F$8="tx mea"),AND($D22=OBJECTIFS!$B$13,OBJECTIFS!$F$15="tx mea"),AND($D22=OBJECTIFS!$B$20,OBJECTIFS!$F$22="tx mea"),AND($D22=OBJECTIFS!$B$27,OBJECTIFS!$F$29="tx mea"),AND($D22=OBJECTIFS!$B$34,OBJECTIFS!$F$36="tx mea")),IFERROR(O22/N22,""),IFERROR(N22/O22,""))</f>
        <v/>
      </c>
      <c r="Q22" s="149">
        <f>IFERROR(IF(OR(N22="",O22="",P22=""),0,IF(P22&lt;OBJECTIFS!$E$56,0,IF(P22&lt;OBJECTIFS!$G$56,Q$8*OBJECTIFS!$F$60,IF(P22&lt;OBJECTIFS!$I$56,Q$8*OBJECTIFS!$H$60,Q$8)))),0)</f>
        <v>0</v>
      </c>
      <c r="R22" s="121"/>
      <c r="S22" s="73" t="str">
        <f>IF(OR($A22="",$D22="",R22=""),"",SUMIFS(OBJECTIFS!G$9:G$39,OBJECTIFS!$A$9:$A$39,$D22,OBJECTIFS!$C$9:$C$39,$F22))</f>
        <v/>
      </c>
      <c r="T22" s="72" t="str">
        <f>IF(OR(AND($D22=OBJECTIFS!$B$6,OBJECTIFS!G$8="dmt"),AND($D22=OBJECTIFS!$B$13,OBJECTIFS!$G$15="dmt"),AND($D22=OBJECTIFS!$B$20,OBJECTIFS!$G$22="dmt"),AND($D22=OBJECTIFS!$B$27,OBJECTIFS!$G$29="dmt"),AND($D22=OBJECTIFS!$B$34,OBJECTIFS!$G$36="dmt"),AND($D22=OBJECTIFS!$B$6,OBJECTIFS!$G$8="taux de chute"),AND($D22=OBJECTIFS!$B$13,OBJECTIFS!$G$15="taux de chute"),AND($D22=OBJECTIFS!$B$20,OBJECTIFS!$G$22="taux de chute"),AND($D22=OBJECTIFS!$B$27,OBJECTIFS!$G$29="taux de chute"),AND($D22=OBJECTIFS!$B$34,OBJECTIFS!$G$36="taux de chute",AND($D22=OBJECTIFS!$B$6,OBJECTIFS!G$8="tx mea"),AND($D22=OBJECTIFS!$B$13,OBJECTIFS!$G$15="tx mea"),AND($D22=OBJECTIFS!$B$20,OBJECTIFS!$G$22="tx mea"),AND($D22=OBJECTIFS!$B$27,OBJECTIFS!$G$29="tx mea"),AND($D22=OBJECTIFS!$B$34,OBJECTIFS!$G$36="tx mea"))),IFERROR(S22/R22,""),IFERROR(R22/S22,""))</f>
        <v/>
      </c>
      <c r="U22" s="152">
        <f>IFERROR(IF(OR(R22="",S22="",T22=""),0,IF(T22&lt;OBJECTIFS!$E$56,0,IF(T22&lt;OBJECTIFS!$G$56,U$8*OBJECTIFS!$F$60,IF(T22&lt;OBJECTIFS!$I$56,U$8*OBJECTIFS!$H$60,U$8)))),0)</f>
        <v>0</v>
      </c>
      <c r="V22" s="20"/>
      <c r="W22" s="72" t="str">
        <f>IF(OR($A22="",$D22="",V22=""),"",SUMIFS(OBJECTIFS!H$9:H$39,OBJECTIFS!$A$9:$A$39,$D22,OBJECTIFS!$C$9:$C$39,$F22))</f>
        <v/>
      </c>
      <c r="X22" s="72" t="str">
        <f>IF(OR(AND($D22=OBJECTIFS!$B$6,OBJECTIFS!H$8="dmt"),AND($D22=OBJECTIFS!$B$13,OBJECTIFS!$H$15="dmt"),AND($D22=OBJECTIFS!$B$20,OBJECTIFS!$H$22="dmt"),AND($D22=OBJECTIFS!$B$27,OBJECTIFS!$H$29="dmt"),AND($D22=OBJECTIFS!$B$34,OBJECTIFS!$H$36="dmt"),AND($D22=OBJECTIFS!$B$6,OBJECTIFS!$H$8="taux de chute"),AND($D22=OBJECTIFS!$B$13,OBJECTIFS!$H$15="taux de chute"),AND($D22=OBJECTIFS!$B$20,OBJECTIFS!$H$22="taux de chute"),AND($D22=OBJECTIFS!$B$27,OBJECTIFS!$H$29="taux de chute"),AND($D22=OBJECTIFS!$B$34,OBJECTIFS!$H$36="taux de chute"),AND($D22=OBJECTIFS!$B$6,OBJECTIFS!H$8="tx mea"),AND($D22=OBJECTIFS!$B$13,OBJECTIFS!$H$15="tx mea"),AND($D22=OBJECTIFS!$B$20,OBJECTIFS!$H$22="tx mea"),AND($D22=OBJECTIFS!$B$27,OBJECTIFS!$H$29="tx mea"),AND($D22=OBJECTIFS!$B$34,OBJECTIFS!$H$36="tx mea")),IFERROR(W22/V22,""),IFERROR(V22/W22,""))</f>
        <v/>
      </c>
      <c r="Y22" s="149">
        <f>IFERROR(IF(OR(V22="",W22="",X22=""),0,IF(X22&lt;OBJECTIFS!$E$56,0,IF(X22&lt;OBJECTIFS!$G$56,Y$8*OBJECTIFS!$F$60,IF(X22&lt;OBJECTIFS!$I$56,Y$8*OBJECTIFS!$H$60,Y$8)))),0)</f>
        <v>0</v>
      </c>
      <c r="Z22" s="124"/>
      <c r="AA22" s="72" t="str">
        <f>IF(OR($A22="",$D22="",Z22=""),"",SUMIFS(OBJECTIFS!I$9:I$39,OBJECTIFS!$A$9:$A$39,$D22,OBJECTIFS!$C$9:$C$39,$F22))</f>
        <v/>
      </c>
      <c r="AB22" s="72" t="str">
        <f>IF(OR(AND($D22=OBJECTIFS!$B$6,OBJECTIFS!I$8="dmt"),AND($D22=OBJECTIFS!$B$13,OBJECTIFS!$I$15="dmt"),AND($D22=OBJECTIFS!$B$20,OBJECTIFS!$I$22="dmt"),AND($D22=OBJECTIFS!$B$27,OBJECTIFS!$I$29="dmt"),AND($D22=OBJECTIFS!$B$34,OBJECTIFS!$I$36="dmt"),AND($D22=OBJECTIFS!$B$6,OBJECTIFS!$I$8="taux de chute"),AND($D22=OBJECTIFS!$B$13,OBJECTIFS!$I$15="taux de chute"),AND($D22=OBJECTIFS!$B$20,OBJECTIFS!$I$22="taux de chute"),AND($D22=OBJECTIFS!$B$27,OBJECTIFS!$I$29="taux de chute"),AND($D22=OBJECTIFS!$B$34,OBJECTIFS!$I$36="taux de chute"),AND($D22=OBJECTIFS!$B$6,OBJECTIFS!I$8="tx mea"),AND($D22=OBJECTIFS!$B$13,OBJECTIFS!$I$15="tx mea"),AND($D22=OBJECTIFS!$B$20,OBJECTIFS!$I$22="tx mea"),AND($D22=OBJECTIFS!$B$27,OBJECTIFS!$I$29="tx mea"),AND($D22=OBJECTIFS!$B$34,OBJECTIFS!$I$36="tx mea")),IFERROR(AA22/Z22,""),IFERROR(Z22/AA22,""))</f>
        <v/>
      </c>
      <c r="AC22" s="155">
        <f>IFERROR(IF(OR(Z22="",AA22="",AB22=""),0,IF(AB22&lt;OBJECTIFS!$E$56,0,IF(AB22&lt;OBJECTIFS!$G$56,AC$8*OBJECTIFS!$F$60,IF(AB22&lt;OBJECTIFS!$I$56,AC$8*OBJECTIFS!$H$60,AC$8)))),0)</f>
        <v>0</v>
      </c>
      <c r="AD22" s="289"/>
      <c r="AE22" s="290"/>
      <c r="AF22" s="158">
        <f t="shared" ca="1" si="3"/>
        <v>0</v>
      </c>
      <c r="AG22" s="52"/>
      <c r="AH22" s="126"/>
      <c r="AI22" s="19"/>
      <c r="AJ22" s="19"/>
      <c r="AK22" s="19"/>
      <c r="AL22" s="19"/>
      <c r="AM22" s="63">
        <f t="shared" si="4"/>
        <v>0</v>
      </c>
      <c r="AN22" s="63">
        <f t="shared" si="8"/>
        <v>22</v>
      </c>
      <c r="AO22" s="64">
        <f t="shared" si="5"/>
        <v>0</v>
      </c>
      <c r="AP22" s="65" t="str">
        <f t="shared" ca="1" si="0"/>
        <v/>
      </c>
      <c r="AQ22" s="66"/>
      <c r="AR22" s="168">
        <f>IFERROR(VLOOKUP(B22,OBJECTIFS!$C$76:$E$137,2,FALSE),0)</f>
        <v>0</v>
      </c>
      <c r="AS22" s="173"/>
      <c r="AT22" s="170">
        <f>IFERROR(VLOOKUP(B22,OBJECTIFS!$H$76:$J$137,2,FALSE),0)</f>
        <v>0</v>
      </c>
      <c r="AU22" s="178">
        <f t="shared" si="6"/>
        <v>0</v>
      </c>
      <c r="AV22" s="173"/>
      <c r="AW22" s="74">
        <f>IFERROR(VLOOKUP(B22,OBJECTIFS!$C$142:$E$203,2,FALSE),0)</f>
        <v>0</v>
      </c>
      <c r="AX22" s="74">
        <f>IFERROR(VLOOKUP(B22,OBJECTIFS!$H$142:$J$203,2,FALSE),0)</f>
        <v>0</v>
      </c>
      <c r="AY22" s="174">
        <f>IFERROR(VLOOKUP(B22,OBJECTIFS!$F$208:$H$269,3,FALSE),0)</f>
        <v>0</v>
      </c>
      <c r="AZ22" s="66"/>
      <c r="BA22" s="75" t="str">
        <f t="shared" ca="1" si="7"/>
        <v/>
      </c>
      <c r="BB22" s="52"/>
      <c r="BC22" s="76">
        <f t="shared" ca="1" si="1"/>
        <v>0</v>
      </c>
      <c r="BD22" s="53" t="str">
        <f t="shared" ca="1" si="2"/>
        <v/>
      </c>
      <c r="BE22" s="77" t="str">
        <f t="shared" ca="1" si="9"/>
        <v/>
      </c>
    </row>
    <row r="23" spans="1:57" x14ac:dyDescent="0.2">
      <c r="A23" s="16"/>
      <c r="B23" s="17"/>
      <c r="C23" s="17"/>
      <c r="D23" s="18"/>
      <c r="E23" s="19"/>
      <c r="F23" s="27"/>
      <c r="H23" s="71" t="str">
        <f>IF(OR(D23="",F23="",A23=""),"",IF(E23="oui",0,IF(D23=OBJECTIFS!$C$45,VLOOKUP(F23,OBJECTIFS!$C$9:$D$11,2,FALSE),IF(D23=OBJECTIFS!$C$46,VLOOKUP(F23,OBJECTIFS!$C$16:$D$18,2,FALSE),IF(D23=OBJECTIFS!$C$47,VLOOKUP(F23,OBJECTIFS!$C$23:$D$25,2,FALSE),IF(D23=OBJECTIFS!$C$48,VLOOKUP(F23,OBJECTIFS!$C$30:$D$32,2,FALSE),IF(D23=OBJECTIFS!$C$49,VLOOKUP(F23,OBJECTIFS!$C$37:$D$39,2,FALSE))))))))</f>
        <v/>
      </c>
      <c r="J23" s="138"/>
      <c r="K23" s="141" t="str">
        <f>IF(OR($A23="",$D23="",J23=""),"",SUMIFS(OBJECTIFS!E$9:E$39,OBJECTIFS!$A$9:$A$39,$D23,OBJECTIFS!$C$9:$C$39,$F23))</f>
        <v/>
      </c>
      <c r="L23" s="72" t="str">
        <f>IF(OR(AND($D23=OBJECTIFS!$B$6,OBJECTIFS!E$8="dmt"),AND($D23=OBJECTIFS!$B$13,OBJECTIFS!$E$15="dmt"),AND($D23=OBJECTIFS!$B$20,OBJECTIFS!$E$22="dmt"),AND($D23=OBJECTIFS!$B$27,OBJECTIFS!$E$29="dmt"),AND($D23=OBJECTIFS!$B$34,OBJECTIFS!$E$36="dmt"),AND($D23=OBJECTIFS!$B$6,OBJECTIFS!$E$8="taux de chute"),AND($D23=OBJECTIFS!$B$13,OBJECTIFS!$E$15="taux de chute"),AND($D23=OBJECTIFS!$B$20,OBJECTIFS!$E$22="taux de chute"),AND($D23=OBJECTIFS!$B$27,OBJECTIFS!$E$29="taux de chute"),AND($D23=OBJECTIFS!$B$34,OBJECTIFS!$E$36="taux de chute"),AND($D23=OBJECTIFS!$B$6,OBJECTIFS!E$8="tx mea"),AND($D23=OBJECTIFS!$B$13,OBJECTIFS!$E$15="tx mea"),AND($D23=OBJECTIFS!$B$20,OBJECTIFS!$E$22="tx mea"),AND($D23=OBJECTIFS!$B$27,OBJECTIFS!$E$29="tx mea"),AND($D23=OBJECTIFS!$B$34,OBJECTIFS!$E$36="tx mea")),IFERROR(K23/J23,""),IFERROR(J23/K23,""))</f>
        <v/>
      </c>
      <c r="M23" s="149">
        <f>IFERROR(IF(OR(J23="",K23="",L23=""),0,IF(L23&lt;OBJECTIFS!$E$56,0,IF(L23&lt;OBJECTIFS!$G$56,M$8*OBJECTIFS!$F$60,IF(L23&lt;OBJECTIFS!$I$56,M$8*OBJECTIFS!$H$60,M$8)))),0)</f>
        <v>0</v>
      </c>
      <c r="N23" s="144"/>
      <c r="O23" s="145" t="str">
        <f>IF(OR($A23="",$D23="",N23=""),"",SUMIFS(OBJECTIFS!F$9:F$39,OBJECTIFS!$A$9:$A$39,$D23,OBJECTIFS!$C$9:$C$39,$F23))</f>
        <v/>
      </c>
      <c r="P23" s="72" t="str">
        <f>IF(OR(AND($D23=OBJECTIFS!$B$6,OBJECTIFS!$F$8="dmt"),AND($D23=OBJECTIFS!$B$13,OBJECTIFS!$F$15="dmt"),AND($D23=OBJECTIFS!$B$20,OBJECTIFS!$F$22="dmt"),AND($D23=OBJECTIFS!$B$27,OBJECTIFS!$F$29="dmt"),AND($D23=OBJECTIFS!$B$34,OBJECTIFS!$F$36="dmt"),AND($D23=OBJECTIFS!$B$6,OBJECTIFS!$F$8="taux de chute"),AND($D23=OBJECTIFS!$B$13,OBJECTIFS!$F$15="taux de chute"),AND($D23=OBJECTIFS!$B$20,OBJECTIFS!$F$22="taux de chute"),AND($D23=OBJECTIFS!$B$27,OBJECTIFS!$F$29="taux de chute"),AND($D23=OBJECTIFS!$B$34,OBJECTIFS!$F$36="taux de chute"),AND($D23=OBJECTIFS!$B$6,OBJECTIFS!$F$8="tx mea"),AND($D23=OBJECTIFS!$B$13,OBJECTIFS!$F$15="tx mea"),AND($D23=OBJECTIFS!$B$20,OBJECTIFS!$F$22="tx mea"),AND($D23=OBJECTIFS!$B$27,OBJECTIFS!$F$29="tx mea"),AND($D23=OBJECTIFS!$B$34,OBJECTIFS!$F$36="tx mea")),IFERROR(O23/N23,""),IFERROR(N23/O23,""))</f>
        <v/>
      </c>
      <c r="Q23" s="149">
        <f>IFERROR(IF(OR(N23="",O23="",P23=""),0,IF(P23&lt;OBJECTIFS!$E$56,0,IF(P23&lt;OBJECTIFS!$G$56,Q$8*OBJECTIFS!$F$60,IF(P23&lt;OBJECTIFS!$I$56,Q$8*OBJECTIFS!$H$60,Q$8)))),0)</f>
        <v>0</v>
      </c>
      <c r="R23" s="121"/>
      <c r="S23" s="73" t="str">
        <f>IF(OR($A23="",$D23="",R23=""),"",SUMIFS(OBJECTIFS!G$9:G$39,OBJECTIFS!$A$9:$A$39,$D23,OBJECTIFS!$C$9:$C$39,$F23))</f>
        <v/>
      </c>
      <c r="T23" s="72" t="str">
        <f>IF(OR(AND($D23=OBJECTIFS!$B$6,OBJECTIFS!G$8="dmt"),AND($D23=OBJECTIFS!$B$13,OBJECTIFS!$G$15="dmt"),AND($D23=OBJECTIFS!$B$20,OBJECTIFS!$G$22="dmt"),AND($D23=OBJECTIFS!$B$27,OBJECTIFS!$G$29="dmt"),AND($D23=OBJECTIFS!$B$34,OBJECTIFS!$G$36="dmt"),AND($D23=OBJECTIFS!$B$6,OBJECTIFS!$G$8="taux de chute"),AND($D23=OBJECTIFS!$B$13,OBJECTIFS!$G$15="taux de chute"),AND($D23=OBJECTIFS!$B$20,OBJECTIFS!$G$22="taux de chute"),AND($D23=OBJECTIFS!$B$27,OBJECTIFS!$G$29="taux de chute"),AND($D23=OBJECTIFS!$B$34,OBJECTIFS!$G$36="taux de chute",AND($D23=OBJECTIFS!$B$6,OBJECTIFS!G$8="tx mea"),AND($D23=OBJECTIFS!$B$13,OBJECTIFS!$G$15="tx mea"),AND($D23=OBJECTIFS!$B$20,OBJECTIFS!$G$22="tx mea"),AND($D23=OBJECTIFS!$B$27,OBJECTIFS!$G$29="tx mea"),AND($D23=OBJECTIFS!$B$34,OBJECTIFS!$G$36="tx mea"))),IFERROR(S23/R23,""),IFERROR(R23/S23,""))</f>
        <v/>
      </c>
      <c r="U23" s="152">
        <f>IFERROR(IF(OR(R23="",S23="",T23=""),0,IF(T23&lt;OBJECTIFS!$E$56,0,IF(T23&lt;OBJECTIFS!$G$56,U$8*OBJECTIFS!$F$60,IF(T23&lt;OBJECTIFS!$I$56,U$8*OBJECTIFS!$H$60,U$8)))),0)</f>
        <v>0</v>
      </c>
      <c r="V23" s="20"/>
      <c r="W23" s="72" t="str">
        <f>IF(OR($A23="",$D23="",V23=""),"",SUMIFS(OBJECTIFS!H$9:H$39,OBJECTIFS!$A$9:$A$39,$D23,OBJECTIFS!$C$9:$C$39,$F23))</f>
        <v/>
      </c>
      <c r="X23" s="72" t="str">
        <f>IF(OR(AND($D23=OBJECTIFS!$B$6,OBJECTIFS!H$8="dmt"),AND($D23=OBJECTIFS!$B$13,OBJECTIFS!$H$15="dmt"),AND($D23=OBJECTIFS!$B$20,OBJECTIFS!$H$22="dmt"),AND($D23=OBJECTIFS!$B$27,OBJECTIFS!$H$29="dmt"),AND($D23=OBJECTIFS!$B$34,OBJECTIFS!$H$36="dmt"),AND($D23=OBJECTIFS!$B$6,OBJECTIFS!$H$8="taux de chute"),AND($D23=OBJECTIFS!$B$13,OBJECTIFS!$H$15="taux de chute"),AND($D23=OBJECTIFS!$B$20,OBJECTIFS!$H$22="taux de chute"),AND($D23=OBJECTIFS!$B$27,OBJECTIFS!$H$29="taux de chute"),AND($D23=OBJECTIFS!$B$34,OBJECTIFS!$H$36="taux de chute"),AND($D23=OBJECTIFS!$B$6,OBJECTIFS!H$8="tx mea"),AND($D23=OBJECTIFS!$B$13,OBJECTIFS!$H$15="tx mea"),AND($D23=OBJECTIFS!$B$20,OBJECTIFS!$H$22="tx mea"),AND($D23=OBJECTIFS!$B$27,OBJECTIFS!$H$29="tx mea"),AND($D23=OBJECTIFS!$B$34,OBJECTIFS!$H$36="tx mea")),IFERROR(W23/V23,""),IFERROR(V23/W23,""))</f>
        <v/>
      </c>
      <c r="Y23" s="149">
        <f>IFERROR(IF(OR(V23="",W23="",X23=""),0,IF(X23&lt;OBJECTIFS!$E$56,0,IF(X23&lt;OBJECTIFS!$G$56,Y$8*OBJECTIFS!$F$60,IF(X23&lt;OBJECTIFS!$I$56,Y$8*OBJECTIFS!$H$60,Y$8)))),0)</f>
        <v>0</v>
      </c>
      <c r="Z23" s="124"/>
      <c r="AA23" s="72" t="str">
        <f>IF(OR($A23="",$D23="",Z23=""),"",SUMIFS(OBJECTIFS!I$9:I$39,OBJECTIFS!$A$9:$A$39,$D23,OBJECTIFS!$C$9:$C$39,$F23))</f>
        <v/>
      </c>
      <c r="AB23" s="72" t="str">
        <f>IF(OR(AND($D23=OBJECTIFS!$B$6,OBJECTIFS!I$8="dmt"),AND($D23=OBJECTIFS!$B$13,OBJECTIFS!$I$15="dmt"),AND($D23=OBJECTIFS!$B$20,OBJECTIFS!$I$22="dmt"),AND($D23=OBJECTIFS!$B$27,OBJECTIFS!$I$29="dmt"),AND($D23=OBJECTIFS!$B$34,OBJECTIFS!$I$36="dmt"),AND($D23=OBJECTIFS!$B$6,OBJECTIFS!$I$8="taux de chute"),AND($D23=OBJECTIFS!$B$13,OBJECTIFS!$I$15="taux de chute"),AND($D23=OBJECTIFS!$B$20,OBJECTIFS!$I$22="taux de chute"),AND($D23=OBJECTIFS!$B$27,OBJECTIFS!$I$29="taux de chute"),AND($D23=OBJECTIFS!$B$34,OBJECTIFS!$I$36="taux de chute"),AND($D23=OBJECTIFS!$B$6,OBJECTIFS!I$8="tx mea"),AND($D23=OBJECTIFS!$B$13,OBJECTIFS!$I$15="tx mea"),AND($D23=OBJECTIFS!$B$20,OBJECTIFS!$I$22="tx mea"),AND($D23=OBJECTIFS!$B$27,OBJECTIFS!$I$29="tx mea"),AND($D23=OBJECTIFS!$B$34,OBJECTIFS!$I$36="tx mea")),IFERROR(AA23/Z23,""),IFERROR(Z23/AA23,""))</f>
        <v/>
      </c>
      <c r="AC23" s="155">
        <f>IFERROR(IF(OR(Z23="",AA23="",AB23=""),0,IF(AB23&lt;OBJECTIFS!$E$56,0,IF(AB23&lt;OBJECTIFS!$G$56,AC$8*OBJECTIFS!$F$60,IF(AB23&lt;OBJECTIFS!$I$56,AC$8*OBJECTIFS!$H$60,AC$8)))),0)</f>
        <v>0</v>
      </c>
      <c r="AD23" s="289"/>
      <c r="AE23" s="290"/>
      <c r="AF23" s="158">
        <f t="shared" ca="1" si="3"/>
        <v>0</v>
      </c>
      <c r="AG23" s="52"/>
      <c r="AH23" s="129"/>
      <c r="AI23" s="19"/>
      <c r="AJ23" s="19"/>
      <c r="AK23" s="19"/>
      <c r="AL23" s="19"/>
      <c r="AM23" s="63">
        <f t="shared" ref="AM23:AM63" si="26">SUM(AK23:AL23,AI23)</f>
        <v>0</v>
      </c>
      <c r="AN23" s="63">
        <f t="shared" si="8"/>
        <v>22</v>
      </c>
      <c r="AO23" s="64">
        <f t="shared" ref="AO23:AO63" si="27">IFERROR(IF(IF(OR(AI23&gt;=2,AJ23&gt;=8,AND(AI23=1,AJ23&gt;=4)),0,IF(OR(AND(AI23=1,AJ23&lt;4),AND(AI23=0,AJ23&gt;=4,AJ23&lt;8)),50%,100%))*(AN23-AM23)/AN23=0,-100%,IF(OR(AI23&gt;=2,AJ23&gt;=8,AND(AI23=1,AJ23&gt;=4)),0,IF(OR(AND(AI23=1,AJ23&lt;4),AND(AI23=0,AJ23&gt;=4,AJ23&lt;8)),50%,100%))*(AN23-AM23)/AN23-1),"")</f>
        <v>0</v>
      </c>
      <c r="AP23" s="65" t="str">
        <f t="shared" ref="AP23:AP63" ca="1" si="28">IFERROR((H23*AF23/100)*(1+AO23),"")</f>
        <v/>
      </c>
      <c r="AQ23" s="66"/>
      <c r="AR23" s="168">
        <f>IFERROR(VLOOKUP(B23,OBJECTIFS!$C$76:$E$137,2,FALSE),0)</f>
        <v>0</v>
      </c>
      <c r="AS23" s="173"/>
      <c r="AT23" s="170">
        <f>IFERROR(VLOOKUP(B23,OBJECTIFS!$H$76:$J$137,2,FALSE),0)</f>
        <v>0</v>
      </c>
      <c r="AU23" s="178">
        <f t="shared" si="6"/>
        <v>0</v>
      </c>
      <c r="AV23" s="173"/>
      <c r="AW23" s="74">
        <f>IFERROR(VLOOKUP(B23,OBJECTIFS!$C$142:$E$203,2,FALSE),0)</f>
        <v>0</v>
      </c>
      <c r="AX23" s="74">
        <f>IFERROR(VLOOKUP(B23,OBJECTIFS!$H$142:$J$203,2,FALSE),0)</f>
        <v>0</v>
      </c>
      <c r="AY23" s="174">
        <f>IFERROR(VLOOKUP(B23,OBJECTIFS!$F$208:$H$269,3,FALSE),0)</f>
        <v>0</v>
      </c>
      <c r="AZ23" s="66"/>
      <c r="BA23" s="75" t="str">
        <f t="shared" ca="1" si="7"/>
        <v/>
      </c>
      <c r="BB23" s="52"/>
      <c r="BC23" s="76">
        <f t="shared" ca="1" si="1"/>
        <v>0</v>
      </c>
      <c r="BD23" s="53" t="str">
        <f t="shared" ref="BD23:BD63" ca="1" si="29">IF(BE23="","","è")</f>
        <v/>
      </c>
      <c r="BE23" s="77" t="str">
        <f t="shared" ca="1" si="9"/>
        <v/>
      </c>
    </row>
    <row r="24" spans="1:57" x14ac:dyDescent="0.2">
      <c r="A24" s="16"/>
      <c r="B24" s="17"/>
      <c r="C24" s="17"/>
      <c r="D24" s="18"/>
      <c r="E24" s="19"/>
      <c r="F24" s="27"/>
      <c r="H24" s="71" t="str">
        <f>IF(OR(D24="",F24="",A24=""),"",IF(E24="oui",0,IF(D24=OBJECTIFS!$C$45,VLOOKUP(F24,OBJECTIFS!$C$9:$D$11,2,FALSE),IF(D24=OBJECTIFS!$C$46,VLOOKUP(F24,OBJECTIFS!$C$16:$D$18,2,FALSE),IF(D24=OBJECTIFS!$C$47,VLOOKUP(F24,OBJECTIFS!$C$23:$D$25,2,FALSE),IF(D24=OBJECTIFS!$C$48,VLOOKUP(F24,OBJECTIFS!$C$30:$D$32,2,FALSE),IF(D24=OBJECTIFS!$C$49,VLOOKUP(F24,OBJECTIFS!$C$37:$D$39,2,FALSE))))))))</f>
        <v/>
      </c>
      <c r="J24" s="138"/>
      <c r="K24" s="141" t="str">
        <f>IF(OR($A24="",$D24="",J24=""),"",SUMIFS(OBJECTIFS!E$9:E$39,OBJECTIFS!$A$9:$A$39,$D24,OBJECTIFS!$C$9:$C$39,$F24))</f>
        <v/>
      </c>
      <c r="L24" s="72" t="str">
        <f>IF(OR(AND($D24=OBJECTIFS!$B$6,OBJECTIFS!E$8="dmt"),AND($D24=OBJECTIFS!$B$13,OBJECTIFS!$E$15="dmt"),AND($D24=OBJECTIFS!$B$20,OBJECTIFS!$E$22="dmt"),AND($D24=OBJECTIFS!$B$27,OBJECTIFS!$E$29="dmt"),AND($D24=OBJECTIFS!$B$34,OBJECTIFS!$E$36="dmt"),AND($D24=OBJECTIFS!$B$6,OBJECTIFS!$E$8="taux de chute"),AND($D24=OBJECTIFS!$B$13,OBJECTIFS!$E$15="taux de chute"),AND($D24=OBJECTIFS!$B$20,OBJECTIFS!$E$22="taux de chute"),AND($D24=OBJECTIFS!$B$27,OBJECTIFS!$E$29="taux de chute"),AND($D24=OBJECTIFS!$B$34,OBJECTIFS!$E$36="taux de chute"),AND($D24=OBJECTIFS!$B$6,OBJECTIFS!E$8="tx mea"),AND($D24=OBJECTIFS!$B$13,OBJECTIFS!$E$15="tx mea"),AND($D24=OBJECTIFS!$B$20,OBJECTIFS!$E$22="tx mea"),AND($D24=OBJECTIFS!$B$27,OBJECTIFS!$E$29="tx mea"),AND($D24=OBJECTIFS!$B$34,OBJECTIFS!$E$36="tx mea")),IFERROR(K24/J24,""),IFERROR(J24/K24,""))</f>
        <v/>
      </c>
      <c r="M24" s="149">
        <f>IFERROR(IF(OR(J24="",K24="",L24=""),0,IF(L24&lt;OBJECTIFS!$E$56,0,IF(L24&lt;OBJECTIFS!$G$56,M$8*OBJECTIFS!$F$60,IF(L24&lt;OBJECTIFS!$I$56,M$8*OBJECTIFS!$H$60,M$8)))),0)</f>
        <v>0</v>
      </c>
      <c r="N24" s="144"/>
      <c r="O24" s="145" t="str">
        <f>IF(OR($A24="",$D24="",N24=""),"",SUMIFS(OBJECTIFS!F$9:F$39,OBJECTIFS!$A$9:$A$39,$D24,OBJECTIFS!$C$9:$C$39,$F24))</f>
        <v/>
      </c>
      <c r="P24" s="72" t="str">
        <f>IF(OR(AND($D24=OBJECTIFS!$B$6,OBJECTIFS!$F$8="dmt"),AND($D24=OBJECTIFS!$B$13,OBJECTIFS!$F$15="dmt"),AND($D24=OBJECTIFS!$B$20,OBJECTIFS!$F$22="dmt"),AND($D24=OBJECTIFS!$B$27,OBJECTIFS!$F$29="dmt"),AND($D24=OBJECTIFS!$B$34,OBJECTIFS!$F$36="dmt"),AND($D24=OBJECTIFS!$B$6,OBJECTIFS!$F$8="taux de chute"),AND($D24=OBJECTIFS!$B$13,OBJECTIFS!$F$15="taux de chute"),AND($D24=OBJECTIFS!$B$20,OBJECTIFS!$F$22="taux de chute"),AND($D24=OBJECTIFS!$B$27,OBJECTIFS!$F$29="taux de chute"),AND($D24=OBJECTIFS!$B$34,OBJECTIFS!$F$36="taux de chute"),AND($D24=OBJECTIFS!$B$6,OBJECTIFS!$F$8="tx mea"),AND($D24=OBJECTIFS!$B$13,OBJECTIFS!$F$15="tx mea"),AND($D24=OBJECTIFS!$B$20,OBJECTIFS!$F$22="tx mea"),AND($D24=OBJECTIFS!$B$27,OBJECTIFS!$F$29="tx mea"),AND($D24=OBJECTIFS!$B$34,OBJECTIFS!$F$36="tx mea")),IFERROR(O24/N24,""),IFERROR(N24/O24,""))</f>
        <v/>
      </c>
      <c r="Q24" s="149">
        <f>IFERROR(IF(OR(N24="",O24="",P24=""),0,IF(P24&lt;OBJECTIFS!$E$56,0,IF(P24&lt;OBJECTIFS!$G$56,Q$8*OBJECTIFS!$F$60,IF(P24&lt;OBJECTIFS!$I$56,Q$8*OBJECTIFS!$H$60,Q$8)))),0)</f>
        <v>0</v>
      </c>
      <c r="R24" s="121"/>
      <c r="S24" s="73" t="str">
        <f>IF(OR($A24="",$D24="",R24=""),"",SUMIFS(OBJECTIFS!G$9:G$39,OBJECTIFS!$A$9:$A$39,$D24,OBJECTIFS!$C$9:$C$39,$F24))</f>
        <v/>
      </c>
      <c r="T24" s="72" t="str">
        <f>IF(OR(AND($D24=OBJECTIFS!$B$6,OBJECTIFS!G$8="dmt"),AND($D24=OBJECTIFS!$B$13,OBJECTIFS!$G$15="dmt"),AND($D24=OBJECTIFS!$B$20,OBJECTIFS!$G$22="dmt"),AND($D24=OBJECTIFS!$B$27,OBJECTIFS!$G$29="dmt"),AND($D24=OBJECTIFS!$B$34,OBJECTIFS!$G$36="dmt"),AND($D24=OBJECTIFS!$B$6,OBJECTIFS!$G$8="taux de chute"),AND($D24=OBJECTIFS!$B$13,OBJECTIFS!$G$15="taux de chute"),AND($D24=OBJECTIFS!$B$20,OBJECTIFS!$G$22="taux de chute"),AND($D24=OBJECTIFS!$B$27,OBJECTIFS!$G$29="taux de chute"),AND($D24=OBJECTIFS!$B$34,OBJECTIFS!$G$36="taux de chute",AND($D24=OBJECTIFS!$B$6,OBJECTIFS!G$8="tx mea"),AND($D24=OBJECTIFS!$B$13,OBJECTIFS!$G$15="tx mea"),AND($D24=OBJECTIFS!$B$20,OBJECTIFS!$G$22="tx mea"),AND($D24=OBJECTIFS!$B$27,OBJECTIFS!$G$29="tx mea"),AND($D24=OBJECTIFS!$B$34,OBJECTIFS!$G$36="tx mea"))),IFERROR(S24/R24,""),IFERROR(R24/S24,""))</f>
        <v/>
      </c>
      <c r="U24" s="152">
        <f>IFERROR(IF(OR(R24="",S24="",T24=""),0,IF(T24&lt;OBJECTIFS!$E$56,0,IF(T24&lt;OBJECTIFS!$G$56,U$8*OBJECTIFS!$F$60,IF(T24&lt;OBJECTIFS!$I$56,U$8*OBJECTIFS!$H$60,U$8)))),0)</f>
        <v>0</v>
      </c>
      <c r="V24" s="20"/>
      <c r="W24" s="72" t="str">
        <f>IF(OR($A24="",$D24="",V24=""),"",SUMIFS(OBJECTIFS!H$9:H$39,OBJECTIFS!$A$9:$A$39,$D24,OBJECTIFS!$C$9:$C$39,$F24))</f>
        <v/>
      </c>
      <c r="X24" s="72" t="str">
        <f>IF(OR(AND($D24=OBJECTIFS!$B$6,OBJECTIFS!H$8="dmt"),AND($D24=OBJECTIFS!$B$13,OBJECTIFS!$H$15="dmt"),AND($D24=OBJECTIFS!$B$20,OBJECTIFS!$H$22="dmt"),AND($D24=OBJECTIFS!$B$27,OBJECTIFS!$H$29="dmt"),AND($D24=OBJECTIFS!$B$34,OBJECTIFS!$H$36="dmt"),AND($D24=OBJECTIFS!$B$6,OBJECTIFS!$H$8="taux de chute"),AND($D24=OBJECTIFS!$B$13,OBJECTIFS!$H$15="taux de chute"),AND($D24=OBJECTIFS!$B$20,OBJECTIFS!$H$22="taux de chute"),AND($D24=OBJECTIFS!$B$27,OBJECTIFS!$H$29="taux de chute"),AND($D24=OBJECTIFS!$B$34,OBJECTIFS!$H$36="taux de chute"),AND($D24=OBJECTIFS!$B$6,OBJECTIFS!H$8="tx mea"),AND($D24=OBJECTIFS!$B$13,OBJECTIFS!$H$15="tx mea"),AND($D24=OBJECTIFS!$B$20,OBJECTIFS!$H$22="tx mea"),AND($D24=OBJECTIFS!$B$27,OBJECTIFS!$H$29="tx mea"),AND($D24=OBJECTIFS!$B$34,OBJECTIFS!$H$36="tx mea")),IFERROR(W24/V24,""),IFERROR(V24/W24,""))</f>
        <v/>
      </c>
      <c r="Y24" s="149">
        <f>IFERROR(IF(OR(V24="",W24="",X24=""),0,IF(X24&lt;OBJECTIFS!$E$56,0,IF(X24&lt;OBJECTIFS!$G$56,Y$8*OBJECTIFS!$F$60,IF(X24&lt;OBJECTIFS!$I$56,Y$8*OBJECTIFS!$H$60,Y$8)))),0)</f>
        <v>0</v>
      </c>
      <c r="Z24" s="124"/>
      <c r="AA24" s="72" t="str">
        <f>IF(OR($A24="",$D24="",Z24=""),"",SUMIFS(OBJECTIFS!I$9:I$39,OBJECTIFS!$A$9:$A$39,$D24,OBJECTIFS!$C$9:$C$39,$F24))</f>
        <v/>
      </c>
      <c r="AB24" s="72" t="str">
        <f>IF(OR(AND($D24=OBJECTIFS!$B$6,OBJECTIFS!I$8="dmt"),AND($D24=OBJECTIFS!$B$13,OBJECTIFS!$I$15="dmt"),AND($D24=OBJECTIFS!$B$20,OBJECTIFS!$I$22="dmt"),AND($D24=OBJECTIFS!$B$27,OBJECTIFS!$I$29="dmt"),AND($D24=OBJECTIFS!$B$34,OBJECTIFS!$I$36="dmt"),AND($D24=OBJECTIFS!$B$6,OBJECTIFS!$I$8="taux de chute"),AND($D24=OBJECTIFS!$B$13,OBJECTIFS!$I$15="taux de chute"),AND($D24=OBJECTIFS!$B$20,OBJECTIFS!$I$22="taux de chute"),AND($D24=OBJECTIFS!$B$27,OBJECTIFS!$I$29="taux de chute"),AND($D24=OBJECTIFS!$B$34,OBJECTIFS!$I$36="taux de chute"),AND($D24=OBJECTIFS!$B$6,OBJECTIFS!I$8="tx mea"),AND($D24=OBJECTIFS!$B$13,OBJECTIFS!$I$15="tx mea"),AND($D24=OBJECTIFS!$B$20,OBJECTIFS!$I$22="tx mea"),AND($D24=OBJECTIFS!$B$27,OBJECTIFS!$I$29="tx mea"),AND($D24=OBJECTIFS!$B$34,OBJECTIFS!$I$36="tx mea")),IFERROR(AA24/Z24,""),IFERROR(Z24/AA24,""))</f>
        <v/>
      </c>
      <c r="AC24" s="155">
        <f>IFERROR(IF(OR(Z24="",AA24="",AB24=""),0,IF(AB24&lt;OBJECTIFS!$E$56,0,IF(AB24&lt;OBJECTIFS!$G$56,AC$8*OBJECTIFS!$F$60,IF(AB24&lt;OBJECTIFS!$I$56,AC$8*OBJECTIFS!$H$60,AC$8)))),0)</f>
        <v>0</v>
      </c>
      <c r="AD24" s="289"/>
      <c r="AE24" s="290"/>
      <c r="AF24" s="158">
        <f t="shared" ca="1" si="3"/>
        <v>0</v>
      </c>
      <c r="AG24" s="52"/>
      <c r="AH24" s="129"/>
      <c r="AI24" s="19"/>
      <c r="AJ24" s="19"/>
      <c r="AK24" s="19"/>
      <c r="AL24" s="19"/>
      <c r="AM24" s="63">
        <f t="shared" si="26"/>
        <v>0</v>
      </c>
      <c r="AN24" s="63">
        <f t="shared" si="8"/>
        <v>22</v>
      </c>
      <c r="AO24" s="64">
        <f t="shared" si="27"/>
        <v>0</v>
      </c>
      <c r="AP24" s="65" t="str">
        <f t="shared" ca="1" si="28"/>
        <v/>
      </c>
      <c r="AQ24" s="66"/>
      <c r="AR24" s="168">
        <f>IFERROR(VLOOKUP(B24,OBJECTIFS!$C$76:$E$137,2,FALSE),0)</f>
        <v>0</v>
      </c>
      <c r="AS24" s="173"/>
      <c r="AT24" s="170">
        <f>IFERROR(VLOOKUP(B24,OBJECTIFS!$H$76:$J$137,2,FALSE),0)</f>
        <v>0</v>
      </c>
      <c r="AU24" s="178">
        <f t="shared" si="6"/>
        <v>0</v>
      </c>
      <c r="AV24" s="173"/>
      <c r="AW24" s="74">
        <f>IFERROR(VLOOKUP(B24,OBJECTIFS!$C$142:$E$203,2,FALSE),0)</f>
        <v>0</v>
      </c>
      <c r="AX24" s="74">
        <f>IFERROR(VLOOKUP(B24,OBJECTIFS!$H$142:$J$203,2,FALSE),0)</f>
        <v>0</v>
      </c>
      <c r="AY24" s="174">
        <f>IFERROR(VLOOKUP(B24,OBJECTIFS!$F$208:$H$269,3,FALSE),0)</f>
        <v>0</v>
      </c>
      <c r="AZ24" s="66"/>
      <c r="BA24" s="75" t="str">
        <f t="shared" ca="1" si="7"/>
        <v/>
      </c>
      <c r="BB24" s="52"/>
      <c r="BC24" s="76">
        <f t="shared" ca="1" si="1"/>
        <v>0</v>
      </c>
      <c r="BD24" s="53" t="str">
        <f t="shared" ca="1" si="29"/>
        <v/>
      </c>
      <c r="BE24" s="77" t="str">
        <f t="shared" ca="1" si="9"/>
        <v/>
      </c>
    </row>
    <row r="25" spans="1:57" x14ac:dyDescent="0.2">
      <c r="A25" s="16"/>
      <c r="B25" s="17"/>
      <c r="C25" s="17"/>
      <c r="D25" s="18"/>
      <c r="E25" s="19"/>
      <c r="F25" s="27"/>
      <c r="H25" s="71" t="str">
        <f>IF(OR(D25="",F25="",A25=""),"",IF(E25="oui",0,IF(D25=OBJECTIFS!$C$45,VLOOKUP(F25,OBJECTIFS!$C$9:$D$11,2,FALSE),IF(D25=OBJECTIFS!$C$46,VLOOKUP(F25,OBJECTIFS!$C$16:$D$18,2,FALSE),IF(D25=OBJECTIFS!$C$47,VLOOKUP(F25,OBJECTIFS!$C$23:$D$25,2,FALSE),IF(D25=OBJECTIFS!$C$48,VLOOKUP(F25,OBJECTIFS!$C$30:$D$32,2,FALSE),IF(D25=OBJECTIFS!$C$49,VLOOKUP(F25,OBJECTIFS!$C$37:$D$39,2,FALSE))))))))</f>
        <v/>
      </c>
      <c r="J25" s="138"/>
      <c r="K25" s="141" t="str">
        <f>IF(OR($A25="",$D25="",J25=""),"",SUMIFS(OBJECTIFS!E$9:E$39,OBJECTIFS!$A$9:$A$39,$D25,OBJECTIFS!$C$9:$C$39,$F25))</f>
        <v/>
      </c>
      <c r="L25" s="72" t="str">
        <f>IF(OR(AND($D25=OBJECTIFS!$B$6,OBJECTIFS!E$8="dmt"),AND($D25=OBJECTIFS!$B$13,OBJECTIFS!$E$15="dmt"),AND($D25=OBJECTIFS!$B$20,OBJECTIFS!$E$22="dmt"),AND($D25=OBJECTIFS!$B$27,OBJECTIFS!$E$29="dmt"),AND($D25=OBJECTIFS!$B$34,OBJECTIFS!$E$36="dmt"),AND($D25=OBJECTIFS!$B$6,OBJECTIFS!$E$8="taux de chute"),AND($D25=OBJECTIFS!$B$13,OBJECTIFS!$E$15="taux de chute"),AND($D25=OBJECTIFS!$B$20,OBJECTIFS!$E$22="taux de chute"),AND($D25=OBJECTIFS!$B$27,OBJECTIFS!$E$29="taux de chute"),AND($D25=OBJECTIFS!$B$34,OBJECTIFS!$E$36="taux de chute"),AND($D25=OBJECTIFS!$B$6,OBJECTIFS!E$8="tx mea"),AND($D25=OBJECTIFS!$B$13,OBJECTIFS!$E$15="tx mea"),AND($D25=OBJECTIFS!$B$20,OBJECTIFS!$E$22="tx mea"),AND($D25=OBJECTIFS!$B$27,OBJECTIFS!$E$29="tx mea"),AND($D25=OBJECTIFS!$B$34,OBJECTIFS!$E$36="tx mea")),IFERROR(K25/J25,""),IFERROR(J25/K25,""))</f>
        <v/>
      </c>
      <c r="M25" s="149">
        <f>IFERROR(IF(OR(J25="",K25="",L25=""),0,IF(L25&lt;OBJECTIFS!$E$56,0,IF(L25&lt;OBJECTIFS!$G$56,M$8*OBJECTIFS!$F$60,IF(L25&lt;OBJECTIFS!$I$56,M$8*OBJECTIFS!$H$60,M$8)))),0)</f>
        <v>0</v>
      </c>
      <c r="N25" s="144"/>
      <c r="O25" s="145" t="str">
        <f>IF(OR($A25="",$D25="",N25=""),"",SUMIFS(OBJECTIFS!F$9:F$39,OBJECTIFS!$A$9:$A$39,$D25,OBJECTIFS!$C$9:$C$39,$F25))</f>
        <v/>
      </c>
      <c r="P25" s="72" t="str">
        <f>IF(OR(AND($D25=OBJECTIFS!$B$6,OBJECTIFS!$F$8="dmt"),AND($D25=OBJECTIFS!$B$13,OBJECTIFS!$F$15="dmt"),AND($D25=OBJECTIFS!$B$20,OBJECTIFS!$F$22="dmt"),AND($D25=OBJECTIFS!$B$27,OBJECTIFS!$F$29="dmt"),AND($D25=OBJECTIFS!$B$34,OBJECTIFS!$F$36="dmt"),AND($D25=OBJECTIFS!$B$6,OBJECTIFS!$F$8="taux de chute"),AND($D25=OBJECTIFS!$B$13,OBJECTIFS!$F$15="taux de chute"),AND($D25=OBJECTIFS!$B$20,OBJECTIFS!$F$22="taux de chute"),AND($D25=OBJECTIFS!$B$27,OBJECTIFS!$F$29="taux de chute"),AND($D25=OBJECTIFS!$B$34,OBJECTIFS!$F$36="taux de chute"),AND($D25=OBJECTIFS!$B$6,OBJECTIFS!$F$8="tx mea"),AND($D25=OBJECTIFS!$B$13,OBJECTIFS!$F$15="tx mea"),AND($D25=OBJECTIFS!$B$20,OBJECTIFS!$F$22="tx mea"),AND($D25=OBJECTIFS!$B$27,OBJECTIFS!$F$29="tx mea"),AND($D25=OBJECTIFS!$B$34,OBJECTIFS!$F$36="tx mea")),IFERROR(O25/N25,""),IFERROR(N25/O25,""))</f>
        <v/>
      </c>
      <c r="Q25" s="149">
        <f>IFERROR(IF(OR(N25="",O25="",P25=""),0,IF(P25&lt;OBJECTIFS!$E$56,0,IF(P25&lt;OBJECTIFS!$G$56,Q$8*OBJECTIFS!$F$60,IF(P25&lt;OBJECTIFS!$I$56,Q$8*OBJECTIFS!$H$60,Q$8)))),0)</f>
        <v>0</v>
      </c>
      <c r="R25" s="121"/>
      <c r="S25" s="73" t="str">
        <f>IF(OR($A25="",$D25="",R25=""),"",SUMIFS(OBJECTIFS!G$9:G$39,OBJECTIFS!$A$9:$A$39,$D25,OBJECTIFS!$C$9:$C$39,$F25))</f>
        <v/>
      </c>
      <c r="T25" s="72" t="str">
        <f>IF(OR(AND($D25=OBJECTIFS!$B$6,OBJECTIFS!G$8="dmt"),AND($D25=OBJECTIFS!$B$13,OBJECTIFS!$G$15="dmt"),AND($D25=OBJECTIFS!$B$20,OBJECTIFS!$G$22="dmt"),AND($D25=OBJECTIFS!$B$27,OBJECTIFS!$G$29="dmt"),AND($D25=OBJECTIFS!$B$34,OBJECTIFS!$G$36="dmt"),AND($D25=OBJECTIFS!$B$6,OBJECTIFS!$G$8="taux de chute"),AND($D25=OBJECTIFS!$B$13,OBJECTIFS!$G$15="taux de chute"),AND($D25=OBJECTIFS!$B$20,OBJECTIFS!$G$22="taux de chute"),AND($D25=OBJECTIFS!$B$27,OBJECTIFS!$G$29="taux de chute"),AND($D25=OBJECTIFS!$B$34,OBJECTIFS!$G$36="taux de chute",AND($D25=OBJECTIFS!$B$6,OBJECTIFS!G$8="tx mea"),AND($D25=OBJECTIFS!$B$13,OBJECTIFS!$G$15="tx mea"),AND($D25=OBJECTIFS!$B$20,OBJECTIFS!$G$22="tx mea"),AND($D25=OBJECTIFS!$B$27,OBJECTIFS!$G$29="tx mea"),AND($D25=OBJECTIFS!$B$34,OBJECTIFS!$G$36="tx mea"))),IFERROR(S25/R25,""),IFERROR(R25/S25,""))</f>
        <v/>
      </c>
      <c r="U25" s="152">
        <f>IFERROR(IF(OR(R25="",S25="",T25=""),0,IF(T25&lt;OBJECTIFS!$E$56,0,IF(T25&lt;OBJECTIFS!$G$56,U$8*OBJECTIFS!$F$60,IF(T25&lt;OBJECTIFS!$I$56,U$8*OBJECTIFS!$H$60,U$8)))),0)</f>
        <v>0</v>
      </c>
      <c r="V25" s="20"/>
      <c r="W25" s="72" t="str">
        <f>IF(OR($A25="",$D25="",V25=""),"",SUMIFS(OBJECTIFS!H$9:H$39,OBJECTIFS!$A$9:$A$39,$D25,OBJECTIFS!$C$9:$C$39,$F25))</f>
        <v/>
      </c>
      <c r="X25" s="72" t="str">
        <f>IF(OR(AND($D25=OBJECTIFS!$B$6,OBJECTIFS!H$8="dmt"),AND($D25=OBJECTIFS!$B$13,OBJECTIFS!$H$15="dmt"),AND($D25=OBJECTIFS!$B$20,OBJECTIFS!$H$22="dmt"),AND($D25=OBJECTIFS!$B$27,OBJECTIFS!$H$29="dmt"),AND($D25=OBJECTIFS!$B$34,OBJECTIFS!$H$36="dmt"),AND($D25=OBJECTIFS!$B$6,OBJECTIFS!$H$8="taux de chute"),AND($D25=OBJECTIFS!$B$13,OBJECTIFS!$H$15="taux de chute"),AND($D25=OBJECTIFS!$B$20,OBJECTIFS!$H$22="taux de chute"),AND($D25=OBJECTIFS!$B$27,OBJECTIFS!$H$29="taux de chute"),AND($D25=OBJECTIFS!$B$34,OBJECTIFS!$H$36="taux de chute"),AND($D25=OBJECTIFS!$B$6,OBJECTIFS!H$8="tx mea"),AND($D25=OBJECTIFS!$B$13,OBJECTIFS!$H$15="tx mea"),AND($D25=OBJECTIFS!$B$20,OBJECTIFS!$H$22="tx mea"),AND($D25=OBJECTIFS!$B$27,OBJECTIFS!$H$29="tx mea"),AND($D25=OBJECTIFS!$B$34,OBJECTIFS!$H$36="tx mea")),IFERROR(W25/V25,""),IFERROR(V25/W25,""))</f>
        <v/>
      </c>
      <c r="Y25" s="149">
        <f>IFERROR(IF(OR(V25="",W25="",X25=""),0,IF(X25&lt;OBJECTIFS!$E$56,0,IF(X25&lt;OBJECTIFS!$G$56,Y$8*OBJECTIFS!$F$60,IF(X25&lt;OBJECTIFS!$I$56,Y$8*OBJECTIFS!$H$60,Y$8)))),0)</f>
        <v>0</v>
      </c>
      <c r="Z25" s="124"/>
      <c r="AA25" s="72" t="str">
        <f>IF(OR($A25="",$D25="",Z25=""),"",SUMIFS(OBJECTIFS!I$9:I$39,OBJECTIFS!$A$9:$A$39,$D25,OBJECTIFS!$C$9:$C$39,$F25))</f>
        <v/>
      </c>
      <c r="AB25" s="72" t="str">
        <f>IF(OR(AND($D25=OBJECTIFS!$B$6,OBJECTIFS!I$8="dmt"),AND($D25=OBJECTIFS!$B$13,OBJECTIFS!$I$15="dmt"),AND($D25=OBJECTIFS!$B$20,OBJECTIFS!$I$22="dmt"),AND($D25=OBJECTIFS!$B$27,OBJECTIFS!$I$29="dmt"),AND($D25=OBJECTIFS!$B$34,OBJECTIFS!$I$36="dmt"),AND($D25=OBJECTIFS!$B$6,OBJECTIFS!$I$8="taux de chute"),AND($D25=OBJECTIFS!$B$13,OBJECTIFS!$I$15="taux de chute"),AND($D25=OBJECTIFS!$B$20,OBJECTIFS!$I$22="taux de chute"),AND($D25=OBJECTIFS!$B$27,OBJECTIFS!$I$29="taux de chute"),AND($D25=OBJECTIFS!$B$34,OBJECTIFS!$I$36="taux de chute"),AND($D25=OBJECTIFS!$B$6,OBJECTIFS!I$8="tx mea"),AND($D25=OBJECTIFS!$B$13,OBJECTIFS!$I$15="tx mea"),AND($D25=OBJECTIFS!$B$20,OBJECTIFS!$I$22="tx mea"),AND($D25=OBJECTIFS!$B$27,OBJECTIFS!$I$29="tx mea"),AND($D25=OBJECTIFS!$B$34,OBJECTIFS!$I$36="tx mea")),IFERROR(AA25/Z25,""),IFERROR(Z25/AA25,""))</f>
        <v/>
      </c>
      <c r="AC25" s="155">
        <f>IFERROR(IF(OR(Z25="",AA25="",AB25=""),0,IF(AB25&lt;OBJECTIFS!$E$56,0,IF(AB25&lt;OBJECTIFS!$G$56,AC$8*OBJECTIFS!$F$60,IF(AB25&lt;OBJECTIFS!$I$56,AC$8*OBJECTIFS!$H$60,AC$8)))),0)</f>
        <v>0</v>
      </c>
      <c r="AD25" s="289"/>
      <c r="AE25" s="290"/>
      <c r="AF25" s="158">
        <f t="shared" ca="1" si="3"/>
        <v>0</v>
      </c>
      <c r="AG25" s="52"/>
      <c r="AH25" s="129"/>
      <c r="AI25" s="19"/>
      <c r="AJ25" s="19"/>
      <c r="AK25" s="19"/>
      <c r="AL25" s="19"/>
      <c r="AM25" s="63">
        <f t="shared" si="26"/>
        <v>0</v>
      </c>
      <c r="AN25" s="63">
        <f t="shared" si="8"/>
        <v>22</v>
      </c>
      <c r="AO25" s="64">
        <f t="shared" si="27"/>
        <v>0</v>
      </c>
      <c r="AP25" s="65" t="str">
        <f t="shared" ca="1" si="28"/>
        <v/>
      </c>
      <c r="AQ25" s="66"/>
      <c r="AR25" s="168">
        <f>IFERROR(VLOOKUP(B25,OBJECTIFS!$C$76:$E$137,2,FALSE),0)</f>
        <v>0</v>
      </c>
      <c r="AS25" s="173"/>
      <c r="AT25" s="170">
        <f>IFERROR(VLOOKUP(B25,OBJECTIFS!$H$76:$J$137,2,FALSE),0)</f>
        <v>0</v>
      </c>
      <c r="AU25" s="178">
        <f t="shared" si="6"/>
        <v>0</v>
      </c>
      <c r="AV25" s="173"/>
      <c r="AW25" s="74">
        <f>IFERROR(VLOOKUP(B25,OBJECTIFS!$C$142:$E$203,2,FALSE),0)</f>
        <v>0</v>
      </c>
      <c r="AX25" s="74">
        <f>IFERROR(VLOOKUP(B25,OBJECTIFS!$H$142:$J$203,2,FALSE),0)</f>
        <v>0</v>
      </c>
      <c r="AY25" s="174">
        <f>IFERROR(VLOOKUP(B25,OBJECTIFS!$F$208:$H$269,3,FALSE),0)</f>
        <v>0</v>
      </c>
      <c r="AZ25" s="66"/>
      <c r="BA25" s="75" t="str">
        <f t="shared" ca="1" si="7"/>
        <v/>
      </c>
      <c r="BB25" s="52"/>
      <c r="BC25" s="76">
        <f t="shared" ca="1" si="1"/>
        <v>0</v>
      </c>
      <c r="BD25" s="53" t="str">
        <f t="shared" ca="1" si="29"/>
        <v/>
      </c>
      <c r="BE25" s="77" t="str">
        <f t="shared" ca="1" si="9"/>
        <v/>
      </c>
    </row>
    <row r="26" spans="1:57" x14ac:dyDescent="0.2">
      <c r="A26" s="16"/>
      <c r="B26" s="17"/>
      <c r="C26" s="17"/>
      <c r="D26" s="18"/>
      <c r="E26" s="19"/>
      <c r="F26" s="27"/>
      <c r="H26" s="71" t="str">
        <f>IF(OR(D26="",F26="",A26=""),"",IF(E26="oui",0,IF(D26=OBJECTIFS!$C$45,VLOOKUP(F26,OBJECTIFS!$C$9:$D$11,2,FALSE),IF(D26=OBJECTIFS!$C$46,VLOOKUP(F26,OBJECTIFS!$C$16:$D$18,2,FALSE),IF(D26=OBJECTIFS!$C$47,VLOOKUP(F26,OBJECTIFS!$C$23:$D$25,2,FALSE),IF(D26=OBJECTIFS!$C$48,VLOOKUP(F26,OBJECTIFS!$C$30:$D$32,2,FALSE),IF(D26=OBJECTIFS!$C$49,VLOOKUP(F26,OBJECTIFS!$C$37:$D$39,2,FALSE))))))))</f>
        <v/>
      </c>
      <c r="J26" s="138"/>
      <c r="K26" s="141" t="str">
        <f>IF(OR($A26="",$D26="",J26=""),"",SUMIFS(OBJECTIFS!E$9:E$39,OBJECTIFS!$A$9:$A$39,$D26,OBJECTIFS!$C$9:$C$39,$F26))</f>
        <v/>
      </c>
      <c r="L26" s="72" t="str">
        <f>IF(OR(AND($D26=OBJECTIFS!$B$6,OBJECTIFS!E$8="dmt"),AND($D26=OBJECTIFS!$B$13,OBJECTIFS!$E$15="dmt"),AND($D26=OBJECTIFS!$B$20,OBJECTIFS!$E$22="dmt"),AND($D26=OBJECTIFS!$B$27,OBJECTIFS!$E$29="dmt"),AND($D26=OBJECTIFS!$B$34,OBJECTIFS!$E$36="dmt"),AND($D26=OBJECTIFS!$B$6,OBJECTIFS!$E$8="taux de chute"),AND($D26=OBJECTIFS!$B$13,OBJECTIFS!$E$15="taux de chute"),AND($D26=OBJECTIFS!$B$20,OBJECTIFS!$E$22="taux de chute"),AND($D26=OBJECTIFS!$B$27,OBJECTIFS!$E$29="taux de chute"),AND($D26=OBJECTIFS!$B$34,OBJECTIFS!$E$36="taux de chute"),AND($D26=OBJECTIFS!$B$6,OBJECTIFS!E$8="tx mea"),AND($D26=OBJECTIFS!$B$13,OBJECTIFS!$E$15="tx mea"),AND($D26=OBJECTIFS!$B$20,OBJECTIFS!$E$22="tx mea"),AND($D26=OBJECTIFS!$B$27,OBJECTIFS!$E$29="tx mea"),AND($D26=OBJECTIFS!$B$34,OBJECTIFS!$E$36="tx mea")),IFERROR(K26/J26,""),IFERROR(J26/K26,""))</f>
        <v/>
      </c>
      <c r="M26" s="149">
        <f>IFERROR(IF(OR(J26="",K26="",L26=""),0,IF(L26&lt;OBJECTIFS!$E$56,0,IF(L26&lt;OBJECTIFS!$G$56,M$8*OBJECTIFS!$F$60,IF(L26&lt;OBJECTIFS!$I$56,M$8*OBJECTIFS!$H$60,M$8)))),0)</f>
        <v>0</v>
      </c>
      <c r="N26" s="144"/>
      <c r="O26" s="145" t="str">
        <f>IF(OR($A26="",$D26="",N26=""),"",SUMIFS(OBJECTIFS!F$9:F$39,OBJECTIFS!$A$9:$A$39,$D26,OBJECTIFS!$C$9:$C$39,$F26))</f>
        <v/>
      </c>
      <c r="P26" s="72" t="str">
        <f>IF(OR(AND($D26=OBJECTIFS!$B$6,OBJECTIFS!$F$8="dmt"),AND($D26=OBJECTIFS!$B$13,OBJECTIFS!$F$15="dmt"),AND($D26=OBJECTIFS!$B$20,OBJECTIFS!$F$22="dmt"),AND($D26=OBJECTIFS!$B$27,OBJECTIFS!$F$29="dmt"),AND($D26=OBJECTIFS!$B$34,OBJECTIFS!$F$36="dmt"),AND($D26=OBJECTIFS!$B$6,OBJECTIFS!$F$8="taux de chute"),AND($D26=OBJECTIFS!$B$13,OBJECTIFS!$F$15="taux de chute"),AND($D26=OBJECTIFS!$B$20,OBJECTIFS!$F$22="taux de chute"),AND($D26=OBJECTIFS!$B$27,OBJECTIFS!$F$29="taux de chute"),AND($D26=OBJECTIFS!$B$34,OBJECTIFS!$F$36="taux de chute"),AND($D26=OBJECTIFS!$B$6,OBJECTIFS!$F$8="tx mea"),AND($D26=OBJECTIFS!$B$13,OBJECTIFS!$F$15="tx mea"),AND($D26=OBJECTIFS!$B$20,OBJECTIFS!$F$22="tx mea"),AND($D26=OBJECTIFS!$B$27,OBJECTIFS!$F$29="tx mea"),AND($D26=OBJECTIFS!$B$34,OBJECTIFS!$F$36="tx mea")),IFERROR(O26/N26,""),IFERROR(N26/O26,""))</f>
        <v/>
      </c>
      <c r="Q26" s="149">
        <f>IFERROR(IF(OR(N26="",O26="",P26=""),0,IF(P26&lt;OBJECTIFS!$E$56,0,IF(P26&lt;OBJECTIFS!$G$56,Q$8*OBJECTIFS!$F$60,IF(P26&lt;OBJECTIFS!$I$56,Q$8*OBJECTIFS!$H$60,Q$8)))),0)</f>
        <v>0</v>
      </c>
      <c r="R26" s="121"/>
      <c r="S26" s="73" t="str">
        <f>IF(OR($A26="",$D26="",R26=""),"",SUMIFS(OBJECTIFS!G$9:G$39,OBJECTIFS!$A$9:$A$39,$D26,OBJECTIFS!$C$9:$C$39,$F26))</f>
        <v/>
      </c>
      <c r="T26" s="72" t="str">
        <f>IF(OR(AND($D26=OBJECTIFS!$B$6,OBJECTIFS!G$8="dmt"),AND($D26=OBJECTIFS!$B$13,OBJECTIFS!$G$15="dmt"),AND($D26=OBJECTIFS!$B$20,OBJECTIFS!$G$22="dmt"),AND($D26=OBJECTIFS!$B$27,OBJECTIFS!$G$29="dmt"),AND($D26=OBJECTIFS!$B$34,OBJECTIFS!$G$36="dmt"),AND($D26=OBJECTIFS!$B$6,OBJECTIFS!$G$8="taux de chute"),AND($D26=OBJECTIFS!$B$13,OBJECTIFS!$G$15="taux de chute"),AND($D26=OBJECTIFS!$B$20,OBJECTIFS!$G$22="taux de chute"),AND($D26=OBJECTIFS!$B$27,OBJECTIFS!$G$29="taux de chute"),AND($D26=OBJECTIFS!$B$34,OBJECTIFS!$G$36="taux de chute",AND($D26=OBJECTIFS!$B$6,OBJECTIFS!G$8="tx mea"),AND($D26=OBJECTIFS!$B$13,OBJECTIFS!$G$15="tx mea"),AND($D26=OBJECTIFS!$B$20,OBJECTIFS!$G$22="tx mea"),AND($D26=OBJECTIFS!$B$27,OBJECTIFS!$G$29="tx mea"),AND($D26=OBJECTIFS!$B$34,OBJECTIFS!$G$36="tx mea"))),IFERROR(S26/R26,""),IFERROR(R26/S26,""))</f>
        <v/>
      </c>
      <c r="U26" s="152">
        <f>IFERROR(IF(OR(R26="",S26="",T26=""),0,IF(T26&lt;OBJECTIFS!$E$56,0,IF(T26&lt;OBJECTIFS!$G$56,U$8*OBJECTIFS!$F$60,IF(T26&lt;OBJECTIFS!$I$56,U$8*OBJECTIFS!$H$60,U$8)))),0)</f>
        <v>0</v>
      </c>
      <c r="V26" s="20"/>
      <c r="W26" s="72" t="str">
        <f>IF(OR($A26="",$D26="",V26=""),"",SUMIFS(OBJECTIFS!H$9:H$39,OBJECTIFS!$A$9:$A$39,$D26,OBJECTIFS!$C$9:$C$39,$F26))</f>
        <v/>
      </c>
      <c r="X26" s="72" t="str">
        <f>IF(OR(AND($D26=OBJECTIFS!$B$6,OBJECTIFS!H$8="dmt"),AND($D26=OBJECTIFS!$B$13,OBJECTIFS!$H$15="dmt"),AND($D26=OBJECTIFS!$B$20,OBJECTIFS!$H$22="dmt"),AND($D26=OBJECTIFS!$B$27,OBJECTIFS!$H$29="dmt"),AND($D26=OBJECTIFS!$B$34,OBJECTIFS!$H$36="dmt"),AND($D26=OBJECTIFS!$B$6,OBJECTIFS!$H$8="taux de chute"),AND($D26=OBJECTIFS!$B$13,OBJECTIFS!$H$15="taux de chute"),AND($D26=OBJECTIFS!$B$20,OBJECTIFS!$H$22="taux de chute"),AND($D26=OBJECTIFS!$B$27,OBJECTIFS!$H$29="taux de chute"),AND($D26=OBJECTIFS!$B$34,OBJECTIFS!$H$36="taux de chute"),AND($D26=OBJECTIFS!$B$6,OBJECTIFS!H$8="tx mea"),AND($D26=OBJECTIFS!$B$13,OBJECTIFS!$H$15="tx mea"),AND($D26=OBJECTIFS!$B$20,OBJECTIFS!$H$22="tx mea"),AND($D26=OBJECTIFS!$B$27,OBJECTIFS!$H$29="tx mea"),AND($D26=OBJECTIFS!$B$34,OBJECTIFS!$H$36="tx mea")),IFERROR(W26/V26,""),IFERROR(V26/W26,""))</f>
        <v/>
      </c>
      <c r="Y26" s="149">
        <f>IFERROR(IF(OR(V26="",W26="",X26=""),0,IF(X26&lt;OBJECTIFS!$E$56,0,IF(X26&lt;OBJECTIFS!$G$56,Y$8*OBJECTIFS!$F$60,IF(X26&lt;OBJECTIFS!$I$56,Y$8*OBJECTIFS!$H$60,Y$8)))),0)</f>
        <v>0</v>
      </c>
      <c r="Z26" s="124"/>
      <c r="AA26" s="72" t="str">
        <f>IF(OR($A26="",$D26="",Z26=""),"",SUMIFS(OBJECTIFS!I$9:I$39,OBJECTIFS!$A$9:$A$39,$D26,OBJECTIFS!$C$9:$C$39,$F26))</f>
        <v/>
      </c>
      <c r="AB26" s="72" t="str">
        <f>IF(OR(AND($D26=OBJECTIFS!$B$6,OBJECTIFS!I$8="dmt"),AND($D26=OBJECTIFS!$B$13,OBJECTIFS!$I$15="dmt"),AND($D26=OBJECTIFS!$B$20,OBJECTIFS!$I$22="dmt"),AND($D26=OBJECTIFS!$B$27,OBJECTIFS!$I$29="dmt"),AND($D26=OBJECTIFS!$B$34,OBJECTIFS!$I$36="dmt"),AND($D26=OBJECTIFS!$B$6,OBJECTIFS!$I$8="taux de chute"),AND($D26=OBJECTIFS!$B$13,OBJECTIFS!$I$15="taux de chute"),AND($D26=OBJECTIFS!$B$20,OBJECTIFS!$I$22="taux de chute"),AND($D26=OBJECTIFS!$B$27,OBJECTIFS!$I$29="taux de chute"),AND($D26=OBJECTIFS!$B$34,OBJECTIFS!$I$36="taux de chute"),AND($D26=OBJECTIFS!$B$6,OBJECTIFS!I$8="tx mea"),AND($D26=OBJECTIFS!$B$13,OBJECTIFS!$I$15="tx mea"),AND($D26=OBJECTIFS!$B$20,OBJECTIFS!$I$22="tx mea"),AND($D26=OBJECTIFS!$B$27,OBJECTIFS!$I$29="tx mea"),AND($D26=OBJECTIFS!$B$34,OBJECTIFS!$I$36="tx mea")),IFERROR(AA26/Z26,""),IFERROR(Z26/AA26,""))</f>
        <v/>
      </c>
      <c r="AC26" s="155">
        <f>IFERROR(IF(OR(Z26="",AA26="",AB26=""),0,IF(AB26&lt;OBJECTIFS!$E$56,0,IF(AB26&lt;OBJECTIFS!$G$56,AC$8*OBJECTIFS!$F$60,IF(AB26&lt;OBJECTIFS!$I$56,AC$8*OBJECTIFS!$H$60,AC$8)))),0)</f>
        <v>0</v>
      </c>
      <c r="AD26" s="289"/>
      <c r="AE26" s="290"/>
      <c r="AF26" s="158">
        <f t="shared" ca="1" si="3"/>
        <v>0</v>
      </c>
      <c r="AG26" s="52"/>
      <c r="AH26" s="129"/>
      <c r="AI26" s="19"/>
      <c r="AJ26" s="19"/>
      <c r="AK26" s="19"/>
      <c r="AL26" s="19"/>
      <c r="AM26" s="63">
        <f t="shared" si="26"/>
        <v>0</v>
      </c>
      <c r="AN26" s="63">
        <f t="shared" si="8"/>
        <v>22</v>
      </c>
      <c r="AO26" s="64">
        <f t="shared" si="27"/>
        <v>0</v>
      </c>
      <c r="AP26" s="65" t="str">
        <f t="shared" ca="1" si="28"/>
        <v/>
      </c>
      <c r="AQ26" s="66"/>
      <c r="AR26" s="168">
        <f>IFERROR(VLOOKUP(B26,OBJECTIFS!$C$76:$E$137,2,FALSE),0)</f>
        <v>0</v>
      </c>
      <c r="AS26" s="173"/>
      <c r="AT26" s="170">
        <f>IFERROR(VLOOKUP(B26,OBJECTIFS!$H$76:$J$137,2,FALSE),0)</f>
        <v>0</v>
      </c>
      <c r="AU26" s="178">
        <f t="shared" si="6"/>
        <v>0</v>
      </c>
      <c r="AV26" s="173"/>
      <c r="AW26" s="74">
        <f>IFERROR(VLOOKUP(B26,OBJECTIFS!$C$142:$E$203,2,FALSE),0)</f>
        <v>0</v>
      </c>
      <c r="AX26" s="74">
        <f>IFERROR(VLOOKUP(B26,OBJECTIFS!$H$142:$J$203,2,FALSE),0)</f>
        <v>0</v>
      </c>
      <c r="AY26" s="174">
        <f>IFERROR(VLOOKUP(B26,OBJECTIFS!$F$208:$H$269,3,FALSE),0)</f>
        <v>0</v>
      </c>
      <c r="AZ26" s="66"/>
      <c r="BA26" s="75" t="str">
        <f t="shared" ca="1" si="7"/>
        <v/>
      </c>
      <c r="BB26" s="52"/>
      <c r="BC26" s="76">
        <f t="shared" ca="1" si="1"/>
        <v>0</v>
      </c>
      <c r="BD26" s="53" t="str">
        <f t="shared" ca="1" si="29"/>
        <v/>
      </c>
      <c r="BE26" s="77" t="str">
        <f t="shared" ca="1" si="9"/>
        <v/>
      </c>
    </row>
    <row r="27" spans="1:57" x14ac:dyDescent="0.2">
      <c r="A27" s="16"/>
      <c r="B27" s="17"/>
      <c r="C27" s="17"/>
      <c r="D27" s="18"/>
      <c r="E27" s="19"/>
      <c r="F27" s="27"/>
      <c r="H27" s="71" t="str">
        <f>IF(OR(D27="",F27="",A27=""),"",IF(E27="oui",0,IF(D27=OBJECTIFS!$C$45,VLOOKUP(F27,OBJECTIFS!$C$9:$D$11,2,FALSE),IF(D27=OBJECTIFS!$C$46,VLOOKUP(F27,OBJECTIFS!$C$16:$D$18,2,FALSE),IF(D27=OBJECTIFS!$C$47,VLOOKUP(F27,OBJECTIFS!$C$23:$D$25,2,FALSE),IF(D27=OBJECTIFS!$C$48,VLOOKUP(F27,OBJECTIFS!$C$30:$D$32,2,FALSE),IF(D27=OBJECTIFS!$C$49,VLOOKUP(F27,OBJECTIFS!$C$37:$D$39,2,FALSE))))))))</f>
        <v/>
      </c>
      <c r="J27" s="138"/>
      <c r="K27" s="141" t="str">
        <f>IF(OR($A27="",$D27="",J27=""),"",SUMIFS(OBJECTIFS!E$9:E$39,OBJECTIFS!$A$9:$A$39,$D27,OBJECTIFS!$C$9:$C$39,$F27))</f>
        <v/>
      </c>
      <c r="L27" s="72" t="str">
        <f>IF(OR(AND($D27=OBJECTIFS!$B$6,OBJECTIFS!E$8="dmt"),AND($D27=OBJECTIFS!$B$13,OBJECTIFS!$E$15="dmt"),AND($D27=OBJECTIFS!$B$20,OBJECTIFS!$E$22="dmt"),AND($D27=OBJECTIFS!$B$27,OBJECTIFS!$E$29="dmt"),AND($D27=OBJECTIFS!$B$34,OBJECTIFS!$E$36="dmt"),AND($D27=OBJECTIFS!$B$6,OBJECTIFS!$E$8="taux de chute"),AND($D27=OBJECTIFS!$B$13,OBJECTIFS!$E$15="taux de chute"),AND($D27=OBJECTIFS!$B$20,OBJECTIFS!$E$22="taux de chute"),AND($D27=OBJECTIFS!$B$27,OBJECTIFS!$E$29="taux de chute"),AND($D27=OBJECTIFS!$B$34,OBJECTIFS!$E$36="taux de chute"),AND($D27=OBJECTIFS!$B$6,OBJECTIFS!E$8="tx mea"),AND($D27=OBJECTIFS!$B$13,OBJECTIFS!$E$15="tx mea"),AND($D27=OBJECTIFS!$B$20,OBJECTIFS!$E$22="tx mea"),AND($D27=OBJECTIFS!$B$27,OBJECTIFS!$E$29="tx mea"),AND($D27=OBJECTIFS!$B$34,OBJECTIFS!$E$36="tx mea")),IFERROR(K27/J27,""),IFERROR(J27/K27,""))</f>
        <v/>
      </c>
      <c r="M27" s="149">
        <f>IFERROR(IF(OR(J27="",K27="",L27=""),0,IF(L27&lt;OBJECTIFS!$E$56,0,IF(L27&lt;OBJECTIFS!$G$56,M$8*OBJECTIFS!$F$60,IF(L27&lt;OBJECTIFS!$I$56,M$8*OBJECTIFS!$H$60,M$8)))),0)</f>
        <v>0</v>
      </c>
      <c r="N27" s="144"/>
      <c r="O27" s="145" t="str">
        <f>IF(OR($A27="",$D27="",N27=""),"",SUMIFS(OBJECTIFS!F$9:F$39,OBJECTIFS!$A$9:$A$39,$D27,OBJECTIFS!$C$9:$C$39,$F27))</f>
        <v/>
      </c>
      <c r="P27" s="72" t="str">
        <f>IF(OR(AND($D27=OBJECTIFS!$B$6,OBJECTIFS!$F$8="dmt"),AND($D27=OBJECTIFS!$B$13,OBJECTIFS!$F$15="dmt"),AND($D27=OBJECTIFS!$B$20,OBJECTIFS!$F$22="dmt"),AND($D27=OBJECTIFS!$B$27,OBJECTIFS!$F$29="dmt"),AND($D27=OBJECTIFS!$B$34,OBJECTIFS!$F$36="dmt"),AND($D27=OBJECTIFS!$B$6,OBJECTIFS!$F$8="taux de chute"),AND($D27=OBJECTIFS!$B$13,OBJECTIFS!$F$15="taux de chute"),AND($D27=OBJECTIFS!$B$20,OBJECTIFS!$F$22="taux de chute"),AND($D27=OBJECTIFS!$B$27,OBJECTIFS!$F$29="taux de chute"),AND($D27=OBJECTIFS!$B$34,OBJECTIFS!$F$36="taux de chute"),AND($D27=OBJECTIFS!$B$6,OBJECTIFS!$F$8="tx mea"),AND($D27=OBJECTIFS!$B$13,OBJECTIFS!$F$15="tx mea"),AND($D27=OBJECTIFS!$B$20,OBJECTIFS!$F$22="tx mea"),AND($D27=OBJECTIFS!$B$27,OBJECTIFS!$F$29="tx mea"),AND($D27=OBJECTIFS!$B$34,OBJECTIFS!$F$36="tx mea")),IFERROR(O27/N27,""),IFERROR(N27/O27,""))</f>
        <v/>
      </c>
      <c r="Q27" s="149">
        <f>IFERROR(IF(OR(N27="",O27="",P27=""),0,IF(P27&lt;OBJECTIFS!$E$56,0,IF(P27&lt;OBJECTIFS!$G$56,Q$8*OBJECTIFS!$F$60,IF(P27&lt;OBJECTIFS!$I$56,Q$8*OBJECTIFS!$H$60,Q$8)))),0)</f>
        <v>0</v>
      </c>
      <c r="R27" s="121"/>
      <c r="S27" s="73" t="str">
        <f>IF(OR($A27="",$D27="",R27=""),"",SUMIFS(OBJECTIFS!G$9:G$39,OBJECTIFS!$A$9:$A$39,$D27,OBJECTIFS!$C$9:$C$39,$F27))</f>
        <v/>
      </c>
      <c r="T27" s="72" t="str">
        <f>IF(OR(AND($D27=OBJECTIFS!$B$6,OBJECTIFS!G$8="dmt"),AND($D27=OBJECTIFS!$B$13,OBJECTIFS!$G$15="dmt"),AND($D27=OBJECTIFS!$B$20,OBJECTIFS!$G$22="dmt"),AND($D27=OBJECTIFS!$B$27,OBJECTIFS!$G$29="dmt"),AND($D27=OBJECTIFS!$B$34,OBJECTIFS!$G$36="dmt"),AND($D27=OBJECTIFS!$B$6,OBJECTIFS!$G$8="taux de chute"),AND($D27=OBJECTIFS!$B$13,OBJECTIFS!$G$15="taux de chute"),AND($D27=OBJECTIFS!$B$20,OBJECTIFS!$G$22="taux de chute"),AND($D27=OBJECTIFS!$B$27,OBJECTIFS!$G$29="taux de chute"),AND($D27=OBJECTIFS!$B$34,OBJECTIFS!$G$36="taux de chute",AND($D27=OBJECTIFS!$B$6,OBJECTIFS!G$8="tx mea"),AND($D27=OBJECTIFS!$B$13,OBJECTIFS!$G$15="tx mea"),AND($D27=OBJECTIFS!$B$20,OBJECTIFS!$G$22="tx mea"),AND($D27=OBJECTIFS!$B$27,OBJECTIFS!$G$29="tx mea"),AND($D27=OBJECTIFS!$B$34,OBJECTIFS!$G$36="tx mea"))),IFERROR(S27/R27,""),IFERROR(R27/S27,""))</f>
        <v/>
      </c>
      <c r="U27" s="152">
        <f>IFERROR(IF(OR(R27="",S27="",T27=""),0,IF(T27&lt;OBJECTIFS!$E$56,0,IF(T27&lt;OBJECTIFS!$G$56,U$8*OBJECTIFS!$F$60,IF(T27&lt;OBJECTIFS!$I$56,U$8*OBJECTIFS!$H$60,U$8)))),0)</f>
        <v>0</v>
      </c>
      <c r="V27" s="20"/>
      <c r="W27" s="72" t="str">
        <f>IF(OR($A27="",$D27="",V27=""),"",SUMIFS(OBJECTIFS!H$9:H$39,OBJECTIFS!$A$9:$A$39,$D27,OBJECTIFS!$C$9:$C$39,$F27))</f>
        <v/>
      </c>
      <c r="X27" s="72" t="str">
        <f>IF(OR(AND($D27=OBJECTIFS!$B$6,OBJECTIFS!H$8="dmt"),AND($D27=OBJECTIFS!$B$13,OBJECTIFS!$H$15="dmt"),AND($D27=OBJECTIFS!$B$20,OBJECTIFS!$H$22="dmt"),AND($D27=OBJECTIFS!$B$27,OBJECTIFS!$H$29="dmt"),AND($D27=OBJECTIFS!$B$34,OBJECTIFS!$H$36="dmt"),AND($D27=OBJECTIFS!$B$6,OBJECTIFS!$H$8="taux de chute"),AND($D27=OBJECTIFS!$B$13,OBJECTIFS!$H$15="taux de chute"),AND($D27=OBJECTIFS!$B$20,OBJECTIFS!$H$22="taux de chute"),AND($D27=OBJECTIFS!$B$27,OBJECTIFS!$H$29="taux de chute"),AND($D27=OBJECTIFS!$B$34,OBJECTIFS!$H$36="taux de chute"),AND($D27=OBJECTIFS!$B$6,OBJECTIFS!H$8="tx mea"),AND($D27=OBJECTIFS!$B$13,OBJECTIFS!$H$15="tx mea"),AND($D27=OBJECTIFS!$B$20,OBJECTIFS!$H$22="tx mea"),AND($D27=OBJECTIFS!$B$27,OBJECTIFS!$H$29="tx mea"),AND($D27=OBJECTIFS!$B$34,OBJECTIFS!$H$36="tx mea")),IFERROR(W27/V27,""),IFERROR(V27/W27,""))</f>
        <v/>
      </c>
      <c r="Y27" s="149">
        <f>IFERROR(IF(OR(V27="",W27="",X27=""),0,IF(X27&lt;OBJECTIFS!$E$56,0,IF(X27&lt;OBJECTIFS!$G$56,Y$8*OBJECTIFS!$F$60,IF(X27&lt;OBJECTIFS!$I$56,Y$8*OBJECTIFS!$H$60,Y$8)))),0)</f>
        <v>0</v>
      </c>
      <c r="Z27" s="124"/>
      <c r="AA27" s="72" t="str">
        <f>IF(OR($A27="",$D27="",Z27=""),"",SUMIFS(OBJECTIFS!I$9:I$39,OBJECTIFS!$A$9:$A$39,$D27,OBJECTIFS!$C$9:$C$39,$F27))</f>
        <v/>
      </c>
      <c r="AB27" s="72" t="str">
        <f>IF(OR(AND($D27=OBJECTIFS!$B$6,OBJECTIFS!I$8="dmt"),AND($D27=OBJECTIFS!$B$13,OBJECTIFS!$I$15="dmt"),AND($D27=OBJECTIFS!$B$20,OBJECTIFS!$I$22="dmt"),AND($D27=OBJECTIFS!$B$27,OBJECTIFS!$I$29="dmt"),AND($D27=OBJECTIFS!$B$34,OBJECTIFS!$I$36="dmt"),AND($D27=OBJECTIFS!$B$6,OBJECTIFS!$I$8="taux de chute"),AND($D27=OBJECTIFS!$B$13,OBJECTIFS!$I$15="taux de chute"),AND($D27=OBJECTIFS!$B$20,OBJECTIFS!$I$22="taux de chute"),AND($D27=OBJECTIFS!$B$27,OBJECTIFS!$I$29="taux de chute"),AND($D27=OBJECTIFS!$B$34,OBJECTIFS!$I$36="taux de chute"),AND($D27=OBJECTIFS!$B$6,OBJECTIFS!I$8="tx mea"),AND($D27=OBJECTIFS!$B$13,OBJECTIFS!$I$15="tx mea"),AND($D27=OBJECTIFS!$B$20,OBJECTIFS!$I$22="tx mea"),AND($D27=OBJECTIFS!$B$27,OBJECTIFS!$I$29="tx mea"),AND($D27=OBJECTIFS!$B$34,OBJECTIFS!$I$36="tx mea")),IFERROR(AA27/Z27,""),IFERROR(Z27/AA27,""))</f>
        <v/>
      </c>
      <c r="AC27" s="155">
        <f>IFERROR(IF(OR(Z27="",AA27="",AB27=""),0,IF(AB27&lt;OBJECTIFS!$E$56,0,IF(AB27&lt;OBJECTIFS!$G$56,AC$8*OBJECTIFS!$F$60,IF(AB27&lt;OBJECTIFS!$I$56,AC$8*OBJECTIFS!$H$60,AC$8)))),0)</f>
        <v>0</v>
      </c>
      <c r="AD27" s="289"/>
      <c r="AE27" s="290"/>
      <c r="AF27" s="158">
        <f t="shared" ca="1" si="3"/>
        <v>0</v>
      </c>
      <c r="AG27" s="52"/>
      <c r="AH27" s="129"/>
      <c r="AI27" s="19"/>
      <c r="AJ27" s="19"/>
      <c r="AK27" s="19"/>
      <c r="AL27" s="19"/>
      <c r="AM27" s="63">
        <f t="shared" si="26"/>
        <v>0</v>
      </c>
      <c r="AN27" s="63">
        <f t="shared" si="8"/>
        <v>22</v>
      </c>
      <c r="AO27" s="64">
        <f t="shared" si="27"/>
        <v>0</v>
      </c>
      <c r="AP27" s="65" t="str">
        <f t="shared" ca="1" si="28"/>
        <v/>
      </c>
      <c r="AQ27" s="66"/>
      <c r="AR27" s="168">
        <f>IFERROR(VLOOKUP(B27,OBJECTIFS!$C$76:$E$137,2,FALSE),0)</f>
        <v>0</v>
      </c>
      <c r="AS27" s="173"/>
      <c r="AT27" s="170">
        <f>IFERROR(VLOOKUP(B27,OBJECTIFS!$H$76:$J$137,2,FALSE),0)</f>
        <v>0</v>
      </c>
      <c r="AU27" s="178">
        <f t="shared" si="6"/>
        <v>0</v>
      </c>
      <c r="AV27" s="173"/>
      <c r="AW27" s="74">
        <f>IFERROR(VLOOKUP(B27,OBJECTIFS!$C$142:$E$203,2,FALSE),0)</f>
        <v>0</v>
      </c>
      <c r="AX27" s="74">
        <f>IFERROR(VLOOKUP(B27,OBJECTIFS!$H$142:$J$203,2,FALSE),0)</f>
        <v>0</v>
      </c>
      <c r="AY27" s="174">
        <f>IFERROR(VLOOKUP(B27,OBJECTIFS!$F$208:$H$269,3,FALSE),0)</f>
        <v>0</v>
      </c>
      <c r="AZ27" s="66"/>
      <c r="BA27" s="75" t="str">
        <f t="shared" ca="1" si="7"/>
        <v/>
      </c>
      <c r="BB27" s="52"/>
      <c r="BC27" s="76">
        <f t="shared" ca="1" si="1"/>
        <v>0</v>
      </c>
      <c r="BD27" s="53" t="str">
        <f t="shared" ca="1" si="29"/>
        <v/>
      </c>
      <c r="BE27" s="77" t="str">
        <f t="shared" ca="1" si="9"/>
        <v/>
      </c>
    </row>
    <row r="28" spans="1:57" x14ac:dyDescent="0.2">
      <c r="A28" s="16"/>
      <c r="B28" s="17"/>
      <c r="C28" s="17"/>
      <c r="D28" s="18"/>
      <c r="E28" s="19"/>
      <c r="F28" s="27"/>
      <c r="H28" s="71" t="str">
        <f>IF(OR(D28="",F28="",A28=""),"",IF(E28="oui",0,IF(D28=OBJECTIFS!$C$45,VLOOKUP(F28,OBJECTIFS!$C$9:$D$11,2,FALSE),IF(D28=OBJECTIFS!$C$46,VLOOKUP(F28,OBJECTIFS!$C$16:$D$18,2,FALSE),IF(D28=OBJECTIFS!$C$47,VLOOKUP(F28,OBJECTIFS!$C$23:$D$25,2,FALSE),IF(D28=OBJECTIFS!$C$48,VLOOKUP(F28,OBJECTIFS!$C$30:$D$32,2,FALSE),IF(D28=OBJECTIFS!$C$49,VLOOKUP(F28,OBJECTIFS!$C$37:$D$39,2,FALSE))))))))</f>
        <v/>
      </c>
      <c r="J28" s="138"/>
      <c r="K28" s="141" t="str">
        <f>IF(OR($A28="",$D28="",J28=""),"",SUMIFS(OBJECTIFS!E$9:E$39,OBJECTIFS!$A$9:$A$39,$D28,OBJECTIFS!$C$9:$C$39,$F28))</f>
        <v/>
      </c>
      <c r="L28" s="72" t="str">
        <f>IF(OR(AND($D28=OBJECTIFS!$B$6,OBJECTIFS!E$8="dmt"),AND($D28=OBJECTIFS!$B$13,OBJECTIFS!$E$15="dmt"),AND($D28=OBJECTIFS!$B$20,OBJECTIFS!$E$22="dmt"),AND($D28=OBJECTIFS!$B$27,OBJECTIFS!$E$29="dmt"),AND($D28=OBJECTIFS!$B$34,OBJECTIFS!$E$36="dmt"),AND($D28=OBJECTIFS!$B$6,OBJECTIFS!$E$8="taux de chute"),AND($D28=OBJECTIFS!$B$13,OBJECTIFS!$E$15="taux de chute"),AND($D28=OBJECTIFS!$B$20,OBJECTIFS!$E$22="taux de chute"),AND($D28=OBJECTIFS!$B$27,OBJECTIFS!$E$29="taux de chute"),AND($D28=OBJECTIFS!$B$34,OBJECTIFS!$E$36="taux de chute"),AND($D28=OBJECTIFS!$B$6,OBJECTIFS!E$8="tx mea"),AND($D28=OBJECTIFS!$B$13,OBJECTIFS!$E$15="tx mea"),AND($D28=OBJECTIFS!$B$20,OBJECTIFS!$E$22="tx mea"),AND($D28=OBJECTIFS!$B$27,OBJECTIFS!$E$29="tx mea"),AND($D28=OBJECTIFS!$B$34,OBJECTIFS!$E$36="tx mea")),IFERROR(K28/J28,""),IFERROR(J28/K28,""))</f>
        <v/>
      </c>
      <c r="M28" s="149">
        <f>IFERROR(IF(OR(J28="",K28="",L28=""),0,IF(L28&lt;OBJECTIFS!$E$56,0,IF(L28&lt;OBJECTIFS!$G$56,M$8*OBJECTIFS!$F$60,IF(L28&lt;OBJECTIFS!$I$56,M$8*OBJECTIFS!$H$60,M$8)))),0)</f>
        <v>0</v>
      </c>
      <c r="N28" s="144"/>
      <c r="O28" s="145" t="str">
        <f>IF(OR($A28="",$D28="",N28=""),"",SUMIFS(OBJECTIFS!F$9:F$39,OBJECTIFS!$A$9:$A$39,$D28,OBJECTIFS!$C$9:$C$39,$F28))</f>
        <v/>
      </c>
      <c r="P28" s="72" t="str">
        <f>IF(OR(AND($D28=OBJECTIFS!$B$6,OBJECTIFS!$F$8="dmt"),AND($D28=OBJECTIFS!$B$13,OBJECTIFS!$F$15="dmt"),AND($D28=OBJECTIFS!$B$20,OBJECTIFS!$F$22="dmt"),AND($D28=OBJECTIFS!$B$27,OBJECTIFS!$F$29="dmt"),AND($D28=OBJECTIFS!$B$34,OBJECTIFS!$F$36="dmt"),AND($D28=OBJECTIFS!$B$6,OBJECTIFS!$F$8="taux de chute"),AND($D28=OBJECTIFS!$B$13,OBJECTIFS!$F$15="taux de chute"),AND($D28=OBJECTIFS!$B$20,OBJECTIFS!$F$22="taux de chute"),AND($D28=OBJECTIFS!$B$27,OBJECTIFS!$F$29="taux de chute"),AND($D28=OBJECTIFS!$B$34,OBJECTIFS!$F$36="taux de chute"),AND($D28=OBJECTIFS!$B$6,OBJECTIFS!$F$8="tx mea"),AND($D28=OBJECTIFS!$B$13,OBJECTIFS!$F$15="tx mea"),AND($D28=OBJECTIFS!$B$20,OBJECTIFS!$F$22="tx mea"),AND($D28=OBJECTIFS!$B$27,OBJECTIFS!$F$29="tx mea"),AND($D28=OBJECTIFS!$B$34,OBJECTIFS!$F$36="tx mea")),IFERROR(O28/N28,""),IFERROR(N28/O28,""))</f>
        <v/>
      </c>
      <c r="Q28" s="149">
        <f>IFERROR(IF(OR(N28="",O28="",P28=""),0,IF(P28&lt;OBJECTIFS!$E$56,0,IF(P28&lt;OBJECTIFS!$G$56,Q$8*OBJECTIFS!$F$60,IF(P28&lt;OBJECTIFS!$I$56,Q$8*OBJECTIFS!$H$60,Q$8)))),0)</f>
        <v>0</v>
      </c>
      <c r="R28" s="121"/>
      <c r="S28" s="73" t="str">
        <f>IF(OR($A28="",$D28="",R28=""),"",SUMIFS(OBJECTIFS!G$9:G$39,OBJECTIFS!$A$9:$A$39,$D28,OBJECTIFS!$C$9:$C$39,$F28))</f>
        <v/>
      </c>
      <c r="T28" s="72" t="str">
        <f>IF(OR(AND($D28=OBJECTIFS!$B$6,OBJECTIFS!G$8="dmt"),AND($D28=OBJECTIFS!$B$13,OBJECTIFS!$G$15="dmt"),AND($D28=OBJECTIFS!$B$20,OBJECTIFS!$G$22="dmt"),AND($D28=OBJECTIFS!$B$27,OBJECTIFS!$G$29="dmt"),AND($D28=OBJECTIFS!$B$34,OBJECTIFS!$G$36="dmt"),AND($D28=OBJECTIFS!$B$6,OBJECTIFS!$G$8="taux de chute"),AND($D28=OBJECTIFS!$B$13,OBJECTIFS!$G$15="taux de chute"),AND($D28=OBJECTIFS!$B$20,OBJECTIFS!$G$22="taux de chute"),AND($D28=OBJECTIFS!$B$27,OBJECTIFS!$G$29="taux de chute"),AND($D28=OBJECTIFS!$B$34,OBJECTIFS!$G$36="taux de chute",AND($D28=OBJECTIFS!$B$6,OBJECTIFS!G$8="tx mea"),AND($D28=OBJECTIFS!$B$13,OBJECTIFS!$G$15="tx mea"),AND($D28=OBJECTIFS!$B$20,OBJECTIFS!$G$22="tx mea"),AND($D28=OBJECTIFS!$B$27,OBJECTIFS!$G$29="tx mea"),AND($D28=OBJECTIFS!$B$34,OBJECTIFS!$G$36="tx mea"))),IFERROR(S28/R28,""),IFERROR(R28/S28,""))</f>
        <v/>
      </c>
      <c r="U28" s="152">
        <f>IFERROR(IF(OR(R28="",S28="",T28=""),0,IF(T28&lt;OBJECTIFS!$E$56,0,IF(T28&lt;OBJECTIFS!$G$56,U$8*OBJECTIFS!$F$60,IF(T28&lt;OBJECTIFS!$I$56,U$8*OBJECTIFS!$H$60,U$8)))),0)</f>
        <v>0</v>
      </c>
      <c r="V28" s="20"/>
      <c r="W28" s="72" t="str">
        <f>IF(OR($A28="",$D28="",V28=""),"",SUMIFS(OBJECTIFS!H$9:H$39,OBJECTIFS!$A$9:$A$39,$D28,OBJECTIFS!$C$9:$C$39,$F28))</f>
        <v/>
      </c>
      <c r="X28" s="72" t="str">
        <f>IF(OR(AND($D28=OBJECTIFS!$B$6,OBJECTIFS!H$8="dmt"),AND($D28=OBJECTIFS!$B$13,OBJECTIFS!$H$15="dmt"),AND($D28=OBJECTIFS!$B$20,OBJECTIFS!$H$22="dmt"),AND($D28=OBJECTIFS!$B$27,OBJECTIFS!$H$29="dmt"),AND($D28=OBJECTIFS!$B$34,OBJECTIFS!$H$36="dmt"),AND($D28=OBJECTIFS!$B$6,OBJECTIFS!$H$8="taux de chute"),AND($D28=OBJECTIFS!$B$13,OBJECTIFS!$H$15="taux de chute"),AND($D28=OBJECTIFS!$B$20,OBJECTIFS!$H$22="taux de chute"),AND($D28=OBJECTIFS!$B$27,OBJECTIFS!$H$29="taux de chute"),AND($D28=OBJECTIFS!$B$34,OBJECTIFS!$H$36="taux de chute"),AND($D28=OBJECTIFS!$B$6,OBJECTIFS!H$8="tx mea"),AND($D28=OBJECTIFS!$B$13,OBJECTIFS!$H$15="tx mea"),AND($D28=OBJECTIFS!$B$20,OBJECTIFS!$H$22="tx mea"),AND($D28=OBJECTIFS!$B$27,OBJECTIFS!$H$29="tx mea"),AND($D28=OBJECTIFS!$B$34,OBJECTIFS!$H$36="tx mea")),IFERROR(W28/V28,""),IFERROR(V28/W28,""))</f>
        <v/>
      </c>
      <c r="Y28" s="149">
        <f>IFERROR(IF(OR(V28="",W28="",X28=""),0,IF(X28&lt;OBJECTIFS!$E$56,0,IF(X28&lt;OBJECTIFS!$G$56,Y$8*OBJECTIFS!$F$60,IF(X28&lt;OBJECTIFS!$I$56,Y$8*OBJECTIFS!$H$60,Y$8)))),0)</f>
        <v>0</v>
      </c>
      <c r="Z28" s="124"/>
      <c r="AA28" s="72" t="str">
        <f>IF(OR($A28="",$D28="",Z28=""),"",SUMIFS(OBJECTIFS!I$9:I$39,OBJECTIFS!$A$9:$A$39,$D28,OBJECTIFS!$C$9:$C$39,$F28))</f>
        <v/>
      </c>
      <c r="AB28" s="72" t="str">
        <f>IF(OR(AND($D28=OBJECTIFS!$B$6,OBJECTIFS!I$8="dmt"),AND($D28=OBJECTIFS!$B$13,OBJECTIFS!$I$15="dmt"),AND($D28=OBJECTIFS!$B$20,OBJECTIFS!$I$22="dmt"),AND($D28=OBJECTIFS!$B$27,OBJECTIFS!$I$29="dmt"),AND($D28=OBJECTIFS!$B$34,OBJECTIFS!$I$36="dmt"),AND($D28=OBJECTIFS!$B$6,OBJECTIFS!$I$8="taux de chute"),AND($D28=OBJECTIFS!$B$13,OBJECTIFS!$I$15="taux de chute"),AND($D28=OBJECTIFS!$B$20,OBJECTIFS!$I$22="taux de chute"),AND($D28=OBJECTIFS!$B$27,OBJECTIFS!$I$29="taux de chute"),AND($D28=OBJECTIFS!$B$34,OBJECTIFS!$I$36="taux de chute"),AND($D28=OBJECTIFS!$B$6,OBJECTIFS!I$8="tx mea"),AND($D28=OBJECTIFS!$B$13,OBJECTIFS!$I$15="tx mea"),AND($D28=OBJECTIFS!$B$20,OBJECTIFS!$I$22="tx mea"),AND($D28=OBJECTIFS!$B$27,OBJECTIFS!$I$29="tx mea"),AND($D28=OBJECTIFS!$B$34,OBJECTIFS!$I$36="tx mea")),IFERROR(AA28/Z28,""),IFERROR(Z28/AA28,""))</f>
        <v/>
      </c>
      <c r="AC28" s="155">
        <f>IFERROR(IF(OR(Z28="",AA28="",AB28=""),0,IF(AB28&lt;OBJECTIFS!$E$56,0,IF(AB28&lt;OBJECTIFS!$G$56,AC$8*OBJECTIFS!$F$60,IF(AB28&lt;OBJECTIFS!$I$56,AC$8*OBJECTIFS!$H$60,AC$8)))),0)</f>
        <v>0</v>
      </c>
      <c r="AD28" s="289"/>
      <c r="AE28" s="290"/>
      <c r="AF28" s="158">
        <f t="shared" ca="1" si="3"/>
        <v>0</v>
      </c>
      <c r="AG28" s="52"/>
      <c r="AH28" s="129"/>
      <c r="AI28" s="19"/>
      <c r="AJ28" s="19"/>
      <c r="AK28" s="19"/>
      <c r="AL28" s="19"/>
      <c r="AM28" s="63">
        <f t="shared" si="26"/>
        <v>0</v>
      </c>
      <c r="AN28" s="63">
        <f t="shared" si="8"/>
        <v>22</v>
      </c>
      <c r="AO28" s="64">
        <f t="shared" si="27"/>
        <v>0</v>
      </c>
      <c r="AP28" s="65" t="str">
        <f t="shared" ca="1" si="28"/>
        <v/>
      </c>
      <c r="AQ28" s="66"/>
      <c r="AR28" s="168">
        <f>IFERROR(VLOOKUP(B28,OBJECTIFS!$C$76:$E$137,2,FALSE),0)</f>
        <v>0</v>
      </c>
      <c r="AS28" s="173"/>
      <c r="AT28" s="170">
        <f>IFERROR(VLOOKUP(B28,OBJECTIFS!$H$76:$J$137,2,FALSE),0)</f>
        <v>0</v>
      </c>
      <c r="AU28" s="178">
        <f t="shared" si="6"/>
        <v>0</v>
      </c>
      <c r="AV28" s="173"/>
      <c r="AW28" s="74">
        <f>IFERROR(VLOOKUP(B28,OBJECTIFS!$C$142:$E$203,2,FALSE),0)</f>
        <v>0</v>
      </c>
      <c r="AX28" s="74">
        <f>IFERROR(VLOOKUP(B28,OBJECTIFS!$H$142:$J$203,2,FALSE),0)</f>
        <v>0</v>
      </c>
      <c r="AY28" s="174">
        <f>IFERROR(VLOOKUP(B28,OBJECTIFS!$F$208:$H$269,3,FALSE),0)</f>
        <v>0</v>
      </c>
      <c r="AZ28" s="66"/>
      <c r="BA28" s="75" t="str">
        <f t="shared" ca="1" si="7"/>
        <v/>
      </c>
      <c r="BB28" s="52"/>
      <c r="BC28" s="76">
        <f t="shared" ca="1" si="1"/>
        <v>0</v>
      </c>
      <c r="BD28" s="53" t="str">
        <f t="shared" ca="1" si="29"/>
        <v/>
      </c>
      <c r="BE28" s="77" t="str">
        <f t="shared" ca="1" si="9"/>
        <v/>
      </c>
    </row>
    <row r="29" spans="1:57" x14ac:dyDescent="0.2">
      <c r="A29" s="16"/>
      <c r="B29" s="17"/>
      <c r="C29" s="17"/>
      <c r="D29" s="18"/>
      <c r="E29" s="19"/>
      <c r="F29" s="27"/>
      <c r="H29" s="71" t="str">
        <f>IF(OR(D29="",F29="",A29=""),"",IF(E29="oui",0,IF(D29=OBJECTIFS!$C$45,VLOOKUP(F29,OBJECTIFS!$C$9:$D$11,2,FALSE),IF(D29=OBJECTIFS!$C$46,VLOOKUP(F29,OBJECTIFS!$C$16:$D$18,2,FALSE),IF(D29=OBJECTIFS!$C$47,VLOOKUP(F29,OBJECTIFS!$C$23:$D$25,2,FALSE),IF(D29=OBJECTIFS!$C$48,VLOOKUP(F29,OBJECTIFS!$C$30:$D$32,2,FALSE),IF(D29=OBJECTIFS!$C$49,VLOOKUP(F29,OBJECTIFS!$C$37:$D$39,2,FALSE))))))))</f>
        <v/>
      </c>
      <c r="J29" s="138"/>
      <c r="K29" s="141" t="str">
        <f>IF(OR($A29="",$D29="",J29=""),"",SUMIFS(OBJECTIFS!E$9:E$39,OBJECTIFS!$A$9:$A$39,$D29,OBJECTIFS!$C$9:$C$39,$F29))</f>
        <v/>
      </c>
      <c r="L29" s="72" t="str">
        <f>IF(OR(AND($D29=OBJECTIFS!$B$6,OBJECTIFS!E$8="dmt"),AND($D29=OBJECTIFS!$B$13,OBJECTIFS!$E$15="dmt"),AND($D29=OBJECTIFS!$B$20,OBJECTIFS!$E$22="dmt"),AND($D29=OBJECTIFS!$B$27,OBJECTIFS!$E$29="dmt"),AND($D29=OBJECTIFS!$B$34,OBJECTIFS!$E$36="dmt"),AND($D29=OBJECTIFS!$B$6,OBJECTIFS!$E$8="taux de chute"),AND($D29=OBJECTIFS!$B$13,OBJECTIFS!$E$15="taux de chute"),AND($D29=OBJECTIFS!$B$20,OBJECTIFS!$E$22="taux de chute"),AND($D29=OBJECTIFS!$B$27,OBJECTIFS!$E$29="taux de chute"),AND($D29=OBJECTIFS!$B$34,OBJECTIFS!$E$36="taux de chute"),AND($D29=OBJECTIFS!$B$6,OBJECTIFS!E$8="tx mea"),AND($D29=OBJECTIFS!$B$13,OBJECTIFS!$E$15="tx mea"),AND($D29=OBJECTIFS!$B$20,OBJECTIFS!$E$22="tx mea"),AND($D29=OBJECTIFS!$B$27,OBJECTIFS!$E$29="tx mea"),AND($D29=OBJECTIFS!$B$34,OBJECTIFS!$E$36="tx mea")),IFERROR(K29/J29,""),IFERROR(J29/K29,""))</f>
        <v/>
      </c>
      <c r="M29" s="149">
        <f>IFERROR(IF(OR(J29="",K29="",L29=""),0,IF(L29&lt;OBJECTIFS!$E$56,0,IF(L29&lt;OBJECTIFS!$G$56,M$8*OBJECTIFS!$F$60,IF(L29&lt;OBJECTIFS!$I$56,M$8*OBJECTIFS!$H$60,M$8)))),0)</f>
        <v>0</v>
      </c>
      <c r="N29" s="144"/>
      <c r="O29" s="145" t="str">
        <f>IF(OR($A29="",$D29="",N29=""),"",SUMIFS(OBJECTIFS!F$9:F$39,OBJECTIFS!$A$9:$A$39,$D29,OBJECTIFS!$C$9:$C$39,$F29))</f>
        <v/>
      </c>
      <c r="P29" s="72" t="str">
        <f>IF(OR(AND($D29=OBJECTIFS!$B$6,OBJECTIFS!$F$8="dmt"),AND($D29=OBJECTIFS!$B$13,OBJECTIFS!$F$15="dmt"),AND($D29=OBJECTIFS!$B$20,OBJECTIFS!$F$22="dmt"),AND($D29=OBJECTIFS!$B$27,OBJECTIFS!$F$29="dmt"),AND($D29=OBJECTIFS!$B$34,OBJECTIFS!$F$36="dmt"),AND($D29=OBJECTIFS!$B$6,OBJECTIFS!$F$8="taux de chute"),AND($D29=OBJECTIFS!$B$13,OBJECTIFS!$F$15="taux de chute"),AND($D29=OBJECTIFS!$B$20,OBJECTIFS!$F$22="taux de chute"),AND($D29=OBJECTIFS!$B$27,OBJECTIFS!$F$29="taux de chute"),AND($D29=OBJECTIFS!$B$34,OBJECTIFS!$F$36="taux de chute"),AND($D29=OBJECTIFS!$B$6,OBJECTIFS!$F$8="tx mea"),AND($D29=OBJECTIFS!$B$13,OBJECTIFS!$F$15="tx mea"),AND($D29=OBJECTIFS!$B$20,OBJECTIFS!$F$22="tx mea"),AND($D29=OBJECTIFS!$B$27,OBJECTIFS!$F$29="tx mea"),AND($D29=OBJECTIFS!$B$34,OBJECTIFS!$F$36="tx mea")),IFERROR(O29/N29,""),IFERROR(N29/O29,""))</f>
        <v/>
      </c>
      <c r="Q29" s="149">
        <f>IFERROR(IF(OR(N29="",O29="",P29=""),0,IF(P29&lt;OBJECTIFS!$E$56,0,IF(P29&lt;OBJECTIFS!$G$56,Q$8*OBJECTIFS!$F$60,IF(P29&lt;OBJECTIFS!$I$56,Q$8*OBJECTIFS!$H$60,Q$8)))),0)</f>
        <v>0</v>
      </c>
      <c r="R29" s="121"/>
      <c r="S29" s="73" t="str">
        <f>IF(OR($A29="",$D29="",R29=""),"",SUMIFS(OBJECTIFS!G$9:G$39,OBJECTIFS!$A$9:$A$39,$D29,OBJECTIFS!$C$9:$C$39,$F29))</f>
        <v/>
      </c>
      <c r="T29" s="72" t="str">
        <f>IF(OR(AND($D29=OBJECTIFS!$B$6,OBJECTIFS!G$8="dmt"),AND($D29=OBJECTIFS!$B$13,OBJECTIFS!$G$15="dmt"),AND($D29=OBJECTIFS!$B$20,OBJECTIFS!$G$22="dmt"),AND($D29=OBJECTIFS!$B$27,OBJECTIFS!$G$29="dmt"),AND($D29=OBJECTIFS!$B$34,OBJECTIFS!$G$36="dmt"),AND($D29=OBJECTIFS!$B$6,OBJECTIFS!$G$8="taux de chute"),AND($D29=OBJECTIFS!$B$13,OBJECTIFS!$G$15="taux de chute"),AND($D29=OBJECTIFS!$B$20,OBJECTIFS!$G$22="taux de chute"),AND($D29=OBJECTIFS!$B$27,OBJECTIFS!$G$29="taux de chute"),AND($D29=OBJECTIFS!$B$34,OBJECTIFS!$G$36="taux de chute",AND($D29=OBJECTIFS!$B$6,OBJECTIFS!G$8="tx mea"),AND($D29=OBJECTIFS!$B$13,OBJECTIFS!$G$15="tx mea"),AND($D29=OBJECTIFS!$B$20,OBJECTIFS!$G$22="tx mea"),AND($D29=OBJECTIFS!$B$27,OBJECTIFS!$G$29="tx mea"),AND($D29=OBJECTIFS!$B$34,OBJECTIFS!$G$36="tx mea"))),IFERROR(S29/R29,""),IFERROR(R29/S29,""))</f>
        <v/>
      </c>
      <c r="U29" s="152">
        <f>IFERROR(IF(OR(R29="",S29="",T29=""),0,IF(T29&lt;OBJECTIFS!$E$56,0,IF(T29&lt;OBJECTIFS!$G$56,U$8*OBJECTIFS!$F$60,IF(T29&lt;OBJECTIFS!$I$56,U$8*OBJECTIFS!$H$60,U$8)))),0)</f>
        <v>0</v>
      </c>
      <c r="V29" s="20"/>
      <c r="W29" s="72" t="str">
        <f>IF(OR($A29="",$D29="",V29=""),"",SUMIFS(OBJECTIFS!H$9:H$39,OBJECTIFS!$A$9:$A$39,$D29,OBJECTIFS!$C$9:$C$39,$F29))</f>
        <v/>
      </c>
      <c r="X29" s="72" t="str">
        <f>IF(OR(AND($D29=OBJECTIFS!$B$6,OBJECTIFS!H$8="dmt"),AND($D29=OBJECTIFS!$B$13,OBJECTIFS!$H$15="dmt"),AND($D29=OBJECTIFS!$B$20,OBJECTIFS!$H$22="dmt"),AND($D29=OBJECTIFS!$B$27,OBJECTIFS!$H$29="dmt"),AND($D29=OBJECTIFS!$B$34,OBJECTIFS!$H$36="dmt"),AND($D29=OBJECTIFS!$B$6,OBJECTIFS!$H$8="taux de chute"),AND($D29=OBJECTIFS!$B$13,OBJECTIFS!$H$15="taux de chute"),AND($D29=OBJECTIFS!$B$20,OBJECTIFS!$H$22="taux de chute"),AND($D29=OBJECTIFS!$B$27,OBJECTIFS!$H$29="taux de chute"),AND($D29=OBJECTIFS!$B$34,OBJECTIFS!$H$36="taux de chute"),AND($D29=OBJECTIFS!$B$6,OBJECTIFS!H$8="tx mea"),AND($D29=OBJECTIFS!$B$13,OBJECTIFS!$H$15="tx mea"),AND($D29=OBJECTIFS!$B$20,OBJECTIFS!$H$22="tx mea"),AND($D29=OBJECTIFS!$B$27,OBJECTIFS!$H$29="tx mea"),AND($D29=OBJECTIFS!$B$34,OBJECTIFS!$H$36="tx mea")),IFERROR(W29/V29,""),IFERROR(V29/W29,""))</f>
        <v/>
      </c>
      <c r="Y29" s="149">
        <f>IFERROR(IF(OR(V29="",W29="",X29=""),0,IF(X29&lt;OBJECTIFS!$E$56,0,IF(X29&lt;OBJECTIFS!$G$56,Y$8*OBJECTIFS!$F$60,IF(X29&lt;OBJECTIFS!$I$56,Y$8*OBJECTIFS!$H$60,Y$8)))),0)</f>
        <v>0</v>
      </c>
      <c r="Z29" s="124"/>
      <c r="AA29" s="72" t="str">
        <f>IF(OR($A29="",$D29="",Z29=""),"",SUMIFS(OBJECTIFS!I$9:I$39,OBJECTIFS!$A$9:$A$39,$D29,OBJECTIFS!$C$9:$C$39,$F29))</f>
        <v/>
      </c>
      <c r="AB29" s="72" t="str">
        <f>IF(OR(AND($D29=OBJECTIFS!$B$6,OBJECTIFS!I$8="dmt"),AND($D29=OBJECTIFS!$B$13,OBJECTIFS!$I$15="dmt"),AND($D29=OBJECTIFS!$B$20,OBJECTIFS!$I$22="dmt"),AND($D29=OBJECTIFS!$B$27,OBJECTIFS!$I$29="dmt"),AND($D29=OBJECTIFS!$B$34,OBJECTIFS!$I$36="dmt"),AND($D29=OBJECTIFS!$B$6,OBJECTIFS!$I$8="taux de chute"),AND($D29=OBJECTIFS!$B$13,OBJECTIFS!$I$15="taux de chute"),AND($D29=OBJECTIFS!$B$20,OBJECTIFS!$I$22="taux de chute"),AND($D29=OBJECTIFS!$B$27,OBJECTIFS!$I$29="taux de chute"),AND($D29=OBJECTIFS!$B$34,OBJECTIFS!$I$36="taux de chute"),AND($D29=OBJECTIFS!$B$6,OBJECTIFS!I$8="tx mea"),AND($D29=OBJECTIFS!$B$13,OBJECTIFS!$I$15="tx mea"),AND($D29=OBJECTIFS!$B$20,OBJECTIFS!$I$22="tx mea"),AND($D29=OBJECTIFS!$B$27,OBJECTIFS!$I$29="tx mea"),AND($D29=OBJECTIFS!$B$34,OBJECTIFS!$I$36="tx mea")),IFERROR(AA29/Z29,""),IFERROR(Z29/AA29,""))</f>
        <v/>
      </c>
      <c r="AC29" s="155">
        <f>IFERROR(IF(OR(Z29="",AA29="",AB29=""),0,IF(AB29&lt;OBJECTIFS!$E$56,0,IF(AB29&lt;OBJECTIFS!$G$56,AC$8*OBJECTIFS!$F$60,IF(AB29&lt;OBJECTIFS!$I$56,AC$8*OBJECTIFS!$H$60,AC$8)))),0)</f>
        <v>0</v>
      </c>
      <c r="AD29" s="289"/>
      <c r="AE29" s="290"/>
      <c r="AF29" s="158">
        <f t="shared" ca="1" si="3"/>
        <v>0</v>
      </c>
      <c r="AG29" s="52"/>
      <c r="AH29" s="129"/>
      <c r="AI29" s="19"/>
      <c r="AJ29" s="19"/>
      <c r="AK29" s="19"/>
      <c r="AL29" s="19"/>
      <c r="AM29" s="63">
        <f t="shared" si="26"/>
        <v>0</v>
      </c>
      <c r="AN29" s="63">
        <f t="shared" si="8"/>
        <v>22</v>
      </c>
      <c r="AO29" s="64">
        <f t="shared" si="27"/>
        <v>0</v>
      </c>
      <c r="AP29" s="65" t="str">
        <f t="shared" ca="1" si="28"/>
        <v/>
      </c>
      <c r="AQ29" s="66"/>
      <c r="AR29" s="168">
        <f>IFERROR(VLOOKUP(B29,OBJECTIFS!$C$76:$E$137,2,FALSE),0)</f>
        <v>0</v>
      </c>
      <c r="AS29" s="173"/>
      <c r="AT29" s="170">
        <f>IFERROR(VLOOKUP(B29,OBJECTIFS!$H$76:$J$137,2,FALSE),0)</f>
        <v>0</v>
      </c>
      <c r="AU29" s="178">
        <f t="shared" si="6"/>
        <v>0</v>
      </c>
      <c r="AV29" s="173"/>
      <c r="AW29" s="74">
        <f>IFERROR(VLOOKUP(B29,OBJECTIFS!$C$142:$E$203,2,FALSE),0)</f>
        <v>0</v>
      </c>
      <c r="AX29" s="74">
        <f>IFERROR(VLOOKUP(B29,OBJECTIFS!$H$142:$J$203,2,FALSE),0)</f>
        <v>0</v>
      </c>
      <c r="AY29" s="174">
        <f>IFERROR(VLOOKUP(B29,OBJECTIFS!$F$208:$H$269,3,FALSE),0)</f>
        <v>0</v>
      </c>
      <c r="AZ29" s="66"/>
      <c r="BA29" s="75" t="str">
        <f t="shared" ca="1" si="7"/>
        <v/>
      </c>
      <c r="BB29" s="52"/>
      <c r="BC29" s="76">
        <f t="shared" ca="1" si="1"/>
        <v>0</v>
      </c>
      <c r="BD29" s="53" t="str">
        <f t="shared" ca="1" si="29"/>
        <v/>
      </c>
      <c r="BE29" s="77" t="str">
        <f t="shared" ca="1" si="9"/>
        <v/>
      </c>
    </row>
    <row r="30" spans="1:57" x14ac:dyDescent="0.2">
      <c r="A30" s="16"/>
      <c r="B30" s="17"/>
      <c r="C30" s="17"/>
      <c r="D30" s="18"/>
      <c r="E30" s="19"/>
      <c r="F30" s="27"/>
      <c r="H30" s="71" t="str">
        <f>IF(OR(D30="",F30="",A30=""),"",IF(E30="oui",0,IF(D30=OBJECTIFS!$C$45,VLOOKUP(F30,OBJECTIFS!$C$9:$D$11,2,FALSE),IF(D30=OBJECTIFS!$C$46,VLOOKUP(F30,OBJECTIFS!$C$16:$D$18,2,FALSE),IF(D30=OBJECTIFS!$C$47,VLOOKUP(F30,OBJECTIFS!$C$23:$D$25,2,FALSE),IF(D30=OBJECTIFS!$C$48,VLOOKUP(F30,OBJECTIFS!$C$30:$D$32,2,FALSE),IF(D30=OBJECTIFS!$C$49,VLOOKUP(F30,OBJECTIFS!$C$37:$D$39,2,FALSE))))))))</f>
        <v/>
      </c>
      <c r="J30" s="138"/>
      <c r="K30" s="141" t="str">
        <f>IF(OR($A30="",$D30="",J30=""),"",SUMIFS(OBJECTIFS!E$9:E$39,OBJECTIFS!$A$9:$A$39,$D30,OBJECTIFS!$C$9:$C$39,$F30))</f>
        <v/>
      </c>
      <c r="L30" s="72" t="str">
        <f>IF(OR(AND($D30=OBJECTIFS!$B$6,OBJECTIFS!E$8="dmt"),AND($D30=OBJECTIFS!$B$13,OBJECTIFS!$E$15="dmt"),AND($D30=OBJECTIFS!$B$20,OBJECTIFS!$E$22="dmt"),AND($D30=OBJECTIFS!$B$27,OBJECTIFS!$E$29="dmt"),AND($D30=OBJECTIFS!$B$34,OBJECTIFS!$E$36="dmt"),AND($D30=OBJECTIFS!$B$6,OBJECTIFS!$E$8="taux de chute"),AND($D30=OBJECTIFS!$B$13,OBJECTIFS!$E$15="taux de chute"),AND($D30=OBJECTIFS!$B$20,OBJECTIFS!$E$22="taux de chute"),AND($D30=OBJECTIFS!$B$27,OBJECTIFS!$E$29="taux de chute"),AND($D30=OBJECTIFS!$B$34,OBJECTIFS!$E$36="taux de chute"),AND($D30=OBJECTIFS!$B$6,OBJECTIFS!E$8="tx mea"),AND($D30=OBJECTIFS!$B$13,OBJECTIFS!$E$15="tx mea"),AND($D30=OBJECTIFS!$B$20,OBJECTIFS!$E$22="tx mea"),AND($D30=OBJECTIFS!$B$27,OBJECTIFS!$E$29="tx mea"),AND($D30=OBJECTIFS!$B$34,OBJECTIFS!$E$36="tx mea")),IFERROR(K30/J30,""),IFERROR(J30/K30,""))</f>
        <v/>
      </c>
      <c r="M30" s="149">
        <f>IFERROR(IF(OR(J30="",K30="",L30=""),0,IF(L30&lt;OBJECTIFS!$E$56,0,IF(L30&lt;OBJECTIFS!$G$56,M$8*OBJECTIFS!$F$60,IF(L30&lt;OBJECTIFS!$I$56,M$8*OBJECTIFS!$H$60,M$8)))),0)</f>
        <v>0</v>
      </c>
      <c r="N30" s="144"/>
      <c r="O30" s="145" t="str">
        <f>IF(OR($A30="",$D30="",N30=""),"",SUMIFS(OBJECTIFS!F$9:F$39,OBJECTIFS!$A$9:$A$39,$D30,OBJECTIFS!$C$9:$C$39,$F30))</f>
        <v/>
      </c>
      <c r="P30" s="72" t="str">
        <f>IF(OR(AND($D30=OBJECTIFS!$B$6,OBJECTIFS!$F$8="dmt"),AND($D30=OBJECTIFS!$B$13,OBJECTIFS!$F$15="dmt"),AND($D30=OBJECTIFS!$B$20,OBJECTIFS!$F$22="dmt"),AND($D30=OBJECTIFS!$B$27,OBJECTIFS!$F$29="dmt"),AND($D30=OBJECTIFS!$B$34,OBJECTIFS!$F$36="dmt"),AND($D30=OBJECTIFS!$B$6,OBJECTIFS!$F$8="taux de chute"),AND($D30=OBJECTIFS!$B$13,OBJECTIFS!$F$15="taux de chute"),AND($D30=OBJECTIFS!$B$20,OBJECTIFS!$F$22="taux de chute"),AND($D30=OBJECTIFS!$B$27,OBJECTIFS!$F$29="taux de chute"),AND($D30=OBJECTIFS!$B$34,OBJECTIFS!$F$36="taux de chute"),AND($D30=OBJECTIFS!$B$6,OBJECTIFS!$F$8="tx mea"),AND($D30=OBJECTIFS!$B$13,OBJECTIFS!$F$15="tx mea"),AND($D30=OBJECTIFS!$B$20,OBJECTIFS!$F$22="tx mea"),AND($D30=OBJECTIFS!$B$27,OBJECTIFS!$F$29="tx mea"),AND($D30=OBJECTIFS!$B$34,OBJECTIFS!$F$36="tx mea")),IFERROR(O30/N30,""),IFERROR(N30/O30,""))</f>
        <v/>
      </c>
      <c r="Q30" s="149">
        <f>IFERROR(IF(OR(N30="",O30="",P30=""),0,IF(P30&lt;OBJECTIFS!$E$56,0,IF(P30&lt;OBJECTIFS!$G$56,Q$8*OBJECTIFS!$F$60,IF(P30&lt;OBJECTIFS!$I$56,Q$8*OBJECTIFS!$H$60,Q$8)))),0)</f>
        <v>0</v>
      </c>
      <c r="R30" s="121"/>
      <c r="S30" s="73" t="str">
        <f>IF(OR($A30="",$D30="",R30=""),"",SUMIFS(OBJECTIFS!G$9:G$39,OBJECTIFS!$A$9:$A$39,$D30,OBJECTIFS!$C$9:$C$39,$F30))</f>
        <v/>
      </c>
      <c r="T30" s="72" t="str">
        <f>IF(OR(AND($D30=OBJECTIFS!$B$6,OBJECTIFS!G$8="dmt"),AND($D30=OBJECTIFS!$B$13,OBJECTIFS!$G$15="dmt"),AND($D30=OBJECTIFS!$B$20,OBJECTIFS!$G$22="dmt"),AND($D30=OBJECTIFS!$B$27,OBJECTIFS!$G$29="dmt"),AND($D30=OBJECTIFS!$B$34,OBJECTIFS!$G$36="dmt"),AND($D30=OBJECTIFS!$B$6,OBJECTIFS!$G$8="taux de chute"),AND($D30=OBJECTIFS!$B$13,OBJECTIFS!$G$15="taux de chute"),AND($D30=OBJECTIFS!$B$20,OBJECTIFS!$G$22="taux de chute"),AND($D30=OBJECTIFS!$B$27,OBJECTIFS!$G$29="taux de chute"),AND($D30=OBJECTIFS!$B$34,OBJECTIFS!$G$36="taux de chute",AND($D30=OBJECTIFS!$B$6,OBJECTIFS!G$8="tx mea"),AND($D30=OBJECTIFS!$B$13,OBJECTIFS!$G$15="tx mea"),AND($D30=OBJECTIFS!$B$20,OBJECTIFS!$G$22="tx mea"),AND($D30=OBJECTIFS!$B$27,OBJECTIFS!$G$29="tx mea"),AND($D30=OBJECTIFS!$B$34,OBJECTIFS!$G$36="tx mea"))),IFERROR(S30/R30,""),IFERROR(R30/S30,""))</f>
        <v/>
      </c>
      <c r="U30" s="152">
        <f>IFERROR(IF(OR(R30="",S30="",T30=""),0,IF(T30&lt;OBJECTIFS!$E$56,0,IF(T30&lt;OBJECTIFS!$G$56,U$8*OBJECTIFS!$F$60,IF(T30&lt;OBJECTIFS!$I$56,U$8*OBJECTIFS!$H$60,U$8)))),0)</f>
        <v>0</v>
      </c>
      <c r="V30" s="20"/>
      <c r="W30" s="72" t="str">
        <f>IF(OR($A30="",$D30="",V30=""),"",SUMIFS(OBJECTIFS!H$9:H$39,OBJECTIFS!$A$9:$A$39,$D30,OBJECTIFS!$C$9:$C$39,$F30))</f>
        <v/>
      </c>
      <c r="X30" s="72" t="str">
        <f>IF(OR(AND($D30=OBJECTIFS!$B$6,OBJECTIFS!H$8="dmt"),AND($D30=OBJECTIFS!$B$13,OBJECTIFS!$H$15="dmt"),AND($D30=OBJECTIFS!$B$20,OBJECTIFS!$H$22="dmt"),AND($D30=OBJECTIFS!$B$27,OBJECTIFS!$H$29="dmt"),AND($D30=OBJECTIFS!$B$34,OBJECTIFS!$H$36="dmt"),AND($D30=OBJECTIFS!$B$6,OBJECTIFS!$H$8="taux de chute"),AND($D30=OBJECTIFS!$B$13,OBJECTIFS!$H$15="taux de chute"),AND($D30=OBJECTIFS!$B$20,OBJECTIFS!$H$22="taux de chute"),AND($D30=OBJECTIFS!$B$27,OBJECTIFS!$H$29="taux de chute"),AND($D30=OBJECTIFS!$B$34,OBJECTIFS!$H$36="taux de chute"),AND($D30=OBJECTIFS!$B$6,OBJECTIFS!H$8="tx mea"),AND($D30=OBJECTIFS!$B$13,OBJECTIFS!$H$15="tx mea"),AND($D30=OBJECTIFS!$B$20,OBJECTIFS!$H$22="tx mea"),AND($D30=OBJECTIFS!$B$27,OBJECTIFS!$H$29="tx mea"),AND($D30=OBJECTIFS!$B$34,OBJECTIFS!$H$36="tx mea")),IFERROR(W30/V30,""),IFERROR(V30/W30,""))</f>
        <v/>
      </c>
      <c r="Y30" s="149">
        <f>IFERROR(IF(OR(V30="",W30="",X30=""),0,IF(X30&lt;OBJECTIFS!$E$56,0,IF(X30&lt;OBJECTIFS!$G$56,Y$8*OBJECTIFS!$F$60,IF(X30&lt;OBJECTIFS!$I$56,Y$8*OBJECTIFS!$H$60,Y$8)))),0)</f>
        <v>0</v>
      </c>
      <c r="Z30" s="124"/>
      <c r="AA30" s="72" t="str">
        <f>IF(OR($A30="",$D30="",Z30=""),"",SUMIFS(OBJECTIFS!I$9:I$39,OBJECTIFS!$A$9:$A$39,$D30,OBJECTIFS!$C$9:$C$39,$F30))</f>
        <v/>
      </c>
      <c r="AB30" s="72" t="str">
        <f>IF(OR(AND($D30=OBJECTIFS!$B$6,OBJECTIFS!I$8="dmt"),AND($D30=OBJECTIFS!$B$13,OBJECTIFS!$I$15="dmt"),AND($D30=OBJECTIFS!$B$20,OBJECTIFS!$I$22="dmt"),AND($D30=OBJECTIFS!$B$27,OBJECTIFS!$I$29="dmt"),AND($D30=OBJECTIFS!$B$34,OBJECTIFS!$I$36="dmt"),AND($D30=OBJECTIFS!$B$6,OBJECTIFS!$I$8="taux de chute"),AND($D30=OBJECTIFS!$B$13,OBJECTIFS!$I$15="taux de chute"),AND($D30=OBJECTIFS!$B$20,OBJECTIFS!$I$22="taux de chute"),AND($D30=OBJECTIFS!$B$27,OBJECTIFS!$I$29="taux de chute"),AND($D30=OBJECTIFS!$B$34,OBJECTIFS!$I$36="taux de chute"),AND($D30=OBJECTIFS!$B$6,OBJECTIFS!I$8="tx mea"),AND($D30=OBJECTIFS!$B$13,OBJECTIFS!$I$15="tx mea"),AND($D30=OBJECTIFS!$B$20,OBJECTIFS!$I$22="tx mea"),AND($D30=OBJECTIFS!$B$27,OBJECTIFS!$I$29="tx mea"),AND($D30=OBJECTIFS!$B$34,OBJECTIFS!$I$36="tx mea")),IFERROR(AA30/Z30,""),IFERROR(Z30/AA30,""))</f>
        <v/>
      </c>
      <c r="AC30" s="155">
        <f>IFERROR(IF(OR(Z30="",AA30="",AB30=""),0,IF(AB30&lt;OBJECTIFS!$E$56,0,IF(AB30&lt;OBJECTIFS!$G$56,AC$8*OBJECTIFS!$F$60,IF(AB30&lt;OBJECTIFS!$I$56,AC$8*OBJECTIFS!$H$60,AC$8)))),0)</f>
        <v>0</v>
      </c>
      <c r="AD30" s="289"/>
      <c r="AE30" s="290"/>
      <c r="AF30" s="158">
        <f t="shared" ca="1" si="3"/>
        <v>0</v>
      </c>
      <c r="AG30" s="52"/>
      <c r="AH30" s="129"/>
      <c r="AI30" s="19"/>
      <c r="AJ30" s="19"/>
      <c r="AK30" s="19"/>
      <c r="AL30" s="19"/>
      <c r="AM30" s="63">
        <f t="shared" si="26"/>
        <v>0</v>
      </c>
      <c r="AN30" s="63">
        <f t="shared" si="8"/>
        <v>22</v>
      </c>
      <c r="AO30" s="64">
        <f t="shared" si="27"/>
        <v>0</v>
      </c>
      <c r="AP30" s="65" t="str">
        <f t="shared" ca="1" si="28"/>
        <v/>
      </c>
      <c r="AQ30" s="66"/>
      <c r="AR30" s="168">
        <f>IFERROR(VLOOKUP(B30,OBJECTIFS!$C$76:$E$137,2,FALSE),0)</f>
        <v>0</v>
      </c>
      <c r="AS30" s="173"/>
      <c r="AT30" s="170">
        <f>IFERROR(VLOOKUP(B30,OBJECTIFS!$H$76:$J$137,2,FALSE),0)</f>
        <v>0</v>
      </c>
      <c r="AU30" s="178">
        <f t="shared" si="6"/>
        <v>0</v>
      </c>
      <c r="AV30" s="173"/>
      <c r="AW30" s="74">
        <f>IFERROR(VLOOKUP(B30,OBJECTIFS!$C$142:$E$203,2,FALSE),0)</f>
        <v>0</v>
      </c>
      <c r="AX30" s="74">
        <f>IFERROR(VLOOKUP(B30,OBJECTIFS!$H$142:$J$203,2,FALSE),0)</f>
        <v>0</v>
      </c>
      <c r="AY30" s="174">
        <f>IFERROR(VLOOKUP(B30,OBJECTIFS!$F$208:$H$269,3,FALSE),0)</f>
        <v>0</v>
      </c>
      <c r="AZ30" s="66"/>
      <c r="BA30" s="75" t="str">
        <f t="shared" ca="1" si="7"/>
        <v/>
      </c>
      <c r="BB30" s="52"/>
      <c r="BC30" s="76">
        <f t="shared" ca="1" si="1"/>
        <v>0</v>
      </c>
      <c r="BD30" s="53" t="str">
        <f t="shared" ca="1" si="29"/>
        <v/>
      </c>
      <c r="BE30" s="77" t="str">
        <f t="shared" ca="1" si="9"/>
        <v/>
      </c>
    </row>
    <row r="31" spans="1:57" x14ac:dyDescent="0.2">
      <c r="A31" s="16"/>
      <c r="B31" s="17"/>
      <c r="C31" s="17"/>
      <c r="D31" s="18"/>
      <c r="E31" s="19"/>
      <c r="F31" s="27"/>
      <c r="H31" s="71" t="str">
        <f>IF(OR(D31="",F31="",A31=""),"",IF(E31="oui",0,IF(D31=OBJECTIFS!$C$45,VLOOKUP(F31,OBJECTIFS!$C$9:$D$11,2,FALSE),IF(D31=OBJECTIFS!$C$46,VLOOKUP(F31,OBJECTIFS!$C$16:$D$18,2,FALSE),IF(D31=OBJECTIFS!$C$47,VLOOKUP(F31,OBJECTIFS!$C$23:$D$25,2,FALSE),IF(D31=OBJECTIFS!$C$48,VLOOKUP(F31,OBJECTIFS!$C$30:$D$32,2,FALSE),IF(D31=OBJECTIFS!$C$49,VLOOKUP(F31,OBJECTIFS!$C$37:$D$39,2,FALSE))))))))</f>
        <v/>
      </c>
      <c r="J31" s="138"/>
      <c r="K31" s="141" t="str">
        <f>IF(OR($A31="",$D31="",J31=""),"",SUMIFS(OBJECTIFS!E$9:E$39,OBJECTIFS!$A$9:$A$39,$D31,OBJECTIFS!$C$9:$C$39,$F31))</f>
        <v/>
      </c>
      <c r="L31" s="72" t="str">
        <f>IF(OR(AND($D31=OBJECTIFS!$B$6,OBJECTIFS!E$8="dmt"),AND($D31=OBJECTIFS!$B$13,OBJECTIFS!$E$15="dmt"),AND($D31=OBJECTIFS!$B$20,OBJECTIFS!$E$22="dmt"),AND($D31=OBJECTIFS!$B$27,OBJECTIFS!$E$29="dmt"),AND($D31=OBJECTIFS!$B$34,OBJECTIFS!$E$36="dmt"),AND($D31=OBJECTIFS!$B$6,OBJECTIFS!$E$8="taux de chute"),AND($D31=OBJECTIFS!$B$13,OBJECTIFS!$E$15="taux de chute"),AND($D31=OBJECTIFS!$B$20,OBJECTIFS!$E$22="taux de chute"),AND($D31=OBJECTIFS!$B$27,OBJECTIFS!$E$29="taux de chute"),AND($D31=OBJECTIFS!$B$34,OBJECTIFS!$E$36="taux de chute"),AND($D31=OBJECTIFS!$B$6,OBJECTIFS!E$8="tx mea"),AND($D31=OBJECTIFS!$B$13,OBJECTIFS!$E$15="tx mea"),AND($D31=OBJECTIFS!$B$20,OBJECTIFS!$E$22="tx mea"),AND($D31=OBJECTIFS!$B$27,OBJECTIFS!$E$29="tx mea"),AND($D31=OBJECTIFS!$B$34,OBJECTIFS!$E$36="tx mea")),IFERROR(K31/J31,""),IFERROR(J31/K31,""))</f>
        <v/>
      </c>
      <c r="M31" s="149">
        <f>IFERROR(IF(OR(J31="",K31="",L31=""),0,IF(L31&lt;OBJECTIFS!$E$56,0,IF(L31&lt;OBJECTIFS!$G$56,M$8*OBJECTIFS!$F$60,IF(L31&lt;OBJECTIFS!$I$56,M$8*OBJECTIFS!$H$60,M$8)))),0)</f>
        <v>0</v>
      </c>
      <c r="N31" s="144"/>
      <c r="O31" s="145" t="str">
        <f>IF(OR($A31="",$D31="",N31=""),"",SUMIFS(OBJECTIFS!F$9:F$39,OBJECTIFS!$A$9:$A$39,$D31,OBJECTIFS!$C$9:$C$39,$F31))</f>
        <v/>
      </c>
      <c r="P31" s="72" t="str">
        <f>IF(OR(AND($D31=OBJECTIFS!$B$6,OBJECTIFS!$F$8="dmt"),AND($D31=OBJECTIFS!$B$13,OBJECTIFS!$F$15="dmt"),AND($D31=OBJECTIFS!$B$20,OBJECTIFS!$F$22="dmt"),AND($D31=OBJECTIFS!$B$27,OBJECTIFS!$F$29="dmt"),AND($D31=OBJECTIFS!$B$34,OBJECTIFS!$F$36="dmt"),AND($D31=OBJECTIFS!$B$6,OBJECTIFS!$F$8="taux de chute"),AND($D31=OBJECTIFS!$B$13,OBJECTIFS!$F$15="taux de chute"),AND($D31=OBJECTIFS!$B$20,OBJECTIFS!$F$22="taux de chute"),AND($D31=OBJECTIFS!$B$27,OBJECTIFS!$F$29="taux de chute"),AND($D31=OBJECTIFS!$B$34,OBJECTIFS!$F$36="taux de chute"),AND($D31=OBJECTIFS!$B$6,OBJECTIFS!$F$8="tx mea"),AND($D31=OBJECTIFS!$B$13,OBJECTIFS!$F$15="tx mea"),AND($D31=OBJECTIFS!$B$20,OBJECTIFS!$F$22="tx mea"),AND($D31=OBJECTIFS!$B$27,OBJECTIFS!$F$29="tx mea"),AND($D31=OBJECTIFS!$B$34,OBJECTIFS!$F$36="tx mea")),IFERROR(O31/N31,""),IFERROR(N31/O31,""))</f>
        <v/>
      </c>
      <c r="Q31" s="149">
        <f>IFERROR(IF(OR(N31="",O31="",P31=""),0,IF(P31&lt;OBJECTIFS!$E$56,0,IF(P31&lt;OBJECTIFS!$G$56,Q$8*OBJECTIFS!$F$60,IF(P31&lt;OBJECTIFS!$I$56,Q$8*OBJECTIFS!$H$60,Q$8)))),0)</f>
        <v>0</v>
      </c>
      <c r="R31" s="121"/>
      <c r="S31" s="73" t="str">
        <f>IF(OR($A31="",$D31="",R31=""),"",SUMIFS(OBJECTIFS!G$9:G$39,OBJECTIFS!$A$9:$A$39,$D31,OBJECTIFS!$C$9:$C$39,$F31))</f>
        <v/>
      </c>
      <c r="T31" s="72" t="str">
        <f>IF(OR(AND($D31=OBJECTIFS!$B$6,OBJECTIFS!G$8="dmt"),AND($D31=OBJECTIFS!$B$13,OBJECTIFS!$G$15="dmt"),AND($D31=OBJECTIFS!$B$20,OBJECTIFS!$G$22="dmt"),AND($D31=OBJECTIFS!$B$27,OBJECTIFS!$G$29="dmt"),AND($D31=OBJECTIFS!$B$34,OBJECTIFS!$G$36="dmt"),AND($D31=OBJECTIFS!$B$6,OBJECTIFS!$G$8="taux de chute"),AND($D31=OBJECTIFS!$B$13,OBJECTIFS!$G$15="taux de chute"),AND($D31=OBJECTIFS!$B$20,OBJECTIFS!$G$22="taux de chute"),AND($D31=OBJECTIFS!$B$27,OBJECTIFS!$G$29="taux de chute"),AND($D31=OBJECTIFS!$B$34,OBJECTIFS!$G$36="taux de chute",AND($D31=OBJECTIFS!$B$6,OBJECTIFS!G$8="tx mea"),AND($D31=OBJECTIFS!$B$13,OBJECTIFS!$G$15="tx mea"),AND($D31=OBJECTIFS!$B$20,OBJECTIFS!$G$22="tx mea"),AND($D31=OBJECTIFS!$B$27,OBJECTIFS!$G$29="tx mea"),AND($D31=OBJECTIFS!$B$34,OBJECTIFS!$G$36="tx mea"))),IFERROR(S31/R31,""),IFERROR(R31/S31,""))</f>
        <v/>
      </c>
      <c r="U31" s="152">
        <f>IFERROR(IF(OR(R31="",S31="",T31=""),0,IF(T31&lt;OBJECTIFS!$E$56,0,IF(T31&lt;OBJECTIFS!$G$56,U$8*OBJECTIFS!$F$60,IF(T31&lt;OBJECTIFS!$I$56,U$8*OBJECTIFS!$H$60,U$8)))),0)</f>
        <v>0</v>
      </c>
      <c r="V31" s="20"/>
      <c r="W31" s="72" t="str">
        <f>IF(OR($A31="",$D31="",V31=""),"",SUMIFS(OBJECTIFS!H$9:H$39,OBJECTIFS!$A$9:$A$39,$D31,OBJECTIFS!$C$9:$C$39,$F31))</f>
        <v/>
      </c>
      <c r="X31" s="72" t="str">
        <f>IF(OR(AND($D31=OBJECTIFS!$B$6,OBJECTIFS!H$8="dmt"),AND($D31=OBJECTIFS!$B$13,OBJECTIFS!$H$15="dmt"),AND($D31=OBJECTIFS!$B$20,OBJECTIFS!$H$22="dmt"),AND($D31=OBJECTIFS!$B$27,OBJECTIFS!$H$29="dmt"),AND($D31=OBJECTIFS!$B$34,OBJECTIFS!$H$36="dmt"),AND($D31=OBJECTIFS!$B$6,OBJECTIFS!$H$8="taux de chute"),AND($D31=OBJECTIFS!$B$13,OBJECTIFS!$H$15="taux de chute"),AND($D31=OBJECTIFS!$B$20,OBJECTIFS!$H$22="taux de chute"),AND($D31=OBJECTIFS!$B$27,OBJECTIFS!$H$29="taux de chute"),AND($D31=OBJECTIFS!$B$34,OBJECTIFS!$H$36="taux de chute"),AND($D31=OBJECTIFS!$B$6,OBJECTIFS!H$8="tx mea"),AND($D31=OBJECTIFS!$B$13,OBJECTIFS!$H$15="tx mea"),AND($D31=OBJECTIFS!$B$20,OBJECTIFS!$H$22="tx mea"),AND($D31=OBJECTIFS!$B$27,OBJECTIFS!$H$29="tx mea"),AND($D31=OBJECTIFS!$B$34,OBJECTIFS!$H$36="tx mea")),IFERROR(W31/V31,""),IFERROR(V31/W31,""))</f>
        <v/>
      </c>
      <c r="Y31" s="149">
        <f>IFERROR(IF(OR(V31="",W31="",X31=""),0,IF(X31&lt;OBJECTIFS!$E$56,0,IF(X31&lt;OBJECTIFS!$G$56,Y$8*OBJECTIFS!$F$60,IF(X31&lt;OBJECTIFS!$I$56,Y$8*OBJECTIFS!$H$60,Y$8)))),0)</f>
        <v>0</v>
      </c>
      <c r="Z31" s="124"/>
      <c r="AA31" s="72" t="str">
        <f>IF(OR($A31="",$D31="",Z31=""),"",SUMIFS(OBJECTIFS!I$9:I$39,OBJECTIFS!$A$9:$A$39,$D31,OBJECTIFS!$C$9:$C$39,$F31))</f>
        <v/>
      </c>
      <c r="AB31" s="72" t="str">
        <f>IF(OR(AND($D31=OBJECTIFS!$B$6,OBJECTIFS!I$8="dmt"),AND($D31=OBJECTIFS!$B$13,OBJECTIFS!$I$15="dmt"),AND($D31=OBJECTIFS!$B$20,OBJECTIFS!$I$22="dmt"),AND($D31=OBJECTIFS!$B$27,OBJECTIFS!$I$29="dmt"),AND($D31=OBJECTIFS!$B$34,OBJECTIFS!$I$36="dmt"),AND($D31=OBJECTIFS!$B$6,OBJECTIFS!$I$8="taux de chute"),AND($D31=OBJECTIFS!$B$13,OBJECTIFS!$I$15="taux de chute"),AND($D31=OBJECTIFS!$B$20,OBJECTIFS!$I$22="taux de chute"),AND($D31=OBJECTIFS!$B$27,OBJECTIFS!$I$29="taux de chute"),AND($D31=OBJECTIFS!$B$34,OBJECTIFS!$I$36="taux de chute"),AND($D31=OBJECTIFS!$B$6,OBJECTIFS!I$8="tx mea"),AND($D31=OBJECTIFS!$B$13,OBJECTIFS!$I$15="tx mea"),AND($D31=OBJECTIFS!$B$20,OBJECTIFS!$I$22="tx mea"),AND($D31=OBJECTIFS!$B$27,OBJECTIFS!$I$29="tx mea"),AND($D31=OBJECTIFS!$B$34,OBJECTIFS!$I$36="tx mea")),IFERROR(AA31/Z31,""),IFERROR(Z31/AA31,""))</f>
        <v/>
      </c>
      <c r="AC31" s="155">
        <f>IFERROR(IF(OR(Z31="",AA31="",AB31=""),0,IF(AB31&lt;OBJECTIFS!$E$56,0,IF(AB31&lt;OBJECTIFS!$G$56,AC$8*OBJECTIFS!$F$60,IF(AB31&lt;OBJECTIFS!$I$56,AC$8*OBJECTIFS!$H$60,AC$8)))),0)</f>
        <v>0</v>
      </c>
      <c r="AD31" s="289"/>
      <c r="AE31" s="290"/>
      <c r="AF31" s="158">
        <f t="shared" ca="1" si="3"/>
        <v>0</v>
      </c>
      <c r="AG31" s="52"/>
      <c r="AH31" s="129"/>
      <c r="AI31" s="19"/>
      <c r="AJ31" s="19"/>
      <c r="AK31" s="19"/>
      <c r="AL31" s="19"/>
      <c r="AM31" s="63">
        <f t="shared" si="26"/>
        <v>0</v>
      </c>
      <c r="AN31" s="63">
        <f t="shared" si="8"/>
        <v>22</v>
      </c>
      <c r="AO31" s="64">
        <f t="shared" si="27"/>
        <v>0</v>
      </c>
      <c r="AP31" s="65" t="str">
        <f t="shared" ca="1" si="28"/>
        <v/>
      </c>
      <c r="AQ31" s="66"/>
      <c r="AR31" s="168">
        <f>IFERROR(VLOOKUP(B31,OBJECTIFS!$C$76:$E$137,2,FALSE),0)</f>
        <v>0</v>
      </c>
      <c r="AS31" s="173"/>
      <c r="AT31" s="170">
        <f>IFERROR(VLOOKUP(B31,OBJECTIFS!$H$76:$J$137,2,FALSE),0)</f>
        <v>0</v>
      </c>
      <c r="AU31" s="178">
        <f t="shared" si="6"/>
        <v>0</v>
      </c>
      <c r="AV31" s="173"/>
      <c r="AW31" s="74">
        <f>IFERROR(VLOOKUP(B31,OBJECTIFS!$C$142:$E$203,2,FALSE),0)</f>
        <v>0</v>
      </c>
      <c r="AX31" s="74">
        <f>IFERROR(VLOOKUP(B31,OBJECTIFS!$H$142:$J$203,2,FALSE),0)</f>
        <v>0</v>
      </c>
      <c r="AY31" s="174">
        <f>IFERROR(VLOOKUP(B31,OBJECTIFS!$F$208:$H$269,3,FALSE),0)</f>
        <v>0</v>
      </c>
      <c r="AZ31" s="66"/>
      <c r="BA31" s="75" t="str">
        <f t="shared" ca="1" si="7"/>
        <v/>
      </c>
      <c r="BB31" s="52"/>
      <c r="BC31" s="76">
        <f t="shared" ca="1" si="1"/>
        <v>0</v>
      </c>
      <c r="BD31" s="53" t="str">
        <f t="shared" ca="1" si="29"/>
        <v/>
      </c>
      <c r="BE31" s="77" t="str">
        <f t="shared" ca="1" si="9"/>
        <v/>
      </c>
    </row>
    <row r="32" spans="1:57" x14ac:dyDescent="0.2">
      <c r="A32" s="16"/>
      <c r="B32" s="17"/>
      <c r="C32" s="17"/>
      <c r="D32" s="18"/>
      <c r="E32" s="19"/>
      <c r="F32" s="27"/>
      <c r="H32" s="71" t="str">
        <f>IF(OR(D32="",F32="",A32=""),"",IF(E32="oui",0,IF(D32=OBJECTIFS!$C$45,VLOOKUP(F32,OBJECTIFS!$C$9:$D$11,2,FALSE),IF(D32=OBJECTIFS!$C$46,VLOOKUP(F32,OBJECTIFS!$C$16:$D$18,2,FALSE),IF(D32=OBJECTIFS!$C$47,VLOOKUP(F32,OBJECTIFS!$C$23:$D$25,2,FALSE),IF(D32=OBJECTIFS!$C$48,VLOOKUP(F32,OBJECTIFS!$C$30:$D$32,2,FALSE),IF(D32=OBJECTIFS!$C$49,VLOOKUP(F32,OBJECTIFS!$C$37:$D$39,2,FALSE))))))))</f>
        <v/>
      </c>
      <c r="J32" s="138"/>
      <c r="K32" s="141" t="str">
        <f>IF(OR($A32="",$D32="",J32=""),"",SUMIFS(OBJECTIFS!E$9:E$39,OBJECTIFS!$A$9:$A$39,$D32,OBJECTIFS!$C$9:$C$39,$F32))</f>
        <v/>
      </c>
      <c r="L32" s="72" t="str">
        <f>IF(OR(AND($D32=OBJECTIFS!$B$6,OBJECTIFS!E$8="dmt"),AND($D32=OBJECTIFS!$B$13,OBJECTIFS!$E$15="dmt"),AND($D32=OBJECTIFS!$B$20,OBJECTIFS!$E$22="dmt"),AND($D32=OBJECTIFS!$B$27,OBJECTIFS!$E$29="dmt"),AND($D32=OBJECTIFS!$B$34,OBJECTIFS!$E$36="dmt"),AND($D32=OBJECTIFS!$B$6,OBJECTIFS!$E$8="taux de chute"),AND($D32=OBJECTIFS!$B$13,OBJECTIFS!$E$15="taux de chute"),AND($D32=OBJECTIFS!$B$20,OBJECTIFS!$E$22="taux de chute"),AND($D32=OBJECTIFS!$B$27,OBJECTIFS!$E$29="taux de chute"),AND($D32=OBJECTIFS!$B$34,OBJECTIFS!$E$36="taux de chute"),AND($D32=OBJECTIFS!$B$6,OBJECTIFS!E$8="tx mea"),AND($D32=OBJECTIFS!$B$13,OBJECTIFS!$E$15="tx mea"),AND($D32=OBJECTIFS!$B$20,OBJECTIFS!$E$22="tx mea"),AND($D32=OBJECTIFS!$B$27,OBJECTIFS!$E$29="tx mea"),AND($D32=OBJECTIFS!$B$34,OBJECTIFS!$E$36="tx mea")),IFERROR(K32/J32,""),IFERROR(J32/K32,""))</f>
        <v/>
      </c>
      <c r="M32" s="149">
        <f>IFERROR(IF(OR(J32="",K32="",L32=""),0,IF(L32&lt;OBJECTIFS!$E$56,0,IF(L32&lt;OBJECTIFS!$G$56,M$8*OBJECTIFS!$F$60,IF(L32&lt;OBJECTIFS!$I$56,M$8*OBJECTIFS!$H$60,M$8)))),0)</f>
        <v>0</v>
      </c>
      <c r="N32" s="144"/>
      <c r="O32" s="145" t="str">
        <f>IF(OR($A32="",$D32="",N32=""),"",SUMIFS(OBJECTIFS!F$9:F$39,OBJECTIFS!$A$9:$A$39,$D32,OBJECTIFS!$C$9:$C$39,$F32))</f>
        <v/>
      </c>
      <c r="P32" s="72" t="str">
        <f>IF(OR(AND($D32=OBJECTIFS!$B$6,OBJECTIFS!$F$8="dmt"),AND($D32=OBJECTIFS!$B$13,OBJECTIFS!$F$15="dmt"),AND($D32=OBJECTIFS!$B$20,OBJECTIFS!$F$22="dmt"),AND($D32=OBJECTIFS!$B$27,OBJECTIFS!$F$29="dmt"),AND($D32=OBJECTIFS!$B$34,OBJECTIFS!$F$36="dmt"),AND($D32=OBJECTIFS!$B$6,OBJECTIFS!$F$8="taux de chute"),AND($D32=OBJECTIFS!$B$13,OBJECTIFS!$F$15="taux de chute"),AND($D32=OBJECTIFS!$B$20,OBJECTIFS!$F$22="taux de chute"),AND($D32=OBJECTIFS!$B$27,OBJECTIFS!$F$29="taux de chute"),AND($D32=OBJECTIFS!$B$34,OBJECTIFS!$F$36="taux de chute"),AND($D32=OBJECTIFS!$B$6,OBJECTIFS!$F$8="tx mea"),AND($D32=OBJECTIFS!$B$13,OBJECTIFS!$F$15="tx mea"),AND($D32=OBJECTIFS!$B$20,OBJECTIFS!$F$22="tx mea"),AND($D32=OBJECTIFS!$B$27,OBJECTIFS!$F$29="tx mea"),AND($D32=OBJECTIFS!$B$34,OBJECTIFS!$F$36="tx mea")),IFERROR(O32/N32,""),IFERROR(N32/O32,""))</f>
        <v/>
      </c>
      <c r="Q32" s="149">
        <f>IFERROR(IF(OR(N32="",O32="",P32=""),0,IF(P32&lt;OBJECTIFS!$E$56,0,IF(P32&lt;OBJECTIFS!$G$56,Q$8*OBJECTIFS!$F$60,IF(P32&lt;OBJECTIFS!$I$56,Q$8*OBJECTIFS!$H$60,Q$8)))),0)</f>
        <v>0</v>
      </c>
      <c r="R32" s="121"/>
      <c r="S32" s="73" t="str">
        <f>IF(OR($A32="",$D32="",R32=""),"",SUMIFS(OBJECTIFS!G$9:G$39,OBJECTIFS!$A$9:$A$39,$D32,OBJECTIFS!$C$9:$C$39,$F32))</f>
        <v/>
      </c>
      <c r="T32" s="72" t="str">
        <f>IF(OR(AND($D32=OBJECTIFS!$B$6,OBJECTIFS!G$8="dmt"),AND($D32=OBJECTIFS!$B$13,OBJECTIFS!$G$15="dmt"),AND($D32=OBJECTIFS!$B$20,OBJECTIFS!$G$22="dmt"),AND($D32=OBJECTIFS!$B$27,OBJECTIFS!$G$29="dmt"),AND($D32=OBJECTIFS!$B$34,OBJECTIFS!$G$36="dmt"),AND($D32=OBJECTIFS!$B$6,OBJECTIFS!$G$8="taux de chute"),AND($D32=OBJECTIFS!$B$13,OBJECTIFS!$G$15="taux de chute"),AND($D32=OBJECTIFS!$B$20,OBJECTIFS!$G$22="taux de chute"),AND($D32=OBJECTIFS!$B$27,OBJECTIFS!$G$29="taux de chute"),AND($D32=OBJECTIFS!$B$34,OBJECTIFS!$G$36="taux de chute",AND($D32=OBJECTIFS!$B$6,OBJECTIFS!G$8="tx mea"),AND($D32=OBJECTIFS!$B$13,OBJECTIFS!$G$15="tx mea"),AND($D32=OBJECTIFS!$B$20,OBJECTIFS!$G$22="tx mea"),AND($D32=OBJECTIFS!$B$27,OBJECTIFS!$G$29="tx mea"),AND($D32=OBJECTIFS!$B$34,OBJECTIFS!$G$36="tx mea"))),IFERROR(S32/R32,""),IFERROR(R32/S32,""))</f>
        <v/>
      </c>
      <c r="U32" s="152">
        <f>IFERROR(IF(OR(R32="",S32="",T32=""),0,IF(T32&lt;OBJECTIFS!$E$56,0,IF(T32&lt;OBJECTIFS!$G$56,U$8*OBJECTIFS!$F$60,IF(T32&lt;OBJECTIFS!$I$56,U$8*OBJECTIFS!$H$60,U$8)))),0)</f>
        <v>0</v>
      </c>
      <c r="V32" s="20"/>
      <c r="W32" s="72" t="str">
        <f>IF(OR($A32="",$D32="",V32=""),"",SUMIFS(OBJECTIFS!H$9:H$39,OBJECTIFS!$A$9:$A$39,$D32,OBJECTIFS!$C$9:$C$39,$F32))</f>
        <v/>
      </c>
      <c r="X32" s="72" t="str">
        <f>IF(OR(AND($D32=OBJECTIFS!$B$6,OBJECTIFS!H$8="dmt"),AND($D32=OBJECTIFS!$B$13,OBJECTIFS!$H$15="dmt"),AND($D32=OBJECTIFS!$B$20,OBJECTIFS!$H$22="dmt"),AND($D32=OBJECTIFS!$B$27,OBJECTIFS!$H$29="dmt"),AND($D32=OBJECTIFS!$B$34,OBJECTIFS!$H$36="dmt"),AND($D32=OBJECTIFS!$B$6,OBJECTIFS!$H$8="taux de chute"),AND($D32=OBJECTIFS!$B$13,OBJECTIFS!$H$15="taux de chute"),AND($D32=OBJECTIFS!$B$20,OBJECTIFS!$H$22="taux de chute"),AND($D32=OBJECTIFS!$B$27,OBJECTIFS!$H$29="taux de chute"),AND($D32=OBJECTIFS!$B$34,OBJECTIFS!$H$36="taux de chute"),AND($D32=OBJECTIFS!$B$6,OBJECTIFS!H$8="tx mea"),AND($D32=OBJECTIFS!$B$13,OBJECTIFS!$H$15="tx mea"),AND($D32=OBJECTIFS!$B$20,OBJECTIFS!$H$22="tx mea"),AND($D32=OBJECTIFS!$B$27,OBJECTIFS!$H$29="tx mea"),AND($D32=OBJECTIFS!$B$34,OBJECTIFS!$H$36="tx mea")),IFERROR(W32/V32,""),IFERROR(V32/W32,""))</f>
        <v/>
      </c>
      <c r="Y32" s="149">
        <f>IFERROR(IF(OR(V32="",W32="",X32=""),0,IF(X32&lt;OBJECTIFS!$E$56,0,IF(X32&lt;OBJECTIFS!$G$56,Y$8*OBJECTIFS!$F$60,IF(X32&lt;OBJECTIFS!$I$56,Y$8*OBJECTIFS!$H$60,Y$8)))),0)</f>
        <v>0</v>
      </c>
      <c r="Z32" s="124"/>
      <c r="AA32" s="72" t="str">
        <f>IF(OR($A32="",$D32="",Z32=""),"",SUMIFS(OBJECTIFS!I$9:I$39,OBJECTIFS!$A$9:$A$39,$D32,OBJECTIFS!$C$9:$C$39,$F32))</f>
        <v/>
      </c>
      <c r="AB32" s="72" t="str">
        <f>IF(OR(AND($D32=OBJECTIFS!$B$6,OBJECTIFS!I$8="dmt"),AND($D32=OBJECTIFS!$B$13,OBJECTIFS!$I$15="dmt"),AND($D32=OBJECTIFS!$B$20,OBJECTIFS!$I$22="dmt"),AND($D32=OBJECTIFS!$B$27,OBJECTIFS!$I$29="dmt"),AND($D32=OBJECTIFS!$B$34,OBJECTIFS!$I$36="dmt"),AND($D32=OBJECTIFS!$B$6,OBJECTIFS!$I$8="taux de chute"),AND($D32=OBJECTIFS!$B$13,OBJECTIFS!$I$15="taux de chute"),AND($D32=OBJECTIFS!$B$20,OBJECTIFS!$I$22="taux de chute"),AND($D32=OBJECTIFS!$B$27,OBJECTIFS!$I$29="taux de chute"),AND($D32=OBJECTIFS!$B$34,OBJECTIFS!$I$36="taux de chute"),AND($D32=OBJECTIFS!$B$6,OBJECTIFS!I$8="tx mea"),AND($D32=OBJECTIFS!$B$13,OBJECTIFS!$I$15="tx mea"),AND($D32=OBJECTIFS!$B$20,OBJECTIFS!$I$22="tx mea"),AND($D32=OBJECTIFS!$B$27,OBJECTIFS!$I$29="tx mea"),AND($D32=OBJECTIFS!$B$34,OBJECTIFS!$I$36="tx mea")),IFERROR(AA32/Z32,""),IFERROR(Z32/AA32,""))</f>
        <v/>
      </c>
      <c r="AC32" s="155">
        <f>IFERROR(IF(OR(Z32="",AA32="",AB32=""),0,IF(AB32&lt;OBJECTIFS!$E$56,0,IF(AB32&lt;OBJECTIFS!$G$56,AC$8*OBJECTIFS!$F$60,IF(AB32&lt;OBJECTIFS!$I$56,AC$8*OBJECTIFS!$H$60,AC$8)))),0)</f>
        <v>0</v>
      </c>
      <c r="AD32" s="289"/>
      <c r="AE32" s="290"/>
      <c r="AF32" s="158">
        <f t="shared" ca="1" si="3"/>
        <v>0</v>
      </c>
      <c r="AG32" s="52"/>
      <c r="AH32" s="129"/>
      <c r="AI32" s="19"/>
      <c r="AJ32" s="19"/>
      <c r="AK32" s="19"/>
      <c r="AL32" s="19"/>
      <c r="AM32" s="63">
        <f t="shared" si="26"/>
        <v>0</v>
      </c>
      <c r="AN32" s="63">
        <f t="shared" si="8"/>
        <v>22</v>
      </c>
      <c r="AO32" s="64">
        <f t="shared" si="27"/>
        <v>0</v>
      </c>
      <c r="AP32" s="65" t="str">
        <f t="shared" ca="1" si="28"/>
        <v/>
      </c>
      <c r="AQ32" s="66"/>
      <c r="AR32" s="168">
        <f>IFERROR(VLOOKUP(B32,OBJECTIFS!$C$76:$E$137,2,FALSE),0)</f>
        <v>0</v>
      </c>
      <c r="AS32" s="173"/>
      <c r="AT32" s="170">
        <f>IFERROR(VLOOKUP(B32,OBJECTIFS!$H$76:$J$137,2,FALSE),0)</f>
        <v>0</v>
      </c>
      <c r="AU32" s="178">
        <f t="shared" si="6"/>
        <v>0</v>
      </c>
      <c r="AV32" s="173"/>
      <c r="AW32" s="74">
        <f>IFERROR(VLOOKUP(B32,OBJECTIFS!$C$142:$E$203,2,FALSE),0)</f>
        <v>0</v>
      </c>
      <c r="AX32" s="74">
        <f>IFERROR(VLOOKUP(B32,OBJECTIFS!$H$142:$J$203,2,FALSE),0)</f>
        <v>0</v>
      </c>
      <c r="AY32" s="174">
        <f>IFERROR(VLOOKUP(B32,OBJECTIFS!$F$208:$H$269,3,FALSE),0)</f>
        <v>0</v>
      </c>
      <c r="AZ32" s="66"/>
      <c r="BA32" s="75" t="str">
        <f t="shared" ca="1" si="7"/>
        <v/>
      </c>
      <c r="BB32" s="52"/>
      <c r="BC32" s="76">
        <f t="shared" ca="1" si="1"/>
        <v>0</v>
      </c>
      <c r="BD32" s="53" t="str">
        <f t="shared" ca="1" si="29"/>
        <v/>
      </c>
      <c r="BE32" s="77" t="str">
        <f t="shared" ca="1" si="9"/>
        <v/>
      </c>
    </row>
    <row r="33" spans="1:57" x14ac:dyDescent="0.2">
      <c r="A33" s="16"/>
      <c r="B33" s="17"/>
      <c r="C33" s="17"/>
      <c r="D33" s="18"/>
      <c r="E33" s="19"/>
      <c r="F33" s="27"/>
      <c r="H33" s="71" t="str">
        <f>IF(OR(D33="",F33="",A33=""),"",IF(E33="oui",0,IF(D33=OBJECTIFS!$C$45,VLOOKUP(F33,OBJECTIFS!$C$9:$D$11,2,FALSE),IF(D33=OBJECTIFS!$C$46,VLOOKUP(F33,OBJECTIFS!$C$16:$D$18,2,FALSE),IF(D33=OBJECTIFS!$C$47,VLOOKUP(F33,OBJECTIFS!$C$23:$D$25,2,FALSE),IF(D33=OBJECTIFS!$C$48,VLOOKUP(F33,OBJECTIFS!$C$30:$D$32,2,FALSE),IF(D33=OBJECTIFS!$C$49,VLOOKUP(F33,OBJECTIFS!$C$37:$D$39,2,FALSE))))))))</f>
        <v/>
      </c>
      <c r="J33" s="138"/>
      <c r="K33" s="141" t="str">
        <f>IF(OR($A33="",$D33="",J33=""),"",SUMIFS(OBJECTIFS!E$9:E$39,OBJECTIFS!$A$9:$A$39,$D33,OBJECTIFS!$C$9:$C$39,$F33))</f>
        <v/>
      </c>
      <c r="L33" s="72" t="str">
        <f>IF(OR(AND($D33=OBJECTIFS!$B$6,OBJECTIFS!E$8="dmt"),AND($D33=OBJECTIFS!$B$13,OBJECTIFS!$E$15="dmt"),AND($D33=OBJECTIFS!$B$20,OBJECTIFS!$E$22="dmt"),AND($D33=OBJECTIFS!$B$27,OBJECTIFS!$E$29="dmt"),AND($D33=OBJECTIFS!$B$34,OBJECTIFS!$E$36="dmt"),AND($D33=OBJECTIFS!$B$6,OBJECTIFS!$E$8="taux de chute"),AND($D33=OBJECTIFS!$B$13,OBJECTIFS!$E$15="taux de chute"),AND($D33=OBJECTIFS!$B$20,OBJECTIFS!$E$22="taux de chute"),AND($D33=OBJECTIFS!$B$27,OBJECTIFS!$E$29="taux de chute"),AND($D33=OBJECTIFS!$B$34,OBJECTIFS!$E$36="taux de chute"),AND($D33=OBJECTIFS!$B$6,OBJECTIFS!E$8="tx mea"),AND($D33=OBJECTIFS!$B$13,OBJECTIFS!$E$15="tx mea"),AND($D33=OBJECTIFS!$B$20,OBJECTIFS!$E$22="tx mea"),AND($D33=OBJECTIFS!$B$27,OBJECTIFS!$E$29="tx mea"),AND($D33=OBJECTIFS!$B$34,OBJECTIFS!$E$36="tx mea")),IFERROR(K33/J33,""),IFERROR(J33/K33,""))</f>
        <v/>
      </c>
      <c r="M33" s="149">
        <f>IFERROR(IF(OR(J33="",K33="",L33=""),0,IF(L33&lt;OBJECTIFS!$E$56,0,IF(L33&lt;OBJECTIFS!$G$56,M$8*OBJECTIFS!$F$60,IF(L33&lt;OBJECTIFS!$I$56,M$8*OBJECTIFS!$H$60,M$8)))),0)</f>
        <v>0</v>
      </c>
      <c r="N33" s="144"/>
      <c r="O33" s="145" t="str">
        <f>IF(OR($A33="",$D33="",N33=""),"",SUMIFS(OBJECTIFS!F$9:F$39,OBJECTIFS!$A$9:$A$39,$D33,OBJECTIFS!$C$9:$C$39,$F33))</f>
        <v/>
      </c>
      <c r="P33" s="72" t="str">
        <f>IF(OR(AND($D33=OBJECTIFS!$B$6,OBJECTIFS!$F$8="dmt"),AND($D33=OBJECTIFS!$B$13,OBJECTIFS!$F$15="dmt"),AND($D33=OBJECTIFS!$B$20,OBJECTIFS!$F$22="dmt"),AND($D33=OBJECTIFS!$B$27,OBJECTIFS!$F$29="dmt"),AND($D33=OBJECTIFS!$B$34,OBJECTIFS!$F$36="dmt"),AND($D33=OBJECTIFS!$B$6,OBJECTIFS!$F$8="taux de chute"),AND($D33=OBJECTIFS!$B$13,OBJECTIFS!$F$15="taux de chute"),AND($D33=OBJECTIFS!$B$20,OBJECTIFS!$F$22="taux de chute"),AND($D33=OBJECTIFS!$B$27,OBJECTIFS!$F$29="taux de chute"),AND($D33=OBJECTIFS!$B$34,OBJECTIFS!$F$36="taux de chute"),AND($D33=OBJECTIFS!$B$6,OBJECTIFS!$F$8="tx mea"),AND($D33=OBJECTIFS!$B$13,OBJECTIFS!$F$15="tx mea"),AND($D33=OBJECTIFS!$B$20,OBJECTIFS!$F$22="tx mea"),AND($D33=OBJECTIFS!$B$27,OBJECTIFS!$F$29="tx mea"),AND($D33=OBJECTIFS!$B$34,OBJECTIFS!$F$36="tx mea")),IFERROR(O33/N33,""),IFERROR(N33/O33,""))</f>
        <v/>
      </c>
      <c r="Q33" s="149">
        <f>IFERROR(IF(OR(N33="",O33="",P33=""),0,IF(P33&lt;OBJECTIFS!$E$56,0,IF(P33&lt;OBJECTIFS!$G$56,Q$8*OBJECTIFS!$F$60,IF(P33&lt;OBJECTIFS!$I$56,Q$8*OBJECTIFS!$H$60,Q$8)))),0)</f>
        <v>0</v>
      </c>
      <c r="R33" s="121"/>
      <c r="S33" s="73" t="str">
        <f>IF(OR($A33="",$D33="",R33=""),"",SUMIFS(OBJECTIFS!G$9:G$39,OBJECTIFS!$A$9:$A$39,$D33,OBJECTIFS!$C$9:$C$39,$F33))</f>
        <v/>
      </c>
      <c r="T33" s="72" t="str">
        <f>IF(OR(AND($D33=OBJECTIFS!$B$6,OBJECTIFS!G$8="dmt"),AND($D33=OBJECTIFS!$B$13,OBJECTIFS!$G$15="dmt"),AND($D33=OBJECTIFS!$B$20,OBJECTIFS!$G$22="dmt"),AND($D33=OBJECTIFS!$B$27,OBJECTIFS!$G$29="dmt"),AND($D33=OBJECTIFS!$B$34,OBJECTIFS!$G$36="dmt"),AND($D33=OBJECTIFS!$B$6,OBJECTIFS!$G$8="taux de chute"),AND($D33=OBJECTIFS!$B$13,OBJECTIFS!$G$15="taux de chute"),AND($D33=OBJECTIFS!$B$20,OBJECTIFS!$G$22="taux de chute"),AND($D33=OBJECTIFS!$B$27,OBJECTIFS!$G$29="taux de chute"),AND($D33=OBJECTIFS!$B$34,OBJECTIFS!$G$36="taux de chute",AND($D33=OBJECTIFS!$B$6,OBJECTIFS!G$8="tx mea"),AND($D33=OBJECTIFS!$B$13,OBJECTIFS!$G$15="tx mea"),AND($D33=OBJECTIFS!$B$20,OBJECTIFS!$G$22="tx mea"),AND($D33=OBJECTIFS!$B$27,OBJECTIFS!$G$29="tx mea"),AND($D33=OBJECTIFS!$B$34,OBJECTIFS!$G$36="tx mea"))),IFERROR(S33/R33,""),IFERROR(R33/S33,""))</f>
        <v/>
      </c>
      <c r="U33" s="152">
        <f>IFERROR(IF(OR(R33="",S33="",T33=""),0,IF(T33&lt;OBJECTIFS!$E$56,0,IF(T33&lt;OBJECTIFS!$G$56,U$8*OBJECTIFS!$F$60,IF(T33&lt;OBJECTIFS!$I$56,U$8*OBJECTIFS!$H$60,U$8)))),0)</f>
        <v>0</v>
      </c>
      <c r="V33" s="20"/>
      <c r="W33" s="72" t="str">
        <f>IF(OR($A33="",$D33="",V33=""),"",SUMIFS(OBJECTIFS!H$9:H$39,OBJECTIFS!$A$9:$A$39,$D33,OBJECTIFS!$C$9:$C$39,$F33))</f>
        <v/>
      </c>
      <c r="X33" s="72" t="str">
        <f>IF(OR(AND($D33=OBJECTIFS!$B$6,OBJECTIFS!H$8="dmt"),AND($D33=OBJECTIFS!$B$13,OBJECTIFS!$H$15="dmt"),AND($D33=OBJECTIFS!$B$20,OBJECTIFS!$H$22="dmt"),AND($D33=OBJECTIFS!$B$27,OBJECTIFS!$H$29="dmt"),AND($D33=OBJECTIFS!$B$34,OBJECTIFS!$H$36="dmt"),AND($D33=OBJECTIFS!$B$6,OBJECTIFS!$H$8="taux de chute"),AND($D33=OBJECTIFS!$B$13,OBJECTIFS!$H$15="taux de chute"),AND($D33=OBJECTIFS!$B$20,OBJECTIFS!$H$22="taux de chute"),AND($D33=OBJECTIFS!$B$27,OBJECTIFS!$H$29="taux de chute"),AND($D33=OBJECTIFS!$B$34,OBJECTIFS!$H$36="taux de chute"),AND($D33=OBJECTIFS!$B$6,OBJECTIFS!H$8="tx mea"),AND($D33=OBJECTIFS!$B$13,OBJECTIFS!$H$15="tx mea"),AND($D33=OBJECTIFS!$B$20,OBJECTIFS!$H$22="tx mea"),AND($D33=OBJECTIFS!$B$27,OBJECTIFS!$H$29="tx mea"),AND($D33=OBJECTIFS!$B$34,OBJECTIFS!$H$36="tx mea")),IFERROR(W33/V33,""),IFERROR(V33/W33,""))</f>
        <v/>
      </c>
      <c r="Y33" s="149">
        <f>IFERROR(IF(OR(V33="",W33="",X33=""),0,IF(X33&lt;OBJECTIFS!$E$56,0,IF(X33&lt;OBJECTIFS!$G$56,Y$8*OBJECTIFS!$F$60,IF(X33&lt;OBJECTIFS!$I$56,Y$8*OBJECTIFS!$H$60,Y$8)))),0)</f>
        <v>0</v>
      </c>
      <c r="Z33" s="124"/>
      <c r="AA33" s="72" t="str">
        <f>IF(OR($A33="",$D33="",Z33=""),"",SUMIFS(OBJECTIFS!I$9:I$39,OBJECTIFS!$A$9:$A$39,$D33,OBJECTIFS!$C$9:$C$39,$F33))</f>
        <v/>
      </c>
      <c r="AB33" s="72" t="str">
        <f>IF(OR(AND($D33=OBJECTIFS!$B$6,OBJECTIFS!I$8="dmt"),AND($D33=OBJECTIFS!$B$13,OBJECTIFS!$I$15="dmt"),AND($D33=OBJECTIFS!$B$20,OBJECTIFS!$I$22="dmt"),AND($D33=OBJECTIFS!$B$27,OBJECTIFS!$I$29="dmt"),AND($D33=OBJECTIFS!$B$34,OBJECTIFS!$I$36="dmt"),AND($D33=OBJECTIFS!$B$6,OBJECTIFS!$I$8="taux de chute"),AND($D33=OBJECTIFS!$B$13,OBJECTIFS!$I$15="taux de chute"),AND($D33=OBJECTIFS!$B$20,OBJECTIFS!$I$22="taux de chute"),AND($D33=OBJECTIFS!$B$27,OBJECTIFS!$I$29="taux de chute"),AND($D33=OBJECTIFS!$B$34,OBJECTIFS!$I$36="taux de chute"),AND($D33=OBJECTIFS!$B$6,OBJECTIFS!I$8="tx mea"),AND($D33=OBJECTIFS!$B$13,OBJECTIFS!$I$15="tx mea"),AND($D33=OBJECTIFS!$B$20,OBJECTIFS!$I$22="tx mea"),AND($D33=OBJECTIFS!$B$27,OBJECTIFS!$I$29="tx mea"),AND($D33=OBJECTIFS!$B$34,OBJECTIFS!$I$36="tx mea")),IFERROR(AA33/Z33,""),IFERROR(Z33/AA33,""))</f>
        <v/>
      </c>
      <c r="AC33" s="155">
        <f>IFERROR(IF(OR(Z33="",AA33="",AB33=""),0,IF(AB33&lt;OBJECTIFS!$E$56,0,IF(AB33&lt;OBJECTIFS!$G$56,AC$8*OBJECTIFS!$F$60,IF(AB33&lt;OBJECTIFS!$I$56,AC$8*OBJECTIFS!$H$60,AC$8)))),0)</f>
        <v>0</v>
      </c>
      <c r="AD33" s="289"/>
      <c r="AE33" s="290"/>
      <c r="AF33" s="158">
        <f t="shared" ca="1" si="3"/>
        <v>0</v>
      </c>
      <c r="AG33" s="52"/>
      <c r="AH33" s="129"/>
      <c r="AI33" s="19"/>
      <c r="AJ33" s="19"/>
      <c r="AK33" s="19"/>
      <c r="AL33" s="19"/>
      <c r="AM33" s="63">
        <f t="shared" si="26"/>
        <v>0</v>
      </c>
      <c r="AN33" s="63">
        <f t="shared" si="8"/>
        <v>22</v>
      </c>
      <c r="AO33" s="64">
        <f t="shared" si="27"/>
        <v>0</v>
      </c>
      <c r="AP33" s="65" t="str">
        <f t="shared" ca="1" si="28"/>
        <v/>
      </c>
      <c r="AQ33" s="66"/>
      <c r="AR33" s="168">
        <f>IFERROR(VLOOKUP(B33,OBJECTIFS!$C$76:$E$137,2,FALSE),0)</f>
        <v>0</v>
      </c>
      <c r="AS33" s="173"/>
      <c r="AT33" s="170">
        <f>IFERROR(VLOOKUP(B33,OBJECTIFS!$H$76:$J$137,2,FALSE),0)</f>
        <v>0</v>
      </c>
      <c r="AU33" s="178">
        <f t="shared" si="6"/>
        <v>0</v>
      </c>
      <c r="AV33" s="173"/>
      <c r="AW33" s="74">
        <f>IFERROR(VLOOKUP(B33,OBJECTIFS!$C$142:$E$203,2,FALSE),0)</f>
        <v>0</v>
      </c>
      <c r="AX33" s="74">
        <f>IFERROR(VLOOKUP(B33,OBJECTIFS!$H$142:$J$203,2,FALSE),0)</f>
        <v>0</v>
      </c>
      <c r="AY33" s="174">
        <f>IFERROR(VLOOKUP(B33,OBJECTIFS!$F$208:$H$269,3,FALSE),0)</f>
        <v>0</v>
      </c>
      <c r="AZ33" s="66"/>
      <c r="BA33" s="75" t="str">
        <f t="shared" ca="1" si="7"/>
        <v/>
      </c>
      <c r="BB33" s="52"/>
      <c r="BC33" s="76">
        <f t="shared" ca="1" si="1"/>
        <v>0</v>
      </c>
      <c r="BD33" s="53" t="str">
        <f t="shared" ca="1" si="29"/>
        <v/>
      </c>
      <c r="BE33" s="77" t="str">
        <f t="shared" ca="1" si="9"/>
        <v/>
      </c>
    </row>
    <row r="34" spans="1:57" x14ac:dyDescent="0.2">
      <c r="A34" s="16"/>
      <c r="B34" s="17"/>
      <c r="C34" s="17"/>
      <c r="D34" s="18"/>
      <c r="E34" s="19"/>
      <c r="F34" s="27"/>
      <c r="H34" s="71" t="str">
        <f>IF(OR(D34="",F34="",A34=""),"",IF(E34="oui",0,IF(D34=OBJECTIFS!$C$45,VLOOKUP(F34,OBJECTIFS!$C$9:$D$11,2,FALSE),IF(D34=OBJECTIFS!$C$46,VLOOKUP(F34,OBJECTIFS!$C$16:$D$18,2,FALSE),IF(D34=OBJECTIFS!$C$47,VLOOKUP(F34,OBJECTIFS!$C$23:$D$25,2,FALSE),IF(D34=OBJECTIFS!$C$48,VLOOKUP(F34,OBJECTIFS!$C$30:$D$32,2,FALSE),IF(D34=OBJECTIFS!$C$49,VLOOKUP(F34,OBJECTIFS!$C$37:$D$39,2,FALSE))))))))</f>
        <v/>
      </c>
      <c r="J34" s="138"/>
      <c r="K34" s="141" t="str">
        <f>IF(OR($A34="",$D34="",J34=""),"",SUMIFS(OBJECTIFS!E$9:E$39,OBJECTIFS!$A$9:$A$39,$D34,OBJECTIFS!$C$9:$C$39,$F34))</f>
        <v/>
      </c>
      <c r="L34" s="72" t="str">
        <f>IF(OR(AND($D34=OBJECTIFS!$B$6,OBJECTIFS!E$8="dmt"),AND($D34=OBJECTIFS!$B$13,OBJECTIFS!$E$15="dmt"),AND($D34=OBJECTIFS!$B$20,OBJECTIFS!$E$22="dmt"),AND($D34=OBJECTIFS!$B$27,OBJECTIFS!$E$29="dmt"),AND($D34=OBJECTIFS!$B$34,OBJECTIFS!$E$36="dmt"),AND($D34=OBJECTIFS!$B$6,OBJECTIFS!$E$8="taux de chute"),AND($D34=OBJECTIFS!$B$13,OBJECTIFS!$E$15="taux de chute"),AND($D34=OBJECTIFS!$B$20,OBJECTIFS!$E$22="taux de chute"),AND($D34=OBJECTIFS!$B$27,OBJECTIFS!$E$29="taux de chute"),AND($D34=OBJECTIFS!$B$34,OBJECTIFS!$E$36="taux de chute"),AND($D34=OBJECTIFS!$B$6,OBJECTIFS!E$8="tx mea"),AND($D34=OBJECTIFS!$B$13,OBJECTIFS!$E$15="tx mea"),AND($D34=OBJECTIFS!$B$20,OBJECTIFS!$E$22="tx mea"),AND($D34=OBJECTIFS!$B$27,OBJECTIFS!$E$29="tx mea"),AND($D34=OBJECTIFS!$B$34,OBJECTIFS!$E$36="tx mea")),IFERROR(K34/J34,""),IFERROR(J34/K34,""))</f>
        <v/>
      </c>
      <c r="M34" s="149">
        <f>IFERROR(IF(OR(J34="",K34="",L34=""),0,IF(L34&lt;OBJECTIFS!$E$56,0,IF(L34&lt;OBJECTIFS!$G$56,M$8*OBJECTIFS!$F$60,IF(L34&lt;OBJECTIFS!$I$56,M$8*OBJECTIFS!$H$60,M$8)))),0)</f>
        <v>0</v>
      </c>
      <c r="N34" s="144"/>
      <c r="O34" s="145" t="str">
        <f>IF(OR($A34="",$D34="",N34=""),"",SUMIFS(OBJECTIFS!F$9:F$39,OBJECTIFS!$A$9:$A$39,$D34,OBJECTIFS!$C$9:$C$39,$F34))</f>
        <v/>
      </c>
      <c r="P34" s="72" t="str">
        <f>IF(OR(AND($D34=OBJECTIFS!$B$6,OBJECTIFS!$F$8="dmt"),AND($D34=OBJECTIFS!$B$13,OBJECTIFS!$F$15="dmt"),AND($D34=OBJECTIFS!$B$20,OBJECTIFS!$F$22="dmt"),AND($D34=OBJECTIFS!$B$27,OBJECTIFS!$F$29="dmt"),AND($D34=OBJECTIFS!$B$34,OBJECTIFS!$F$36="dmt"),AND($D34=OBJECTIFS!$B$6,OBJECTIFS!$F$8="taux de chute"),AND($D34=OBJECTIFS!$B$13,OBJECTIFS!$F$15="taux de chute"),AND($D34=OBJECTIFS!$B$20,OBJECTIFS!$F$22="taux de chute"),AND($D34=OBJECTIFS!$B$27,OBJECTIFS!$F$29="taux de chute"),AND($D34=OBJECTIFS!$B$34,OBJECTIFS!$F$36="taux de chute"),AND($D34=OBJECTIFS!$B$6,OBJECTIFS!$F$8="tx mea"),AND($D34=OBJECTIFS!$B$13,OBJECTIFS!$F$15="tx mea"),AND($D34=OBJECTIFS!$B$20,OBJECTIFS!$F$22="tx mea"),AND($D34=OBJECTIFS!$B$27,OBJECTIFS!$F$29="tx mea"),AND($D34=OBJECTIFS!$B$34,OBJECTIFS!$F$36="tx mea")),IFERROR(O34/N34,""),IFERROR(N34/O34,""))</f>
        <v/>
      </c>
      <c r="Q34" s="149">
        <f>IFERROR(IF(OR(N34="",O34="",P34=""),0,IF(P34&lt;OBJECTIFS!$E$56,0,IF(P34&lt;OBJECTIFS!$G$56,Q$8*OBJECTIFS!$F$60,IF(P34&lt;OBJECTIFS!$I$56,Q$8*OBJECTIFS!$H$60,Q$8)))),0)</f>
        <v>0</v>
      </c>
      <c r="R34" s="121"/>
      <c r="S34" s="73" t="str">
        <f>IF(OR($A34="",$D34="",R34=""),"",SUMIFS(OBJECTIFS!G$9:G$39,OBJECTIFS!$A$9:$A$39,$D34,OBJECTIFS!$C$9:$C$39,$F34))</f>
        <v/>
      </c>
      <c r="T34" s="72" t="str">
        <f>IF(OR(AND($D34=OBJECTIFS!$B$6,OBJECTIFS!G$8="dmt"),AND($D34=OBJECTIFS!$B$13,OBJECTIFS!$G$15="dmt"),AND($D34=OBJECTIFS!$B$20,OBJECTIFS!$G$22="dmt"),AND($D34=OBJECTIFS!$B$27,OBJECTIFS!$G$29="dmt"),AND($D34=OBJECTIFS!$B$34,OBJECTIFS!$G$36="dmt"),AND($D34=OBJECTIFS!$B$6,OBJECTIFS!$G$8="taux de chute"),AND($D34=OBJECTIFS!$B$13,OBJECTIFS!$G$15="taux de chute"),AND($D34=OBJECTIFS!$B$20,OBJECTIFS!$G$22="taux de chute"),AND($D34=OBJECTIFS!$B$27,OBJECTIFS!$G$29="taux de chute"),AND($D34=OBJECTIFS!$B$34,OBJECTIFS!$G$36="taux de chute",AND($D34=OBJECTIFS!$B$6,OBJECTIFS!G$8="tx mea"),AND($D34=OBJECTIFS!$B$13,OBJECTIFS!$G$15="tx mea"),AND($D34=OBJECTIFS!$B$20,OBJECTIFS!$G$22="tx mea"),AND($D34=OBJECTIFS!$B$27,OBJECTIFS!$G$29="tx mea"),AND($D34=OBJECTIFS!$B$34,OBJECTIFS!$G$36="tx mea"))),IFERROR(S34/R34,""),IFERROR(R34/S34,""))</f>
        <v/>
      </c>
      <c r="U34" s="152">
        <f>IFERROR(IF(OR(R34="",S34="",T34=""),0,IF(T34&lt;OBJECTIFS!$E$56,0,IF(T34&lt;OBJECTIFS!$G$56,U$8*OBJECTIFS!$F$60,IF(T34&lt;OBJECTIFS!$I$56,U$8*OBJECTIFS!$H$60,U$8)))),0)</f>
        <v>0</v>
      </c>
      <c r="V34" s="20"/>
      <c r="W34" s="72" t="str">
        <f>IF(OR($A34="",$D34="",V34=""),"",SUMIFS(OBJECTIFS!H$9:H$39,OBJECTIFS!$A$9:$A$39,$D34,OBJECTIFS!$C$9:$C$39,$F34))</f>
        <v/>
      </c>
      <c r="X34" s="72" t="str">
        <f>IF(OR(AND($D34=OBJECTIFS!$B$6,OBJECTIFS!H$8="dmt"),AND($D34=OBJECTIFS!$B$13,OBJECTIFS!$H$15="dmt"),AND($D34=OBJECTIFS!$B$20,OBJECTIFS!$H$22="dmt"),AND($D34=OBJECTIFS!$B$27,OBJECTIFS!$H$29="dmt"),AND($D34=OBJECTIFS!$B$34,OBJECTIFS!$H$36="dmt"),AND($D34=OBJECTIFS!$B$6,OBJECTIFS!$H$8="taux de chute"),AND($D34=OBJECTIFS!$B$13,OBJECTIFS!$H$15="taux de chute"),AND($D34=OBJECTIFS!$B$20,OBJECTIFS!$H$22="taux de chute"),AND($D34=OBJECTIFS!$B$27,OBJECTIFS!$H$29="taux de chute"),AND($D34=OBJECTIFS!$B$34,OBJECTIFS!$H$36="taux de chute"),AND($D34=OBJECTIFS!$B$6,OBJECTIFS!H$8="tx mea"),AND($D34=OBJECTIFS!$B$13,OBJECTIFS!$H$15="tx mea"),AND($D34=OBJECTIFS!$B$20,OBJECTIFS!$H$22="tx mea"),AND($D34=OBJECTIFS!$B$27,OBJECTIFS!$H$29="tx mea"),AND($D34=OBJECTIFS!$B$34,OBJECTIFS!$H$36="tx mea")),IFERROR(W34/V34,""),IFERROR(V34/W34,""))</f>
        <v/>
      </c>
      <c r="Y34" s="149">
        <f>IFERROR(IF(OR(V34="",W34="",X34=""),0,IF(X34&lt;OBJECTIFS!$E$56,0,IF(X34&lt;OBJECTIFS!$G$56,Y$8*OBJECTIFS!$F$60,IF(X34&lt;OBJECTIFS!$I$56,Y$8*OBJECTIFS!$H$60,Y$8)))),0)</f>
        <v>0</v>
      </c>
      <c r="Z34" s="124"/>
      <c r="AA34" s="72" t="str">
        <f>IF(OR($A34="",$D34="",Z34=""),"",SUMIFS(OBJECTIFS!I$9:I$39,OBJECTIFS!$A$9:$A$39,$D34,OBJECTIFS!$C$9:$C$39,$F34))</f>
        <v/>
      </c>
      <c r="AB34" s="72" t="str">
        <f>IF(OR(AND($D34=OBJECTIFS!$B$6,OBJECTIFS!I$8="dmt"),AND($D34=OBJECTIFS!$B$13,OBJECTIFS!$I$15="dmt"),AND($D34=OBJECTIFS!$B$20,OBJECTIFS!$I$22="dmt"),AND($D34=OBJECTIFS!$B$27,OBJECTIFS!$I$29="dmt"),AND($D34=OBJECTIFS!$B$34,OBJECTIFS!$I$36="dmt"),AND($D34=OBJECTIFS!$B$6,OBJECTIFS!$I$8="taux de chute"),AND($D34=OBJECTIFS!$B$13,OBJECTIFS!$I$15="taux de chute"),AND($D34=OBJECTIFS!$B$20,OBJECTIFS!$I$22="taux de chute"),AND($D34=OBJECTIFS!$B$27,OBJECTIFS!$I$29="taux de chute"),AND($D34=OBJECTIFS!$B$34,OBJECTIFS!$I$36="taux de chute"),AND($D34=OBJECTIFS!$B$6,OBJECTIFS!I$8="tx mea"),AND($D34=OBJECTIFS!$B$13,OBJECTIFS!$I$15="tx mea"),AND($D34=OBJECTIFS!$B$20,OBJECTIFS!$I$22="tx mea"),AND($D34=OBJECTIFS!$B$27,OBJECTIFS!$I$29="tx mea"),AND($D34=OBJECTIFS!$B$34,OBJECTIFS!$I$36="tx mea")),IFERROR(AA34/Z34,""),IFERROR(Z34/AA34,""))</f>
        <v/>
      </c>
      <c r="AC34" s="155">
        <f>IFERROR(IF(OR(Z34="",AA34="",AB34=""),0,IF(AB34&lt;OBJECTIFS!$E$56,0,IF(AB34&lt;OBJECTIFS!$G$56,AC$8*OBJECTIFS!$F$60,IF(AB34&lt;OBJECTIFS!$I$56,AC$8*OBJECTIFS!$H$60,AC$8)))),0)</f>
        <v>0</v>
      </c>
      <c r="AD34" s="289"/>
      <c r="AE34" s="290"/>
      <c r="AF34" s="158">
        <f t="shared" ca="1" si="3"/>
        <v>0</v>
      </c>
      <c r="AG34" s="52"/>
      <c r="AH34" s="129"/>
      <c r="AI34" s="19"/>
      <c r="AJ34" s="19"/>
      <c r="AK34" s="19"/>
      <c r="AL34" s="19"/>
      <c r="AM34" s="63">
        <f t="shared" si="26"/>
        <v>0</v>
      </c>
      <c r="AN34" s="63">
        <f t="shared" si="8"/>
        <v>22</v>
      </c>
      <c r="AO34" s="64">
        <f t="shared" si="27"/>
        <v>0</v>
      </c>
      <c r="AP34" s="65" t="str">
        <f t="shared" ca="1" si="28"/>
        <v/>
      </c>
      <c r="AQ34" s="66"/>
      <c r="AR34" s="168">
        <f>IFERROR(VLOOKUP(B34,OBJECTIFS!$C$76:$E$137,2,FALSE),0)</f>
        <v>0</v>
      </c>
      <c r="AS34" s="173"/>
      <c r="AT34" s="170">
        <f>IFERROR(VLOOKUP(B34,OBJECTIFS!$H$76:$J$137,2,FALSE),0)</f>
        <v>0</v>
      </c>
      <c r="AU34" s="178">
        <f t="shared" si="6"/>
        <v>0</v>
      </c>
      <c r="AV34" s="173"/>
      <c r="AW34" s="74">
        <f>IFERROR(VLOOKUP(B34,OBJECTIFS!$C$142:$E$203,2,FALSE),0)</f>
        <v>0</v>
      </c>
      <c r="AX34" s="74">
        <f>IFERROR(VLOOKUP(B34,OBJECTIFS!$H$142:$J$203,2,FALSE),0)</f>
        <v>0</v>
      </c>
      <c r="AY34" s="174">
        <f>IFERROR(VLOOKUP(B34,OBJECTIFS!$F$208:$H$269,3,FALSE),0)</f>
        <v>0</v>
      </c>
      <c r="AZ34" s="66"/>
      <c r="BA34" s="75" t="str">
        <f t="shared" ca="1" si="7"/>
        <v/>
      </c>
      <c r="BB34" s="52"/>
      <c r="BC34" s="76">
        <f t="shared" ca="1" si="1"/>
        <v>0</v>
      </c>
      <c r="BD34" s="53" t="str">
        <f t="shared" ca="1" si="29"/>
        <v/>
      </c>
      <c r="BE34" s="77" t="str">
        <f t="shared" ca="1" si="9"/>
        <v/>
      </c>
    </row>
    <row r="35" spans="1:57" x14ac:dyDescent="0.2">
      <c r="A35" s="16"/>
      <c r="B35" s="17"/>
      <c r="C35" s="17"/>
      <c r="D35" s="18"/>
      <c r="E35" s="19"/>
      <c r="F35" s="27"/>
      <c r="H35" s="71" t="str">
        <f>IF(OR(D35="",F35="",A35=""),"",IF(E35="oui",0,IF(D35=OBJECTIFS!$C$45,VLOOKUP(F35,OBJECTIFS!$C$9:$D$11,2,FALSE),IF(D35=OBJECTIFS!$C$46,VLOOKUP(F35,OBJECTIFS!$C$16:$D$18,2,FALSE),IF(D35=OBJECTIFS!$C$47,VLOOKUP(F35,OBJECTIFS!$C$23:$D$25,2,FALSE),IF(D35=OBJECTIFS!$C$48,VLOOKUP(F35,OBJECTIFS!$C$30:$D$32,2,FALSE),IF(D35=OBJECTIFS!$C$49,VLOOKUP(F35,OBJECTIFS!$C$37:$D$39,2,FALSE))))))))</f>
        <v/>
      </c>
      <c r="J35" s="138"/>
      <c r="K35" s="141" t="str">
        <f>IF(OR($A35="",$D35="",J35=""),"",SUMIFS(OBJECTIFS!E$9:E$39,OBJECTIFS!$A$9:$A$39,$D35,OBJECTIFS!$C$9:$C$39,$F35))</f>
        <v/>
      </c>
      <c r="L35" s="72" t="str">
        <f>IF(OR(AND($D35=OBJECTIFS!$B$6,OBJECTIFS!E$8="dmt"),AND($D35=OBJECTIFS!$B$13,OBJECTIFS!$E$15="dmt"),AND($D35=OBJECTIFS!$B$20,OBJECTIFS!$E$22="dmt"),AND($D35=OBJECTIFS!$B$27,OBJECTIFS!$E$29="dmt"),AND($D35=OBJECTIFS!$B$34,OBJECTIFS!$E$36="dmt"),AND($D35=OBJECTIFS!$B$6,OBJECTIFS!$E$8="taux de chute"),AND($D35=OBJECTIFS!$B$13,OBJECTIFS!$E$15="taux de chute"),AND($D35=OBJECTIFS!$B$20,OBJECTIFS!$E$22="taux de chute"),AND($D35=OBJECTIFS!$B$27,OBJECTIFS!$E$29="taux de chute"),AND($D35=OBJECTIFS!$B$34,OBJECTIFS!$E$36="taux de chute"),AND($D35=OBJECTIFS!$B$6,OBJECTIFS!E$8="tx mea"),AND($D35=OBJECTIFS!$B$13,OBJECTIFS!$E$15="tx mea"),AND($D35=OBJECTIFS!$B$20,OBJECTIFS!$E$22="tx mea"),AND($D35=OBJECTIFS!$B$27,OBJECTIFS!$E$29="tx mea"),AND($D35=OBJECTIFS!$B$34,OBJECTIFS!$E$36="tx mea")),IFERROR(K35/J35,""),IFERROR(J35/K35,""))</f>
        <v/>
      </c>
      <c r="M35" s="149">
        <f>IFERROR(IF(OR(J35="",K35="",L35=""),0,IF(L35&lt;OBJECTIFS!$E$56,0,IF(L35&lt;OBJECTIFS!$G$56,M$8*OBJECTIFS!$F$60,IF(L35&lt;OBJECTIFS!$I$56,M$8*OBJECTIFS!$H$60,M$8)))),0)</f>
        <v>0</v>
      </c>
      <c r="N35" s="144"/>
      <c r="O35" s="145" t="str">
        <f>IF(OR($A35="",$D35="",N35=""),"",SUMIFS(OBJECTIFS!F$9:F$39,OBJECTIFS!$A$9:$A$39,$D35,OBJECTIFS!$C$9:$C$39,$F35))</f>
        <v/>
      </c>
      <c r="P35" s="72" t="str">
        <f>IF(OR(AND($D35=OBJECTIFS!$B$6,OBJECTIFS!$F$8="dmt"),AND($D35=OBJECTIFS!$B$13,OBJECTIFS!$F$15="dmt"),AND($D35=OBJECTIFS!$B$20,OBJECTIFS!$F$22="dmt"),AND($D35=OBJECTIFS!$B$27,OBJECTIFS!$F$29="dmt"),AND($D35=OBJECTIFS!$B$34,OBJECTIFS!$F$36="dmt"),AND($D35=OBJECTIFS!$B$6,OBJECTIFS!$F$8="taux de chute"),AND($D35=OBJECTIFS!$B$13,OBJECTIFS!$F$15="taux de chute"),AND($D35=OBJECTIFS!$B$20,OBJECTIFS!$F$22="taux de chute"),AND($D35=OBJECTIFS!$B$27,OBJECTIFS!$F$29="taux de chute"),AND($D35=OBJECTIFS!$B$34,OBJECTIFS!$F$36="taux de chute"),AND($D35=OBJECTIFS!$B$6,OBJECTIFS!$F$8="tx mea"),AND($D35=OBJECTIFS!$B$13,OBJECTIFS!$F$15="tx mea"),AND($D35=OBJECTIFS!$B$20,OBJECTIFS!$F$22="tx mea"),AND($D35=OBJECTIFS!$B$27,OBJECTIFS!$F$29="tx mea"),AND($D35=OBJECTIFS!$B$34,OBJECTIFS!$F$36="tx mea")),IFERROR(O35/N35,""),IFERROR(N35/O35,""))</f>
        <v/>
      </c>
      <c r="Q35" s="149">
        <f>IFERROR(IF(OR(N35="",O35="",P35=""),0,IF(P35&lt;OBJECTIFS!$E$56,0,IF(P35&lt;OBJECTIFS!$G$56,Q$8*OBJECTIFS!$F$60,IF(P35&lt;OBJECTIFS!$I$56,Q$8*OBJECTIFS!$H$60,Q$8)))),0)</f>
        <v>0</v>
      </c>
      <c r="R35" s="121"/>
      <c r="S35" s="73" t="str">
        <f>IF(OR($A35="",$D35="",R35=""),"",SUMIFS(OBJECTIFS!G$9:G$39,OBJECTIFS!$A$9:$A$39,$D35,OBJECTIFS!$C$9:$C$39,$F35))</f>
        <v/>
      </c>
      <c r="T35" s="72" t="str">
        <f>IF(OR(AND($D35=OBJECTIFS!$B$6,OBJECTIFS!G$8="dmt"),AND($D35=OBJECTIFS!$B$13,OBJECTIFS!$G$15="dmt"),AND($D35=OBJECTIFS!$B$20,OBJECTIFS!$G$22="dmt"),AND($D35=OBJECTIFS!$B$27,OBJECTIFS!$G$29="dmt"),AND($D35=OBJECTIFS!$B$34,OBJECTIFS!$G$36="dmt"),AND($D35=OBJECTIFS!$B$6,OBJECTIFS!$G$8="taux de chute"),AND($D35=OBJECTIFS!$B$13,OBJECTIFS!$G$15="taux de chute"),AND($D35=OBJECTIFS!$B$20,OBJECTIFS!$G$22="taux de chute"),AND($D35=OBJECTIFS!$B$27,OBJECTIFS!$G$29="taux de chute"),AND($D35=OBJECTIFS!$B$34,OBJECTIFS!$G$36="taux de chute",AND($D35=OBJECTIFS!$B$6,OBJECTIFS!G$8="tx mea"),AND($D35=OBJECTIFS!$B$13,OBJECTIFS!$G$15="tx mea"),AND($D35=OBJECTIFS!$B$20,OBJECTIFS!$G$22="tx mea"),AND($D35=OBJECTIFS!$B$27,OBJECTIFS!$G$29="tx mea"),AND($D35=OBJECTIFS!$B$34,OBJECTIFS!$G$36="tx mea"))),IFERROR(S35/R35,""),IFERROR(R35/S35,""))</f>
        <v/>
      </c>
      <c r="U35" s="152">
        <f>IFERROR(IF(OR(R35="",S35="",T35=""),0,IF(T35&lt;OBJECTIFS!$E$56,0,IF(T35&lt;OBJECTIFS!$G$56,U$8*OBJECTIFS!$F$60,IF(T35&lt;OBJECTIFS!$I$56,U$8*OBJECTIFS!$H$60,U$8)))),0)</f>
        <v>0</v>
      </c>
      <c r="V35" s="20"/>
      <c r="W35" s="72" t="str">
        <f>IF(OR($A35="",$D35="",V35=""),"",SUMIFS(OBJECTIFS!H$9:H$39,OBJECTIFS!$A$9:$A$39,$D35,OBJECTIFS!$C$9:$C$39,$F35))</f>
        <v/>
      </c>
      <c r="X35" s="72" t="str">
        <f>IF(OR(AND($D35=OBJECTIFS!$B$6,OBJECTIFS!H$8="dmt"),AND($D35=OBJECTIFS!$B$13,OBJECTIFS!$H$15="dmt"),AND($D35=OBJECTIFS!$B$20,OBJECTIFS!$H$22="dmt"),AND($D35=OBJECTIFS!$B$27,OBJECTIFS!$H$29="dmt"),AND($D35=OBJECTIFS!$B$34,OBJECTIFS!$H$36="dmt"),AND($D35=OBJECTIFS!$B$6,OBJECTIFS!$H$8="taux de chute"),AND($D35=OBJECTIFS!$B$13,OBJECTIFS!$H$15="taux de chute"),AND($D35=OBJECTIFS!$B$20,OBJECTIFS!$H$22="taux de chute"),AND($D35=OBJECTIFS!$B$27,OBJECTIFS!$H$29="taux de chute"),AND($D35=OBJECTIFS!$B$34,OBJECTIFS!$H$36="taux de chute"),AND($D35=OBJECTIFS!$B$6,OBJECTIFS!H$8="tx mea"),AND($D35=OBJECTIFS!$B$13,OBJECTIFS!$H$15="tx mea"),AND($D35=OBJECTIFS!$B$20,OBJECTIFS!$H$22="tx mea"),AND($D35=OBJECTIFS!$B$27,OBJECTIFS!$H$29="tx mea"),AND($D35=OBJECTIFS!$B$34,OBJECTIFS!$H$36="tx mea")),IFERROR(W35/V35,""),IFERROR(V35/W35,""))</f>
        <v/>
      </c>
      <c r="Y35" s="149">
        <f>IFERROR(IF(OR(V35="",W35="",X35=""),0,IF(X35&lt;OBJECTIFS!$E$56,0,IF(X35&lt;OBJECTIFS!$G$56,Y$8*OBJECTIFS!$F$60,IF(X35&lt;OBJECTIFS!$I$56,Y$8*OBJECTIFS!$H$60,Y$8)))),0)</f>
        <v>0</v>
      </c>
      <c r="Z35" s="124"/>
      <c r="AA35" s="72" t="str">
        <f>IF(OR($A35="",$D35="",Z35=""),"",SUMIFS(OBJECTIFS!I$9:I$39,OBJECTIFS!$A$9:$A$39,$D35,OBJECTIFS!$C$9:$C$39,$F35))</f>
        <v/>
      </c>
      <c r="AB35" s="72" t="str">
        <f>IF(OR(AND($D35=OBJECTIFS!$B$6,OBJECTIFS!I$8="dmt"),AND($D35=OBJECTIFS!$B$13,OBJECTIFS!$I$15="dmt"),AND($D35=OBJECTIFS!$B$20,OBJECTIFS!$I$22="dmt"),AND($D35=OBJECTIFS!$B$27,OBJECTIFS!$I$29="dmt"),AND($D35=OBJECTIFS!$B$34,OBJECTIFS!$I$36="dmt"),AND($D35=OBJECTIFS!$B$6,OBJECTIFS!$I$8="taux de chute"),AND($D35=OBJECTIFS!$B$13,OBJECTIFS!$I$15="taux de chute"),AND($D35=OBJECTIFS!$B$20,OBJECTIFS!$I$22="taux de chute"),AND($D35=OBJECTIFS!$B$27,OBJECTIFS!$I$29="taux de chute"),AND($D35=OBJECTIFS!$B$34,OBJECTIFS!$I$36="taux de chute"),AND($D35=OBJECTIFS!$B$6,OBJECTIFS!I$8="tx mea"),AND($D35=OBJECTIFS!$B$13,OBJECTIFS!$I$15="tx mea"),AND($D35=OBJECTIFS!$B$20,OBJECTIFS!$I$22="tx mea"),AND($D35=OBJECTIFS!$B$27,OBJECTIFS!$I$29="tx mea"),AND($D35=OBJECTIFS!$B$34,OBJECTIFS!$I$36="tx mea")),IFERROR(AA35/Z35,""),IFERROR(Z35/AA35,""))</f>
        <v/>
      </c>
      <c r="AC35" s="155">
        <f>IFERROR(IF(OR(Z35="",AA35="",AB35=""),0,IF(AB35&lt;OBJECTIFS!$E$56,0,IF(AB35&lt;OBJECTIFS!$G$56,AC$8*OBJECTIFS!$F$60,IF(AB35&lt;OBJECTIFS!$I$56,AC$8*OBJECTIFS!$H$60,AC$8)))),0)</f>
        <v>0</v>
      </c>
      <c r="AD35" s="289"/>
      <c r="AE35" s="290"/>
      <c r="AF35" s="158">
        <f t="shared" ca="1" si="3"/>
        <v>0</v>
      </c>
      <c r="AG35" s="52"/>
      <c r="AH35" s="129"/>
      <c r="AI35" s="19"/>
      <c r="AJ35" s="19"/>
      <c r="AK35" s="19"/>
      <c r="AL35" s="19"/>
      <c r="AM35" s="63">
        <f t="shared" si="26"/>
        <v>0</v>
      </c>
      <c r="AN35" s="63">
        <f t="shared" si="8"/>
        <v>22</v>
      </c>
      <c r="AO35" s="64">
        <f t="shared" si="27"/>
        <v>0</v>
      </c>
      <c r="AP35" s="65" t="str">
        <f t="shared" ca="1" si="28"/>
        <v/>
      </c>
      <c r="AQ35" s="66"/>
      <c r="AR35" s="168">
        <f>IFERROR(VLOOKUP(B35,OBJECTIFS!$C$76:$E$137,2,FALSE),0)</f>
        <v>0</v>
      </c>
      <c r="AS35" s="173"/>
      <c r="AT35" s="170">
        <f>IFERROR(VLOOKUP(B35,OBJECTIFS!$H$76:$J$137,2,FALSE),0)</f>
        <v>0</v>
      </c>
      <c r="AU35" s="178">
        <f t="shared" si="6"/>
        <v>0</v>
      </c>
      <c r="AV35" s="173"/>
      <c r="AW35" s="74">
        <f>IFERROR(VLOOKUP(B35,OBJECTIFS!$C$142:$E$203,2,FALSE),0)</f>
        <v>0</v>
      </c>
      <c r="AX35" s="74">
        <f>IFERROR(VLOOKUP(B35,OBJECTIFS!$H$142:$J$203,2,FALSE),0)</f>
        <v>0</v>
      </c>
      <c r="AY35" s="174">
        <f>IFERROR(VLOOKUP(B35,OBJECTIFS!$F$208:$H$269,3,FALSE),0)</f>
        <v>0</v>
      </c>
      <c r="AZ35" s="66"/>
      <c r="BA35" s="75" t="str">
        <f t="shared" ca="1" si="7"/>
        <v/>
      </c>
      <c r="BB35" s="52"/>
      <c r="BC35" s="76">
        <f t="shared" ca="1" si="1"/>
        <v>0</v>
      </c>
      <c r="BD35" s="53" t="str">
        <f t="shared" ca="1" si="29"/>
        <v/>
      </c>
      <c r="BE35" s="77" t="str">
        <f t="shared" ca="1" si="9"/>
        <v/>
      </c>
    </row>
    <row r="36" spans="1:57" x14ac:dyDescent="0.2">
      <c r="A36" s="16"/>
      <c r="B36" s="17"/>
      <c r="C36" s="17"/>
      <c r="D36" s="18"/>
      <c r="E36" s="19"/>
      <c r="F36" s="27"/>
      <c r="H36" s="71" t="str">
        <f>IF(OR(D36="",F36="",A36=""),"",IF(E36="oui",0,IF(D36=OBJECTIFS!$C$45,VLOOKUP(F36,OBJECTIFS!$C$9:$D$11,2,FALSE),IF(D36=OBJECTIFS!$C$46,VLOOKUP(F36,OBJECTIFS!$C$16:$D$18,2,FALSE),IF(D36=OBJECTIFS!$C$47,VLOOKUP(F36,OBJECTIFS!$C$23:$D$25,2,FALSE),IF(D36=OBJECTIFS!$C$48,VLOOKUP(F36,OBJECTIFS!$C$30:$D$32,2,FALSE),IF(D36=OBJECTIFS!$C$49,VLOOKUP(F36,OBJECTIFS!$C$37:$D$39,2,FALSE))))))))</f>
        <v/>
      </c>
      <c r="J36" s="138"/>
      <c r="K36" s="141" t="str">
        <f>IF(OR($A36="",$D36="",J36=""),"",SUMIFS(OBJECTIFS!E$9:E$39,OBJECTIFS!$A$9:$A$39,$D36,OBJECTIFS!$C$9:$C$39,$F36))</f>
        <v/>
      </c>
      <c r="L36" s="72" t="str">
        <f>IF(OR(AND($D36=OBJECTIFS!$B$6,OBJECTIFS!E$8="dmt"),AND($D36=OBJECTIFS!$B$13,OBJECTIFS!$E$15="dmt"),AND($D36=OBJECTIFS!$B$20,OBJECTIFS!$E$22="dmt"),AND($D36=OBJECTIFS!$B$27,OBJECTIFS!$E$29="dmt"),AND($D36=OBJECTIFS!$B$34,OBJECTIFS!$E$36="dmt"),AND($D36=OBJECTIFS!$B$6,OBJECTIFS!$E$8="taux de chute"),AND($D36=OBJECTIFS!$B$13,OBJECTIFS!$E$15="taux de chute"),AND($D36=OBJECTIFS!$B$20,OBJECTIFS!$E$22="taux de chute"),AND($D36=OBJECTIFS!$B$27,OBJECTIFS!$E$29="taux de chute"),AND($D36=OBJECTIFS!$B$34,OBJECTIFS!$E$36="taux de chute"),AND($D36=OBJECTIFS!$B$6,OBJECTIFS!E$8="tx mea"),AND($D36=OBJECTIFS!$B$13,OBJECTIFS!$E$15="tx mea"),AND($D36=OBJECTIFS!$B$20,OBJECTIFS!$E$22="tx mea"),AND($D36=OBJECTIFS!$B$27,OBJECTIFS!$E$29="tx mea"),AND($D36=OBJECTIFS!$B$34,OBJECTIFS!$E$36="tx mea")),IFERROR(K36/J36,""),IFERROR(J36/K36,""))</f>
        <v/>
      </c>
      <c r="M36" s="149">
        <f>IFERROR(IF(OR(J36="",K36="",L36=""),0,IF(L36&lt;OBJECTIFS!$E$56,0,IF(L36&lt;OBJECTIFS!$G$56,M$8*OBJECTIFS!$F$60,IF(L36&lt;OBJECTIFS!$I$56,M$8*OBJECTIFS!$H$60,M$8)))),0)</f>
        <v>0</v>
      </c>
      <c r="N36" s="144"/>
      <c r="O36" s="145" t="str">
        <f>IF(OR($A36="",$D36="",N36=""),"",SUMIFS(OBJECTIFS!F$9:F$39,OBJECTIFS!$A$9:$A$39,$D36,OBJECTIFS!$C$9:$C$39,$F36))</f>
        <v/>
      </c>
      <c r="P36" s="72" t="str">
        <f>IF(OR(AND($D36=OBJECTIFS!$B$6,OBJECTIFS!$F$8="dmt"),AND($D36=OBJECTIFS!$B$13,OBJECTIFS!$F$15="dmt"),AND($D36=OBJECTIFS!$B$20,OBJECTIFS!$F$22="dmt"),AND($D36=OBJECTIFS!$B$27,OBJECTIFS!$F$29="dmt"),AND($D36=OBJECTIFS!$B$34,OBJECTIFS!$F$36="dmt"),AND($D36=OBJECTIFS!$B$6,OBJECTIFS!$F$8="taux de chute"),AND($D36=OBJECTIFS!$B$13,OBJECTIFS!$F$15="taux de chute"),AND($D36=OBJECTIFS!$B$20,OBJECTIFS!$F$22="taux de chute"),AND($D36=OBJECTIFS!$B$27,OBJECTIFS!$F$29="taux de chute"),AND($D36=OBJECTIFS!$B$34,OBJECTIFS!$F$36="taux de chute"),AND($D36=OBJECTIFS!$B$6,OBJECTIFS!$F$8="tx mea"),AND($D36=OBJECTIFS!$B$13,OBJECTIFS!$F$15="tx mea"),AND($D36=OBJECTIFS!$B$20,OBJECTIFS!$F$22="tx mea"),AND($D36=OBJECTIFS!$B$27,OBJECTIFS!$F$29="tx mea"),AND($D36=OBJECTIFS!$B$34,OBJECTIFS!$F$36="tx mea")),IFERROR(O36/N36,""),IFERROR(N36/O36,""))</f>
        <v/>
      </c>
      <c r="Q36" s="149">
        <f>IFERROR(IF(OR(N36="",O36="",P36=""),0,IF(P36&lt;OBJECTIFS!$E$56,0,IF(P36&lt;OBJECTIFS!$G$56,Q$8*OBJECTIFS!$F$60,IF(P36&lt;OBJECTIFS!$I$56,Q$8*OBJECTIFS!$H$60,Q$8)))),0)</f>
        <v>0</v>
      </c>
      <c r="R36" s="121"/>
      <c r="S36" s="73" t="str">
        <f>IF(OR($A36="",$D36="",R36=""),"",SUMIFS(OBJECTIFS!G$9:G$39,OBJECTIFS!$A$9:$A$39,$D36,OBJECTIFS!$C$9:$C$39,$F36))</f>
        <v/>
      </c>
      <c r="T36" s="72" t="str">
        <f>IF(OR(AND($D36=OBJECTIFS!$B$6,OBJECTIFS!G$8="dmt"),AND($D36=OBJECTIFS!$B$13,OBJECTIFS!$G$15="dmt"),AND($D36=OBJECTIFS!$B$20,OBJECTIFS!$G$22="dmt"),AND($D36=OBJECTIFS!$B$27,OBJECTIFS!$G$29="dmt"),AND($D36=OBJECTIFS!$B$34,OBJECTIFS!$G$36="dmt"),AND($D36=OBJECTIFS!$B$6,OBJECTIFS!$G$8="taux de chute"),AND($D36=OBJECTIFS!$B$13,OBJECTIFS!$G$15="taux de chute"),AND($D36=OBJECTIFS!$B$20,OBJECTIFS!$G$22="taux de chute"),AND($D36=OBJECTIFS!$B$27,OBJECTIFS!$G$29="taux de chute"),AND($D36=OBJECTIFS!$B$34,OBJECTIFS!$G$36="taux de chute",AND($D36=OBJECTIFS!$B$6,OBJECTIFS!G$8="tx mea"),AND($D36=OBJECTIFS!$B$13,OBJECTIFS!$G$15="tx mea"),AND($D36=OBJECTIFS!$B$20,OBJECTIFS!$G$22="tx mea"),AND($D36=OBJECTIFS!$B$27,OBJECTIFS!$G$29="tx mea"),AND($D36=OBJECTIFS!$B$34,OBJECTIFS!$G$36="tx mea"))),IFERROR(S36/R36,""),IFERROR(R36/S36,""))</f>
        <v/>
      </c>
      <c r="U36" s="152">
        <f>IFERROR(IF(OR(R36="",S36="",T36=""),0,IF(T36&lt;OBJECTIFS!$E$56,0,IF(T36&lt;OBJECTIFS!$G$56,U$8*OBJECTIFS!$F$60,IF(T36&lt;OBJECTIFS!$I$56,U$8*OBJECTIFS!$H$60,U$8)))),0)</f>
        <v>0</v>
      </c>
      <c r="V36" s="20"/>
      <c r="W36" s="72" t="str">
        <f>IF(OR($A36="",$D36="",V36=""),"",SUMIFS(OBJECTIFS!H$9:H$39,OBJECTIFS!$A$9:$A$39,$D36,OBJECTIFS!$C$9:$C$39,$F36))</f>
        <v/>
      </c>
      <c r="X36" s="72" t="str">
        <f>IF(OR(AND($D36=OBJECTIFS!$B$6,OBJECTIFS!H$8="dmt"),AND($D36=OBJECTIFS!$B$13,OBJECTIFS!$H$15="dmt"),AND($D36=OBJECTIFS!$B$20,OBJECTIFS!$H$22="dmt"),AND($D36=OBJECTIFS!$B$27,OBJECTIFS!$H$29="dmt"),AND($D36=OBJECTIFS!$B$34,OBJECTIFS!$H$36="dmt"),AND($D36=OBJECTIFS!$B$6,OBJECTIFS!$H$8="taux de chute"),AND($D36=OBJECTIFS!$B$13,OBJECTIFS!$H$15="taux de chute"),AND($D36=OBJECTIFS!$B$20,OBJECTIFS!$H$22="taux de chute"),AND($D36=OBJECTIFS!$B$27,OBJECTIFS!$H$29="taux de chute"),AND($D36=OBJECTIFS!$B$34,OBJECTIFS!$H$36="taux de chute"),AND($D36=OBJECTIFS!$B$6,OBJECTIFS!H$8="tx mea"),AND($D36=OBJECTIFS!$B$13,OBJECTIFS!$H$15="tx mea"),AND($D36=OBJECTIFS!$B$20,OBJECTIFS!$H$22="tx mea"),AND($D36=OBJECTIFS!$B$27,OBJECTIFS!$H$29="tx mea"),AND($D36=OBJECTIFS!$B$34,OBJECTIFS!$H$36="tx mea")),IFERROR(W36/V36,""),IFERROR(V36/W36,""))</f>
        <v/>
      </c>
      <c r="Y36" s="149">
        <f>IFERROR(IF(OR(V36="",W36="",X36=""),0,IF(X36&lt;OBJECTIFS!$E$56,0,IF(X36&lt;OBJECTIFS!$G$56,Y$8*OBJECTIFS!$F$60,IF(X36&lt;OBJECTIFS!$I$56,Y$8*OBJECTIFS!$H$60,Y$8)))),0)</f>
        <v>0</v>
      </c>
      <c r="Z36" s="124"/>
      <c r="AA36" s="72" t="str">
        <f>IF(OR($A36="",$D36="",Z36=""),"",SUMIFS(OBJECTIFS!I$9:I$39,OBJECTIFS!$A$9:$A$39,$D36,OBJECTIFS!$C$9:$C$39,$F36))</f>
        <v/>
      </c>
      <c r="AB36" s="72" t="str">
        <f>IF(OR(AND($D36=OBJECTIFS!$B$6,OBJECTIFS!I$8="dmt"),AND($D36=OBJECTIFS!$B$13,OBJECTIFS!$I$15="dmt"),AND($D36=OBJECTIFS!$B$20,OBJECTIFS!$I$22="dmt"),AND($D36=OBJECTIFS!$B$27,OBJECTIFS!$I$29="dmt"),AND($D36=OBJECTIFS!$B$34,OBJECTIFS!$I$36="dmt"),AND($D36=OBJECTIFS!$B$6,OBJECTIFS!$I$8="taux de chute"),AND($D36=OBJECTIFS!$B$13,OBJECTIFS!$I$15="taux de chute"),AND($D36=OBJECTIFS!$B$20,OBJECTIFS!$I$22="taux de chute"),AND($D36=OBJECTIFS!$B$27,OBJECTIFS!$I$29="taux de chute"),AND($D36=OBJECTIFS!$B$34,OBJECTIFS!$I$36="taux de chute"),AND($D36=OBJECTIFS!$B$6,OBJECTIFS!I$8="tx mea"),AND($D36=OBJECTIFS!$B$13,OBJECTIFS!$I$15="tx mea"),AND($D36=OBJECTIFS!$B$20,OBJECTIFS!$I$22="tx mea"),AND($D36=OBJECTIFS!$B$27,OBJECTIFS!$I$29="tx mea"),AND($D36=OBJECTIFS!$B$34,OBJECTIFS!$I$36="tx mea")),IFERROR(AA36/Z36,""),IFERROR(Z36/AA36,""))</f>
        <v/>
      </c>
      <c r="AC36" s="155">
        <f>IFERROR(IF(OR(Z36="",AA36="",AB36=""),0,IF(AB36&lt;OBJECTIFS!$E$56,0,IF(AB36&lt;OBJECTIFS!$G$56,AC$8*OBJECTIFS!$F$60,IF(AB36&lt;OBJECTIFS!$I$56,AC$8*OBJECTIFS!$H$60,AC$8)))),0)</f>
        <v>0</v>
      </c>
      <c r="AD36" s="289"/>
      <c r="AE36" s="290"/>
      <c r="AF36" s="158">
        <f t="shared" ca="1" si="3"/>
        <v>0</v>
      </c>
      <c r="AG36" s="52"/>
      <c r="AH36" s="129"/>
      <c r="AI36" s="19"/>
      <c r="AJ36" s="19"/>
      <c r="AK36" s="19"/>
      <c r="AL36" s="19"/>
      <c r="AM36" s="63">
        <f t="shared" si="26"/>
        <v>0</v>
      </c>
      <c r="AN36" s="63">
        <f t="shared" si="8"/>
        <v>22</v>
      </c>
      <c r="AO36" s="64">
        <f t="shared" si="27"/>
        <v>0</v>
      </c>
      <c r="AP36" s="65" t="str">
        <f t="shared" ca="1" si="28"/>
        <v/>
      </c>
      <c r="AQ36" s="66"/>
      <c r="AR36" s="168">
        <f>IFERROR(VLOOKUP(B36,OBJECTIFS!$C$76:$E$137,2,FALSE),0)</f>
        <v>0</v>
      </c>
      <c r="AS36" s="173"/>
      <c r="AT36" s="170">
        <f>IFERROR(VLOOKUP(B36,OBJECTIFS!$H$76:$J$137,2,FALSE),0)</f>
        <v>0</v>
      </c>
      <c r="AU36" s="178">
        <f t="shared" si="6"/>
        <v>0</v>
      </c>
      <c r="AV36" s="173"/>
      <c r="AW36" s="74">
        <f>IFERROR(VLOOKUP(B36,OBJECTIFS!$C$142:$E$203,2,FALSE),0)</f>
        <v>0</v>
      </c>
      <c r="AX36" s="74">
        <f>IFERROR(VLOOKUP(B36,OBJECTIFS!$H$142:$J$203,2,FALSE),0)</f>
        <v>0</v>
      </c>
      <c r="AY36" s="174">
        <f>IFERROR(VLOOKUP(B36,OBJECTIFS!$F$208:$H$269,3,FALSE),0)</f>
        <v>0</v>
      </c>
      <c r="AZ36" s="66"/>
      <c r="BA36" s="75" t="str">
        <f t="shared" ca="1" si="7"/>
        <v/>
      </c>
      <c r="BB36" s="52"/>
      <c r="BC36" s="76">
        <f t="shared" ca="1" si="1"/>
        <v>0</v>
      </c>
      <c r="BD36" s="53" t="str">
        <f t="shared" ca="1" si="29"/>
        <v/>
      </c>
      <c r="BE36" s="77" t="str">
        <f t="shared" ca="1" si="9"/>
        <v/>
      </c>
    </row>
    <row r="37" spans="1:57" x14ac:dyDescent="0.2">
      <c r="A37" s="16"/>
      <c r="B37" s="17"/>
      <c r="C37" s="17"/>
      <c r="D37" s="18"/>
      <c r="E37" s="19"/>
      <c r="F37" s="27"/>
      <c r="H37" s="71" t="str">
        <f>IF(OR(D37="",F37="",A37=""),"",IF(E37="oui",0,IF(D37=OBJECTIFS!$C$45,VLOOKUP(F37,OBJECTIFS!$C$9:$D$11,2,FALSE),IF(D37=OBJECTIFS!$C$46,VLOOKUP(F37,OBJECTIFS!$C$16:$D$18,2,FALSE),IF(D37=OBJECTIFS!$C$47,VLOOKUP(F37,OBJECTIFS!$C$23:$D$25,2,FALSE),IF(D37=OBJECTIFS!$C$48,VLOOKUP(F37,OBJECTIFS!$C$30:$D$32,2,FALSE),IF(D37=OBJECTIFS!$C$49,VLOOKUP(F37,OBJECTIFS!$C$37:$D$39,2,FALSE))))))))</f>
        <v/>
      </c>
      <c r="J37" s="138"/>
      <c r="K37" s="141" t="str">
        <f>IF(OR($A37="",$D37="",J37=""),"",SUMIFS(OBJECTIFS!E$9:E$39,OBJECTIFS!$A$9:$A$39,$D37,OBJECTIFS!$C$9:$C$39,$F37))</f>
        <v/>
      </c>
      <c r="L37" s="72" t="str">
        <f>IF(OR(AND($D37=OBJECTIFS!$B$6,OBJECTIFS!E$8="dmt"),AND($D37=OBJECTIFS!$B$13,OBJECTIFS!$E$15="dmt"),AND($D37=OBJECTIFS!$B$20,OBJECTIFS!$E$22="dmt"),AND($D37=OBJECTIFS!$B$27,OBJECTIFS!$E$29="dmt"),AND($D37=OBJECTIFS!$B$34,OBJECTIFS!$E$36="dmt"),AND($D37=OBJECTIFS!$B$6,OBJECTIFS!$E$8="taux de chute"),AND($D37=OBJECTIFS!$B$13,OBJECTIFS!$E$15="taux de chute"),AND($D37=OBJECTIFS!$B$20,OBJECTIFS!$E$22="taux de chute"),AND($D37=OBJECTIFS!$B$27,OBJECTIFS!$E$29="taux de chute"),AND($D37=OBJECTIFS!$B$34,OBJECTIFS!$E$36="taux de chute"),AND($D37=OBJECTIFS!$B$6,OBJECTIFS!E$8="tx mea"),AND($D37=OBJECTIFS!$B$13,OBJECTIFS!$E$15="tx mea"),AND($D37=OBJECTIFS!$B$20,OBJECTIFS!$E$22="tx mea"),AND($D37=OBJECTIFS!$B$27,OBJECTIFS!$E$29="tx mea"),AND($D37=OBJECTIFS!$B$34,OBJECTIFS!$E$36="tx mea")),IFERROR(K37/J37,""),IFERROR(J37/K37,""))</f>
        <v/>
      </c>
      <c r="M37" s="149">
        <f>IFERROR(IF(OR(J37="",K37="",L37=""),0,IF(L37&lt;OBJECTIFS!$E$56,0,IF(L37&lt;OBJECTIFS!$G$56,M$8*OBJECTIFS!$F$60,IF(L37&lt;OBJECTIFS!$I$56,M$8*OBJECTIFS!$H$60,M$8)))),0)</f>
        <v>0</v>
      </c>
      <c r="N37" s="144"/>
      <c r="O37" s="145" t="str">
        <f>IF(OR($A37="",$D37="",N37=""),"",SUMIFS(OBJECTIFS!F$9:F$39,OBJECTIFS!$A$9:$A$39,$D37,OBJECTIFS!$C$9:$C$39,$F37))</f>
        <v/>
      </c>
      <c r="P37" s="72" t="str">
        <f>IF(OR(AND($D37=OBJECTIFS!$B$6,OBJECTIFS!$F$8="dmt"),AND($D37=OBJECTIFS!$B$13,OBJECTIFS!$F$15="dmt"),AND($D37=OBJECTIFS!$B$20,OBJECTIFS!$F$22="dmt"),AND($D37=OBJECTIFS!$B$27,OBJECTIFS!$F$29="dmt"),AND($D37=OBJECTIFS!$B$34,OBJECTIFS!$F$36="dmt"),AND($D37=OBJECTIFS!$B$6,OBJECTIFS!$F$8="taux de chute"),AND($D37=OBJECTIFS!$B$13,OBJECTIFS!$F$15="taux de chute"),AND($D37=OBJECTIFS!$B$20,OBJECTIFS!$F$22="taux de chute"),AND($D37=OBJECTIFS!$B$27,OBJECTIFS!$F$29="taux de chute"),AND($D37=OBJECTIFS!$B$34,OBJECTIFS!$F$36="taux de chute"),AND($D37=OBJECTIFS!$B$6,OBJECTIFS!$F$8="tx mea"),AND($D37=OBJECTIFS!$B$13,OBJECTIFS!$F$15="tx mea"),AND($D37=OBJECTIFS!$B$20,OBJECTIFS!$F$22="tx mea"),AND($D37=OBJECTIFS!$B$27,OBJECTIFS!$F$29="tx mea"),AND($D37=OBJECTIFS!$B$34,OBJECTIFS!$F$36="tx mea")),IFERROR(O37/N37,""),IFERROR(N37/O37,""))</f>
        <v/>
      </c>
      <c r="Q37" s="149">
        <f>IFERROR(IF(OR(N37="",O37="",P37=""),0,IF(P37&lt;OBJECTIFS!$E$56,0,IF(P37&lt;OBJECTIFS!$G$56,Q$8*OBJECTIFS!$F$60,IF(P37&lt;OBJECTIFS!$I$56,Q$8*OBJECTIFS!$H$60,Q$8)))),0)</f>
        <v>0</v>
      </c>
      <c r="R37" s="121"/>
      <c r="S37" s="73" t="str">
        <f>IF(OR($A37="",$D37="",R37=""),"",SUMIFS(OBJECTIFS!G$9:G$39,OBJECTIFS!$A$9:$A$39,$D37,OBJECTIFS!$C$9:$C$39,$F37))</f>
        <v/>
      </c>
      <c r="T37" s="72" t="str">
        <f>IF(OR(AND($D37=OBJECTIFS!$B$6,OBJECTIFS!G$8="dmt"),AND($D37=OBJECTIFS!$B$13,OBJECTIFS!$G$15="dmt"),AND($D37=OBJECTIFS!$B$20,OBJECTIFS!$G$22="dmt"),AND($D37=OBJECTIFS!$B$27,OBJECTIFS!$G$29="dmt"),AND($D37=OBJECTIFS!$B$34,OBJECTIFS!$G$36="dmt"),AND($D37=OBJECTIFS!$B$6,OBJECTIFS!$G$8="taux de chute"),AND($D37=OBJECTIFS!$B$13,OBJECTIFS!$G$15="taux de chute"),AND($D37=OBJECTIFS!$B$20,OBJECTIFS!$G$22="taux de chute"),AND($D37=OBJECTIFS!$B$27,OBJECTIFS!$G$29="taux de chute"),AND($D37=OBJECTIFS!$B$34,OBJECTIFS!$G$36="taux de chute",AND($D37=OBJECTIFS!$B$6,OBJECTIFS!G$8="tx mea"),AND($D37=OBJECTIFS!$B$13,OBJECTIFS!$G$15="tx mea"),AND($D37=OBJECTIFS!$B$20,OBJECTIFS!$G$22="tx mea"),AND($D37=OBJECTIFS!$B$27,OBJECTIFS!$G$29="tx mea"),AND($D37=OBJECTIFS!$B$34,OBJECTIFS!$G$36="tx mea"))),IFERROR(S37/R37,""),IFERROR(R37/S37,""))</f>
        <v/>
      </c>
      <c r="U37" s="152">
        <f>IFERROR(IF(OR(R37="",S37="",T37=""),0,IF(T37&lt;OBJECTIFS!$E$56,0,IF(T37&lt;OBJECTIFS!$G$56,U$8*OBJECTIFS!$F$60,IF(T37&lt;OBJECTIFS!$I$56,U$8*OBJECTIFS!$H$60,U$8)))),0)</f>
        <v>0</v>
      </c>
      <c r="V37" s="20"/>
      <c r="W37" s="72" t="str">
        <f>IF(OR($A37="",$D37="",V37=""),"",SUMIFS(OBJECTIFS!H$9:H$39,OBJECTIFS!$A$9:$A$39,$D37,OBJECTIFS!$C$9:$C$39,$F37))</f>
        <v/>
      </c>
      <c r="X37" s="72" t="str">
        <f>IF(OR(AND($D37=OBJECTIFS!$B$6,OBJECTIFS!H$8="dmt"),AND($D37=OBJECTIFS!$B$13,OBJECTIFS!$H$15="dmt"),AND($D37=OBJECTIFS!$B$20,OBJECTIFS!$H$22="dmt"),AND($D37=OBJECTIFS!$B$27,OBJECTIFS!$H$29="dmt"),AND($D37=OBJECTIFS!$B$34,OBJECTIFS!$H$36="dmt"),AND($D37=OBJECTIFS!$B$6,OBJECTIFS!$H$8="taux de chute"),AND($D37=OBJECTIFS!$B$13,OBJECTIFS!$H$15="taux de chute"),AND($D37=OBJECTIFS!$B$20,OBJECTIFS!$H$22="taux de chute"),AND($D37=OBJECTIFS!$B$27,OBJECTIFS!$H$29="taux de chute"),AND($D37=OBJECTIFS!$B$34,OBJECTIFS!$H$36="taux de chute"),AND($D37=OBJECTIFS!$B$6,OBJECTIFS!H$8="tx mea"),AND($D37=OBJECTIFS!$B$13,OBJECTIFS!$H$15="tx mea"),AND($D37=OBJECTIFS!$B$20,OBJECTIFS!$H$22="tx mea"),AND($D37=OBJECTIFS!$B$27,OBJECTIFS!$H$29="tx mea"),AND($D37=OBJECTIFS!$B$34,OBJECTIFS!$H$36="tx mea")),IFERROR(W37/V37,""),IFERROR(V37/W37,""))</f>
        <v/>
      </c>
      <c r="Y37" s="149">
        <f>IFERROR(IF(OR(V37="",W37="",X37=""),0,IF(X37&lt;OBJECTIFS!$E$56,0,IF(X37&lt;OBJECTIFS!$G$56,Y$8*OBJECTIFS!$F$60,IF(X37&lt;OBJECTIFS!$I$56,Y$8*OBJECTIFS!$H$60,Y$8)))),0)</f>
        <v>0</v>
      </c>
      <c r="Z37" s="124"/>
      <c r="AA37" s="72" t="str">
        <f>IF(OR($A37="",$D37="",Z37=""),"",SUMIFS(OBJECTIFS!I$9:I$39,OBJECTIFS!$A$9:$A$39,$D37,OBJECTIFS!$C$9:$C$39,$F37))</f>
        <v/>
      </c>
      <c r="AB37" s="72" t="str">
        <f>IF(OR(AND($D37=OBJECTIFS!$B$6,OBJECTIFS!I$8="dmt"),AND($D37=OBJECTIFS!$B$13,OBJECTIFS!$I$15="dmt"),AND($D37=OBJECTIFS!$B$20,OBJECTIFS!$I$22="dmt"),AND($D37=OBJECTIFS!$B$27,OBJECTIFS!$I$29="dmt"),AND($D37=OBJECTIFS!$B$34,OBJECTIFS!$I$36="dmt"),AND($D37=OBJECTIFS!$B$6,OBJECTIFS!$I$8="taux de chute"),AND($D37=OBJECTIFS!$B$13,OBJECTIFS!$I$15="taux de chute"),AND($D37=OBJECTIFS!$B$20,OBJECTIFS!$I$22="taux de chute"),AND($D37=OBJECTIFS!$B$27,OBJECTIFS!$I$29="taux de chute"),AND($D37=OBJECTIFS!$B$34,OBJECTIFS!$I$36="taux de chute"),AND($D37=OBJECTIFS!$B$6,OBJECTIFS!I$8="tx mea"),AND($D37=OBJECTIFS!$B$13,OBJECTIFS!$I$15="tx mea"),AND($D37=OBJECTIFS!$B$20,OBJECTIFS!$I$22="tx mea"),AND($D37=OBJECTIFS!$B$27,OBJECTIFS!$I$29="tx mea"),AND($D37=OBJECTIFS!$B$34,OBJECTIFS!$I$36="tx mea")),IFERROR(AA37/Z37,""),IFERROR(Z37/AA37,""))</f>
        <v/>
      </c>
      <c r="AC37" s="155">
        <f>IFERROR(IF(OR(Z37="",AA37="",AB37=""),0,IF(AB37&lt;OBJECTIFS!$E$56,0,IF(AB37&lt;OBJECTIFS!$G$56,AC$8*OBJECTIFS!$F$60,IF(AB37&lt;OBJECTIFS!$I$56,AC$8*OBJECTIFS!$H$60,AC$8)))),0)</f>
        <v>0</v>
      </c>
      <c r="AD37" s="289"/>
      <c r="AE37" s="290"/>
      <c r="AF37" s="158">
        <f t="shared" ca="1" si="3"/>
        <v>0</v>
      </c>
      <c r="AG37" s="52"/>
      <c r="AH37" s="129"/>
      <c r="AI37" s="19"/>
      <c r="AJ37" s="19"/>
      <c r="AK37" s="19"/>
      <c r="AL37" s="19"/>
      <c r="AM37" s="63">
        <f t="shared" si="26"/>
        <v>0</v>
      </c>
      <c r="AN37" s="63">
        <f t="shared" si="8"/>
        <v>22</v>
      </c>
      <c r="AO37" s="64">
        <f t="shared" si="27"/>
        <v>0</v>
      </c>
      <c r="AP37" s="65" t="str">
        <f t="shared" ca="1" si="28"/>
        <v/>
      </c>
      <c r="AQ37" s="66"/>
      <c r="AR37" s="168">
        <f>IFERROR(VLOOKUP(B37,OBJECTIFS!$C$76:$E$137,2,FALSE),0)</f>
        <v>0</v>
      </c>
      <c r="AS37" s="173"/>
      <c r="AT37" s="170">
        <f>IFERROR(VLOOKUP(B37,OBJECTIFS!$H$76:$J$137,2,FALSE),0)</f>
        <v>0</v>
      </c>
      <c r="AU37" s="178">
        <f t="shared" si="6"/>
        <v>0</v>
      </c>
      <c r="AV37" s="173"/>
      <c r="AW37" s="74">
        <f>IFERROR(VLOOKUP(B37,OBJECTIFS!$C$142:$E$203,2,FALSE),0)</f>
        <v>0</v>
      </c>
      <c r="AX37" s="74">
        <f>IFERROR(VLOOKUP(B37,OBJECTIFS!$H$142:$J$203,2,FALSE),0)</f>
        <v>0</v>
      </c>
      <c r="AY37" s="174">
        <f>IFERROR(VLOOKUP(B37,OBJECTIFS!$F$208:$H$269,3,FALSE),0)</f>
        <v>0</v>
      </c>
      <c r="AZ37" s="66"/>
      <c r="BA37" s="75" t="str">
        <f t="shared" ca="1" si="7"/>
        <v/>
      </c>
      <c r="BB37" s="52"/>
      <c r="BC37" s="76">
        <f t="shared" ca="1" si="1"/>
        <v>0</v>
      </c>
      <c r="BD37" s="53" t="str">
        <f t="shared" ca="1" si="29"/>
        <v/>
      </c>
      <c r="BE37" s="77" t="str">
        <f t="shared" ca="1" si="9"/>
        <v/>
      </c>
    </row>
    <row r="38" spans="1:57" x14ac:dyDescent="0.2">
      <c r="A38" s="16"/>
      <c r="B38" s="17"/>
      <c r="C38" s="17"/>
      <c r="D38" s="18"/>
      <c r="E38" s="19"/>
      <c r="F38" s="27"/>
      <c r="H38" s="71" t="str">
        <f>IF(OR(D38="",F38="",A38=""),"",IF(E38="oui",0,IF(D38=OBJECTIFS!$C$45,VLOOKUP(F38,OBJECTIFS!$C$9:$D$11,2,FALSE),IF(D38=OBJECTIFS!$C$46,VLOOKUP(F38,OBJECTIFS!$C$16:$D$18,2,FALSE),IF(D38=OBJECTIFS!$C$47,VLOOKUP(F38,OBJECTIFS!$C$23:$D$25,2,FALSE),IF(D38=OBJECTIFS!$C$48,VLOOKUP(F38,OBJECTIFS!$C$30:$D$32,2,FALSE),IF(D38=OBJECTIFS!$C$49,VLOOKUP(F38,OBJECTIFS!$C$37:$D$39,2,FALSE))))))))</f>
        <v/>
      </c>
      <c r="J38" s="138"/>
      <c r="K38" s="141" t="str">
        <f>IF(OR($A38="",$D38="",J38=""),"",SUMIFS(OBJECTIFS!E$9:E$39,OBJECTIFS!$A$9:$A$39,$D38,OBJECTIFS!$C$9:$C$39,$F38))</f>
        <v/>
      </c>
      <c r="L38" s="72" t="str">
        <f>IF(OR(AND($D38=OBJECTIFS!$B$6,OBJECTIFS!E$8="dmt"),AND($D38=OBJECTIFS!$B$13,OBJECTIFS!$E$15="dmt"),AND($D38=OBJECTIFS!$B$20,OBJECTIFS!$E$22="dmt"),AND($D38=OBJECTIFS!$B$27,OBJECTIFS!$E$29="dmt"),AND($D38=OBJECTIFS!$B$34,OBJECTIFS!$E$36="dmt"),AND($D38=OBJECTIFS!$B$6,OBJECTIFS!$E$8="taux de chute"),AND($D38=OBJECTIFS!$B$13,OBJECTIFS!$E$15="taux de chute"),AND($D38=OBJECTIFS!$B$20,OBJECTIFS!$E$22="taux de chute"),AND($D38=OBJECTIFS!$B$27,OBJECTIFS!$E$29="taux de chute"),AND($D38=OBJECTIFS!$B$34,OBJECTIFS!$E$36="taux de chute"),AND($D38=OBJECTIFS!$B$6,OBJECTIFS!E$8="tx mea"),AND($D38=OBJECTIFS!$B$13,OBJECTIFS!$E$15="tx mea"),AND($D38=OBJECTIFS!$B$20,OBJECTIFS!$E$22="tx mea"),AND($D38=OBJECTIFS!$B$27,OBJECTIFS!$E$29="tx mea"),AND($D38=OBJECTIFS!$B$34,OBJECTIFS!$E$36="tx mea")),IFERROR(K38/J38,""),IFERROR(J38/K38,""))</f>
        <v/>
      </c>
      <c r="M38" s="149">
        <f>IFERROR(IF(OR(J38="",K38="",L38=""),0,IF(L38&lt;OBJECTIFS!$E$56,0,IF(L38&lt;OBJECTIFS!$G$56,M$8*OBJECTIFS!$F$60,IF(L38&lt;OBJECTIFS!$I$56,M$8*OBJECTIFS!$H$60,M$8)))),0)</f>
        <v>0</v>
      </c>
      <c r="N38" s="144"/>
      <c r="O38" s="145" t="str">
        <f>IF(OR($A38="",$D38="",N38=""),"",SUMIFS(OBJECTIFS!F$9:F$39,OBJECTIFS!$A$9:$A$39,$D38,OBJECTIFS!$C$9:$C$39,$F38))</f>
        <v/>
      </c>
      <c r="P38" s="72" t="str">
        <f>IF(OR(AND($D38=OBJECTIFS!$B$6,OBJECTIFS!$F$8="dmt"),AND($D38=OBJECTIFS!$B$13,OBJECTIFS!$F$15="dmt"),AND($D38=OBJECTIFS!$B$20,OBJECTIFS!$F$22="dmt"),AND($D38=OBJECTIFS!$B$27,OBJECTIFS!$F$29="dmt"),AND($D38=OBJECTIFS!$B$34,OBJECTIFS!$F$36="dmt"),AND($D38=OBJECTIFS!$B$6,OBJECTIFS!$F$8="taux de chute"),AND($D38=OBJECTIFS!$B$13,OBJECTIFS!$F$15="taux de chute"),AND($D38=OBJECTIFS!$B$20,OBJECTIFS!$F$22="taux de chute"),AND($D38=OBJECTIFS!$B$27,OBJECTIFS!$F$29="taux de chute"),AND($D38=OBJECTIFS!$B$34,OBJECTIFS!$F$36="taux de chute"),AND($D38=OBJECTIFS!$B$6,OBJECTIFS!$F$8="tx mea"),AND($D38=OBJECTIFS!$B$13,OBJECTIFS!$F$15="tx mea"),AND($D38=OBJECTIFS!$B$20,OBJECTIFS!$F$22="tx mea"),AND($D38=OBJECTIFS!$B$27,OBJECTIFS!$F$29="tx mea"),AND($D38=OBJECTIFS!$B$34,OBJECTIFS!$F$36="tx mea")),IFERROR(O38/N38,""),IFERROR(N38/O38,""))</f>
        <v/>
      </c>
      <c r="Q38" s="149">
        <f>IFERROR(IF(OR(N38="",O38="",P38=""),0,IF(P38&lt;OBJECTIFS!$E$56,0,IF(P38&lt;OBJECTIFS!$G$56,Q$8*OBJECTIFS!$F$60,IF(P38&lt;OBJECTIFS!$I$56,Q$8*OBJECTIFS!$H$60,Q$8)))),0)</f>
        <v>0</v>
      </c>
      <c r="R38" s="121"/>
      <c r="S38" s="73" t="str">
        <f>IF(OR($A38="",$D38="",R38=""),"",SUMIFS(OBJECTIFS!G$9:G$39,OBJECTIFS!$A$9:$A$39,$D38,OBJECTIFS!$C$9:$C$39,$F38))</f>
        <v/>
      </c>
      <c r="T38" s="72" t="str">
        <f>IF(OR(AND($D38=OBJECTIFS!$B$6,OBJECTIFS!G$8="dmt"),AND($D38=OBJECTIFS!$B$13,OBJECTIFS!$G$15="dmt"),AND($D38=OBJECTIFS!$B$20,OBJECTIFS!$G$22="dmt"),AND($D38=OBJECTIFS!$B$27,OBJECTIFS!$G$29="dmt"),AND($D38=OBJECTIFS!$B$34,OBJECTIFS!$G$36="dmt"),AND($D38=OBJECTIFS!$B$6,OBJECTIFS!$G$8="taux de chute"),AND($D38=OBJECTIFS!$B$13,OBJECTIFS!$G$15="taux de chute"),AND($D38=OBJECTIFS!$B$20,OBJECTIFS!$G$22="taux de chute"),AND($D38=OBJECTIFS!$B$27,OBJECTIFS!$G$29="taux de chute"),AND($D38=OBJECTIFS!$B$34,OBJECTIFS!$G$36="taux de chute",AND($D38=OBJECTIFS!$B$6,OBJECTIFS!G$8="tx mea"),AND($D38=OBJECTIFS!$B$13,OBJECTIFS!$G$15="tx mea"),AND($D38=OBJECTIFS!$B$20,OBJECTIFS!$G$22="tx mea"),AND($D38=OBJECTIFS!$B$27,OBJECTIFS!$G$29="tx mea"),AND($D38=OBJECTIFS!$B$34,OBJECTIFS!$G$36="tx mea"))),IFERROR(S38/R38,""),IFERROR(R38/S38,""))</f>
        <v/>
      </c>
      <c r="U38" s="152">
        <f>IFERROR(IF(OR(R38="",S38="",T38=""),0,IF(T38&lt;OBJECTIFS!$E$56,0,IF(T38&lt;OBJECTIFS!$G$56,U$8*OBJECTIFS!$F$60,IF(T38&lt;OBJECTIFS!$I$56,U$8*OBJECTIFS!$H$60,U$8)))),0)</f>
        <v>0</v>
      </c>
      <c r="V38" s="20"/>
      <c r="W38" s="72" t="str">
        <f>IF(OR($A38="",$D38="",V38=""),"",SUMIFS(OBJECTIFS!H$9:H$39,OBJECTIFS!$A$9:$A$39,$D38,OBJECTIFS!$C$9:$C$39,$F38))</f>
        <v/>
      </c>
      <c r="X38" s="72" t="str">
        <f>IF(OR(AND($D38=OBJECTIFS!$B$6,OBJECTIFS!H$8="dmt"),AND($D38=OBJECTIFS!$B$13,OBJECTIFS!$H$15="dmt"),AND($D38=OBJECTIFS!$B$20,OBJECTIFS!$H$22="dmt"),AND($D38=OBJECTIFS!$B$27,OBJECTIFS!$H$29="dmt"),AND($D38=OBJECTIFS!$B$34,OBJECTIFS!$H$36="dmt"),AND($D38=OBJECTIFS!$B$6,OBJECTIFS!$H$8="taux de chute"),AND($D38=OBJECTIFS!$B$13,OBJECTIFS!$H$15="taux de chute"),AND($D38=OBJECTIFS!$B$20,OBJECTIFS!$H$22="taux de chute"),AND($D38=OBJECTIFS!$B$27,OBJECTIFS!$H$29="taux de chute"),AND($D38=OBJECTIFS!$B$34,OBJECTIFS!$H$36="taux de chute"),AND($D38=OBJECTIFS!$B$6,OBJECTIFS!H$8="tx mea"),AND($D38=OBJECTIFS!$B$13,OBJECTIFS!$H$15="tx mea"),AND($D38=OBJECTIFS!$B$20,OBJECTIFS!$H$22="tx mea"),AND($D38=OBJECTIFS!$B$27,OBJECTIFS!$H$29="tx mea"),AND($D38=OBJECTIFS!$B$34,OBJECTIFS!$H$36="tx mea")),IFERROR(W38/V38,""),IFERROR(V38/W38,""))</f>
        <v/>
      </c>
      <c r="Y38" s="149">
        <f>IFERROR(IF(OR(V38="",W38="",X38=""),0,IF(X38&lt;OBJECTIFS!$E$56,0,IF(X38&lt;OBJECTIFS!$G$56,Y$8*OBJECTIFS!$F$60,IF(X38&lt;OBJECTIFS!$I$56,Y$8*OBJECTIFS!$H$60,Y$8)))),0)</f>
        <v>0</v>
      </c>
      <c r="Z38" s="124"/>
      <c r="AA38" s="72" t="str">
        <f>IF(OR($A38="",$D38="",Z38=""),"",SUMIFS(OBJECTIFS!I$9:I$39,OBJECTIFS!$A$9:$A$39,$D38,OBJECTIFS!$C$9:$C$39,$F38))</f>
        <v/>
      </c>
      <c r="AB38" s="72" t="str">
        <f>IF(OR(AND($D38=OBJECTIFS!$B$6,OBJECTIFS!I$8="dmt"),AND($D38=OBJECTIFS!$B$13,OBJECTIFS!$I$15="dmt"),AND($D38=OBJECTIFS!$B$20,OBJECTIFS!$I$22="dmt"),AND($D38=OBJECTIFS!$B$27,OBJECTIFS!$I$29="dmt"),AND($D38=OBJECTIFS!$B$34,OBJECTIFS!$I$36="dmt"),AND($D38=OBJECTIFS!$B$6,OBJECTIFS!$I$8="taux de chute"),AND($D38=OBJECTIFS!$B$13,OBJECTIFS!$I$15="taux de chute"),AND($D38=OBJECTIFS!$B$20,OBJECTIFS!$I$22="taux de chute"),AND($D38=OBJECTIFS!$B$27,OBJECTIFS!$I$29="taux de chute"),AND($D38=OBJECTIFS!$B$34,OBJECTIFS!$I$36="taux de chute"),AND($D38=OBJECTIFS!$B$6,OBJECTIFS!I$8="tx mea"),AND($D38=OBJECTIFS!$B$13,OBJECTIFS!$I$15="tx mea"),AND($D38=OBJECTIFS!$B$20,OBJECTIFS!$I$22="tx mea"),AND($D38=OBJECTIFS!$B$27,OBJECTIFS!$I$29="tx mea"),AND($D38=OBJECTIFS!$B$34,OBJECTIFS!$I$36="tx mea")),IFERROR(AA38/Z38,""),IFERROR(Z38/AA38,""))</f>
        <v/>
      </c>
      <c r="AC38" s="155">
        <f>IFERROR(IF(OR(Z38="",AA38="",AB38=""),0,IF(AB38&lt;OBJECTIFS!$E$56,0,IF(AB38&lt;OBJECTIFS!$G$56,AC$8*OBJECTIFS!$F$60,IF(AB38&lt;OBJECTIFS!$I$56,AC$8*OBJECTIFS!$H$60,AC$8)))),0)</f>
        <v>0</v>
      </c>
      <c r="AD38" s="289"/>
      <c r="AE38" s="290"/>
      <c r="AF38" s="158">
        <f t="shared" ca="1" si="3"/>
        <v>0</v>
      </c>
      <c r="AG38" s="52"/>
      <c r="AH38" s="129"/>
      <c r="AI38" s="19"/>
      <c r="AJ38" s="19"/>
      <c r="AK38" s="19"/>
      <c r="AL38" s="19"/>
      <c r="AM38" s="63">
        <f t="shared" si="26"/>
        <v>0</v>
      </c>
      <c r="AN38" s="63">
        <f t="shared" si="8"/>
        <v>22</v>
      </c>
      <c r="AO38" s="64">
        <f t="shared" si="27"/>
        <v>0</v>
      </c>
      <c r="AP38" s="65" t="str">
        <f t="shared" ca="1" si="28"/>
        <v/>
      </c>
      <c r="AQ38" s="66"/>
      <c r="AR38" s="168">
        <f>IFERROR(VLOOKUP(B38,OBJECTIFS!$C$76:$E$137,2,FALSE),0)</f>
        <v>0</v>
      </c>
      <c r="AS38" s="173"/>
      <c r="AT38" s="170">
        <f>IFERROR(VLOOKUP(B38,OBJECTIFS!$H$76:$J$137,2,FALSE),0)</f>
        <v>0</v>
      </c>
      <c r="AU38" s="178">
        <f t="shared" si="6"/>
        <v>0</v>
      </c>
      <c r="AV38" s="173"/>
      <c r="AW38" s="74">
        <f>IFERROR(VLOOKUP(B38,OBJECTIFS!$C$142:$E$203,2,FALSE),0)</f>
        <v>0</v>
      </c>
      <c r="AX38" s="74">
        <f>IFERROR(VLOOKUP(B38,OBJECTIFS!$H$142:$J$203,2,FALSE),0)</f>
        <v>0</v>
      </c>
      <c r="AY38" s="174">
        <f>IFERROR(VLOOKUP(B38,OBJECTIFS!$F$208:$H$269,3,FALSE),0)</f>
        <v>0</v>
      </c>
      <c r="AZ38" s="66"/>
      <c r="BA38" s="75" t="str">
        <f t="shared" ca="1" si="7"/>
        <v/>
      </c>
      <c r="BB38" s="52"/>
      <c r="BC38" s="76">
        <f t="shared" ca="1" si="1"/>
        <v>0</v>
      </c>
      <c r="BD38" s="53" t="str">
        <f t="shared" ca="1" si="29"/>
        <v/>
      </c>
      <c r="BE38" s="77" t="str">
        <f t="shared" ca="1" si="9"/>
        <v/>
      </c>
    </row>
    <row r="39" spans="1:57" x14ac:dyDescent="0.2">
      <c r="A39" s="16"/>
      <c r="B39" s="17"/>
      <c r="C39" s="17"/>
      <c r="D39" s="18"/>
      <c r="E39" s="19"/>
      <c r="F39" s="27"/>
      <c r="H39" s="71" t="str">
        <f>IF(OR(D39="",F39="",A39=""),"",IF(E39="oui",0,IF(D39=OBJECTIFS!$C$45,VLOOKUP(F39,OBJECTIFS!$C$9:$D$11,2,FALSE),IF(D39=OBJECTIFS!$C$46,VLOOKUP(F39,OBJECTIFS!$C$16:$D$18,2,FALSE),IF(D39=OBJECTIFS!$C$47,VLOOKUP(F39,OBJECTIFS!$C$23:$D$25,2,FALSE),IF(D39=OBJECTIFS!$C$48,VLOOKUP(F39,OBJECTIFS!$C$30:$D$32,2,FALSE),IF(D39=OBJECTIFS!$C$49,VLOOKUP(F39,OBJECTIFS!$C$37:$D$39,2,FALSE))))))))</f>
        <v/>
      </c>
      <c r="J39" s="138"/>
      <c r="K39" s="141" t="str">
        <f>IF(OR($A39="",$D39="",J39=""),"",SUMIFS(OBJECTIFS!E$9:E$39,OBJECTIFS!$A$9:$A$39,$D39,OBJECTIFS!$C$9:$C$39,$F39))</f>
        <v/>
      </c>
      <c r="L39" s="72" t="str">
        <f>IF(OR(AND($D39=OBJECTIFS!$B$6,OBJECTIFS!E$8="dmt"),AND($D39=OBJECTIFS!$B$13,OBJECTIFS!$E$15="dmt"),AND($D39=OBJECTIFS!$B$20,OBJECTIFS!$E$22="dmt"),AND($D39=OBJECTIFS!$B$27,OBJECTIFS!$E$29="dmt"),AND($D39=OBJECTIFS!$B$34,OBJECTIFS!$E$36="dmt"),AND($D39=OBJECTIFS!$B$6,OBJECTIFS!$E$8="taux de chute"),AND($D39=OBJECTIFS!$B$13,OBJECTIFS!$E$15="taux de chute"),AND($D39=OBJECTIFS!$B$20,OBJECTIFS!$E$22="taux de chute"),AND($D39=OBJECTIFS!$B$27,OBJECTIFS!$E$29="taux de chute"),AND($D39=OBJECTIFS!$B$34,OBJECTIFS!$E$36="taux de chute"),AND($D39=OBJECTIFS!$B$6,OBJECTIFS!E$8="tx mea"),AND($D39=OBJECTIFS!$B$13,OBJECTIFS!$E$15="tx mea"),AND($D39=OBJECTIFS!$B$20,OBJECTIFS!$E$22="tx mea"),AND($D39=OBJECTIFS!$B$27,OBJECTIFS!$E$29="tx mea"),AND($D39=OBJECTIFS!$B$34,OBJECTIFS!$E$36="tx mea")),IFERROR(K39/J39,""),IFERROR(J39/K39,""))</f>
        <v/>
      </c>
      <c r="M39" s="149">
        <f>IFERROR(IF(OR(J39="",K39="",L39=""),0,IF(L39&lt;OBJECTIFS!$E$56,0,IF(L39&lt;OBJECTIFS!$G$56,M$8*OBJECTIFS!$F$60,IF(L39&lt;OBJECTIFS!$I$56,M$8*OBJECTIFS!$H$60,M$8)))),0)</f>
        <v>0</v>
      </c>
      <c r="N39" s="144"/>
      <c r="O39" s="145" t="str">
        <f>IF(OR($A39="",$D39="",N39=""),"",SUMIFS(OBJECTIFS!F$9:F$39,OBJECTIFS!$A$9:$A$39,$D39,OBJECTIFS!$C$9:$C$39,$F39))</f>
        <v/>
      </c>
      <c r="P39" s="72" t="str">
        <f>IF(OR(AND($D39=OBJECTIFS!$B$6,OBJECTIFS!$F$8="dmt"),AND($D39=OBJECTIFS!$B$13,OBJECTIFS!$F$15="dmt"),AND($D39=OBJECTIFS!$B$20,OBJECTIFS!$F$22="dmt"),AND($D39=OBJECTIFS!$B$27,OBJECTIFS!$F$29="dmt"),AND($D39=OBJECTIFS!$B$34,OBJECTIFS!$F$36="dmt"),AND($D39=OBJECTIFS!$B$6,OBJECTIFS!$F$8="taux de chute"),AND($D39=OBJECTIFS!$B$13,OBJECTIFS!$F$15="taux de chute"),AND($D39=OBJECTIFS!$B$20,OBJECTIFS!$F$22="taux de chute"),AND($D39=OBJECTIFS!$B$27,OBJECTIFS!$F$29="taux de chute"),AND($D39=OBJECTIFS!$B$34,OBJECTIFS!$F$36="taux de chute"),AND($D39=OBJECTIFS!$B$6,OBJECTIFS!$F$8="tx mea"),AND($D39=OBJECTIFS!$B$13,OBJECTIFS!$F$15="tx mea"),AND($D39=OBJECTIFS!$B$20,OBJECTIFS!$F$22="tx mea"),AND($D39=OBJECTIFS!$B$27,OBJECTIFS!$F$29="tx mea"),AND($D39=OBJECTIFS!$B$34,OBJECTIFS!$F$36="tx mea")),IFERROR(O39/N39,""),IFERROR(N39/O39,""))</f>
        <v/>
      </c>
      <c r="Q39" s="149">
        <f>IFERROR(IF(OR(N39="",O39="",P39=""),0,IF(P39&lt;OBJECTIFS!$E$56,0,IF(P39&lt;OBJECTIFS!$G$56,Q$8*OBJECTIFS!$F$60,IF(P39&lt;OBJECTIFS!$I$56,Q$8*OBJECTIFS!$H$60,Q$8)))),0)</f>
        <v>0</v>
      </c>
      <c r="R39" s="121"/>
      <c r="S39" s="73" t="str">
        <f>IF(OR($A39="",$D39="",R39=""),"",SUMIFS(OBJECTIFS!G$9:G$39,OBJECTIFS!$A$9:$A$39,$D39,OBJECTIFS!$C$9:$C$39,$F39))</f>
        <v/>
      </c>
      <c r="T39" s="72" t="str">
        <f>IF(OR(AND($D39=OBJECTIFS!$B$6,OBJECTIFS!G$8="dmt"),AND($D39=OBJECTIFS!$B$13,OBJECTIFS!$G$15="dmt"),AND($D39=OBJECTIFS!$B$20,OBJECTIFS!$G$22="dmt"),AND($D39=OBJECTIFS!$B$27,OBJECTIFS!$G$29="dmt"),AND($D39=OBJECTIFS!$B$34,OBJECTIFS!$G$36="dmt"),AND($D39=OBJECTIFS!$B$6,OBJECTIFS!$G$8="taux de chute"),AND($D39=OBJECTIFS!$B$13,OBJECTIFS!$G$15="taux de chute"),AND($D39=OBJECTIFS!$B$20,OBJECTIFS!$G$22="taux de chute"),AND($D39=OBJECTIFS!$B$27,OBJECTIFS!$G$29="taux de chute"),AND($D39=OBJECTIFS!$B$34,OBJECTIFS!$G$36="taux de chute",AND($D39=OBJECTIFS!$B$6,OBJECTIFS!G$8="tx mea"),AND($D39=OBJECTIFS!$B$13,OBJECTIFS!$G$15="tx mea"),AND($D39=OBJECTIFS!$B$20,OBJECTIFS!$G$22="tx mea"),AND($D39=OBJECTIFS!$B$27,OBJECTIFS!$G$29="tx mea"),AND($D39=OBJECTIFS!$B$34,OBJECTIFS!$G$36="tx mea"))),IFERROR(S39/R39,""),IFERROR(R39/S39,""))</f>
        <v/>
      </c>
      <c r="U39" s="152">
        <f>IFERROR(IF(OR(R39="",S39="",T39=""),0,IF(T39&lt;OBJECTIFS!$E$56,0,IF(T39&lt;OBJECTIFS!$G$56,U$8*OBJECTIFS!$F$60,IF(T39&lt;OBJECTIFS!$I$56,U$8*OBJECTIFS!$H$60,U$8)))),0)</f>
        <v>0</v>
      </c>
      <c r="V39" s="20"/>
      <c r="W39" s="72" t="str">
        <f>IF(OR($A39="",$D39="",V39=""),"",SUMIFS(OBJECTIFS!H$9:H$39,OBJECTIFS!$A$9:$A$39,$D39,OBJECTIFS!$C$9:$C$39,$F39))</f>
        <v/>
      </c>
      <c r="X39" s="72" t="str">
        <f>IF(OR(AND($D39=OBJECTIFS!$B$6,OBJECTIFS!H$8="dmt"),AND($D39=OBJECTIFS!$B$13,OBJECTIFS!$H$15="dmt"),AND($D39=OBJECTIFS!$B$20,OBJECTIFS!$H$22="dmt"),AND($D39=OBJECTIFS!$B$27,OBJECTIFS!$H$29="dmt"),AND($D39=OBJECTIFS!$B$34,OBJECTIFS!$H$36="dmt"),AND($D39=OBJECTIFS!$B$6,OBJECTIFS!$H$8="taux de chute"),AND($D39=OBJECTIFS!$B$13,OBJECTIFS!$H$15="taux de chute"),AND($D39=OBJECTIFS!$B$20,OBJECTIFS!$H$22="taux de chute"),AND($D39=OBJECTIFS!$B$27,OBJECTIFS!$H$29="taux de chute"),AND($D39=OBJECTIFS!$B$34,OBJECTIFS!$H$36="taux de chute"),AND($D39=OBJECTIFS!$B$6,OBJECTIFS!H$8="tx mea"),AND($D39=OBJECTIFS!$B$13,OBJECTIFS!$H$15="tx mea"),AND($D39=OBJECTIFS!$B$20,OBJECTIFS!$H$22="tx mea"),AND($D39=OBJECTIFS!$B$27,OBJECTIFS!$H$29="tx mea"),AND($D39=OBJECTIFS!$B$34,OBJECTIFS!$H$36="tx mea")),IFERROR(W39/V39,""),IFERROR(V39/W39,""))</f>
        <v/>
      </c>
      <c r="Y39" s="149">
        <f>IFERROR(IF(OR(V39="",W39="",X39=""),0,IF(X39&lt;OBJECTIFS!$E$56,0,IF(X39&lt;OBJECTIFS!$G$56,Y$8*OBJECTIFS!$F$60,IF(X39&lt;OBJECTIFS!$I$56,Y$8*OBJECTIFS!$H$60,Y$8)))),0)</f>
        <v>0</v>
      </c>
      <c r="Z39" s="124"/>
      <c r="AA39" s="72" t="str">
        <f>IF(OR($A39="",$D39="",Z39=""),"",SUMIFS(OBJECTIFS!I$9:I$39,OBJECTIFS!$A$9:$A$39,$D39,OBJECTIFS!$C$9:$C$39,$F39))</f>
        <v/>
      </c>
      <c r="AB39" s="72" t="str">
        <f>IF(OR(AND($D39=OBJECTIFS!$B$6,OBJECTIFS!I$8="dmt"),AND($D39=OBJECTIFS!$B$13,OBJECTIFS!$I$15="dmt"),AND($D39=OBJECTIFS!$B$20,OBJECTIFS!$I$22="dmt"),AND($D39=OBJECTIFS!$B$27,OBJECTIFS!$I$29="dmt"),AND($D39=OBJECTIFS!$B$34,OBJECTIFS!$I$36="dmt"),AND($D39=OBJECTIFS!$B$6,OBJECTIFS!$I$8="taux de chute"),AND($D39=OBJECTIFS!$B$13,OBJECTIFS!$I$15="taux de chute"),AND($D39=OBJECTIFS!$B$20,OBJECTIFS!$I$22="taux de chute"),AND($D39=OBJECTIFS!$B$27,OBJECTIFS!$I$29="taux de chute"),AND($D39=OBJECTIFS!$B$34,OBJECTIFS!$I$36="taux de chute"),AND($D39=OBJECTIFS!$B$6,OBJECTIFS!I$8="tx mea"),AND($D39=OBJECTIFS!$B$13,OBJECTIFS!$I$15="tx mea"),AND($D39=OBJECTIFS!$B$20,OBJECTIFS!$I$22="tx mea"),AND($D39=OBJECTIFS!$B$27,OBJECTIFS!$I$29="tx mea"),AND($D39=OBJECTIFS!$B$34,OBJECTIFS!$I$36="tx mea")),IFERROR(AA39/Z39,""),IFERROR(Z39/AA39,""))</f>
        <v/>
      </c>
      <c r="AC39" s="155">
        <f>IFERROR(IF(OR(Z39="",AA39="",AB39=""),0,IF(AB39&lt;OBJECTIFS!$E$56,0,IF(AB39&lt;OBJECTIFS!$G$56,AC$8*OBJECTIFS!$F$60,IF(AB39&lt;OBJECTIFS!$I$56,AC$8*OBJECTIFS!$H$60,AC$8)))),0)</f>
        <v>0</v>
      </c>
      <c r="AD39" s="289"/>
      <c r="AE39" s="290"/>
      <c r="AF39" s="158">
        <f t="shared" ca="1" si="3"/>
        <v>0</v>
      </c>
      <c r="AG39" s="52"/>
      <c r="AH39" s="129"/>
      <c r="AI39" s="19"/>
      <c r="AJ39" s="19"/>
      <c r="AK39" s="19"/>
      <c r="AL39" s="19"/>
      <c r="AM39" s="63">
        <f t="shared" si="26"/>
        <v>0</v>
      </c>
      <c r="AN39" s="63">
        <f t="shared" si="8"/>
        <v>22</v>
      </c>
      <c r="AO39" s="64">
        <f t="shared" si="27"/>
        <v>0</v>
      </c>
      <c r="AP39" s="65" t="str">
        <f t="shared" ca="1" si="28"/>
        <v/>
      </c>
      <c r="AQ39" s="66"/>
      <c r="AR39" s="168">
        <f>IFERROR(VLOOKUP(B39,OBJECTIFS!$C$76:$E$137,2,FALSE),0)</f>
        <v>0</v>
      </c>
      <c r="AS39" s="173"/>
      <c r="AT39" s="170">
        <f>IFERROR(VLOOKUP(B39,OBJECTIFS!$H$76:$J$137,2,FALSE),0)</f>
        <v>0</v>
      </c>
      <c r="AU39" s="178">
        <f t="shared" si="6"/>
        <v>0</v>
      </c>
      <c r="AV39" s="173"/>
      <c r="AW39" s="74">
        <f>IFERROR(VLOOKUP(B39,OBJECTIFS!$C$142:$E$203,2,FALSE),0)</f>
        <v>0</v>
      </c>
      <c r="AX39" s="74">
        <f>IFERROR(VLOOKUP(B39,OBJECTIFS!$H$142:$J$203,2,FALSE),0)</f>
        <v>0</v>
      </c>
      <c r="AY39" s="174">
        <f>IFERROR(VLOOKUP(B39,OBJECTIFS!$F$208:$H$269,3,FALSE),0)</f>
        <v>0</v>
      </c>
      <c r="AZ39" s="66"/>
      <c r="BA39" s="75" t="str">
        <f t="shared" ca="1" si="7"/>
        <v/>
      </c>
      <c r="BB39" s="52"/>
      <c r="BC39" s="76">
        <f t="shared" ca="1" si="1"/>
        <v>0</v>
      </c>
      <c r="BD39" s="53" t="str">
        <f t="shared" ca="1" si="29"/>
        <v/>
      </c>
      <c r="BE39" s="77" t="str">
        <f t="shared" ca="1" si="9"/>
        <v/>
      </c>
    </row>
    <row r="40" spans="1:57" x14ac:dyDescent="0.2">
      <c r="A40" s="16"/>
      <c r="B40" s="17"/>
      <c r="C40" s="17"/>
      <c r="D40" s="18"/>
      <c r="E40" s="19"/>
      <c r="F40" s="27"/>
      <c r="H40" s="71" t="str">
        <f>IF(OR(D40="",F40="",A40=""),"",IF(E40="oui",0,IF(D40=OBJECTIFS!$C$45,VLOOKUP(F40,OBJECTIFS!$C$9:$D$11,2,FALSE),IF(D40=OBJECTIFS!$C$46,VLOOKUP(F40,OBJECTIFS!$C$16:$D$18,2,FALSE),IF(D40=OBJECTIFS!$C$47,VLOOKUP(F40,OBJECTIFS!$C$23:$D$25,2,FALSE),IF(D40=OBJECTIFS!$C$48,VLOOKUP(F40,OBJECTIFS!$C$30:$D$32,2,FALSE),IF(D40=OBJECTIFS!$C$49,VLOOKUP(F40,OBJECTIFS!$C$37:$D$39,2,FALSE))))))))</f>
        <v/>
      </c>
      <c r="J40" s="138"/>
      <c r="K40" s="141" t="str">
        <f>IF(OR($A40="",$D40="",J40=""),"",SUMIFS(OBJECTIFS!E$9:E$39,OBJECTIFS!$A$9:$A$39,$D40,OBJECTIFS!$C$9:$C$39,$F40))</f>
        <v/>
      </c>
      <c r="L40" s="72" t="str">
        <f>IF(OR(AND($D40=OBJECTIFS!$B$6,OBJECTIFS!E$8="dmt"),AND($D40=OBJECTIFS!$B$13,OBJECTIFS!$E$15="dmt"),AND($D40=OBJECTIFS!$B$20,OBJECTIFS!$E$22="dmt"),AND($D40=OBJECTIFS!$B$27,OBJECTIFS!$E$29="dmt"),AND($D40=OBJECTIFS!$B$34,OBJECTIFS!$E$36="dmt"),AND($D40=OBJECTIFS!$B$6,OBJECTIFS!$E$8="taux de chute"),AND($D40=OBJECTIFS!$B$13,OBJECTIFS!$E$15="taux de chute"),AND($D40=OBJECTIFS!$B$20,OBJECTIFS!$E$22="taux de chute"),AND($D40=OBJECTIFS!$B$27,OBJECTIFS!$E$29="taux de chute"),AND($D40=OBJECTIFS!$B$34,OBJECTIFS!$E$36="taux de chute"),AND($D40=OBJECTIFS!$B$6,OBJECTIFS!E$8="tx mea"),AND($D40=OBJECTIFS!$B$13,OBJECTIFS!$E$15="tx mea"),AND($D40=OBJECTIFS!$B$20,OBJECTIFS!$E$22="tx mea"),AND($D40=OBJECTIFS!$B$27,OBJECTIFS!$E$29="tx mea"),AND($D40=OBJECTIFS!$B$34,OBJECTIFS!$E$36="tx mea")),IFERROR(K40/J40,""),IFERROR(J40/K40,""))</f>
        <v/>
      </c>
      <c r="M40" s="149">
        <f>IFERROR(IF(OR(J40="",K40="",L40=""),0,IF(L40&lt;OBJECTIFS!$E$56,0,IF(L40&lt;OBJECTIFS!$G$56,M$8*OBJECTIFS!$F$60,IF(L40&lt;OBJECTIFS!$I$56,M$8*OBJECTIFS!$H$60,M$8)))),0)</f>
        <v>0</v>
      </c>
      <c r="N40" s="144"/>
      <c r="O40" s="145" t="str">
        <f>IF(OR($A40="",$D40="",N40=""),"",SUMIFS(OBJECTIFS!F$9:F$39,OBJECTIFS!$A$9:$A$39,$D40,OBJECTIFS!$C$9:$C$39,$F40))</f>
        <v/>
      </c>
      <c r="P40" s="72" t="str">
        <f>IF(OR(AND($D40=OBJECTIFS!$B$6,OBJECTIFS!$F$8="dmt"),AND($D40=OBJECTIFS!$B$13,OBJECTIFS!$F$15="dmt"),AND($D40=OBJECTIFS!$B$20,OBJECTIFS!$F$22="dmt"),AND($D40=OBJECTIFS!$B$27,OBJECTIFS!$F$29="dmt"),AND($D40=OBJECTIFS!$B$34,OBJECTIFS!$F$36="dmt"),AND($D40=OBJECTIFS!$B$6,OBJECTIFS!$F$8="taux de chute"),AND($D40=OBJECTIFS!$B$13,OBJECTIFS!$F$15="taux de chute"),AND($D40=OBJECTIFS!$B$20,OBJECTIFS!$F$22="taux de chute"),AND($D40=OBJECTIFS!$B$27,OBJECTIFS!$F$29="taux de chute"),AND($D40=OBJECTIFS!$B$34,OBJECTIFS!$F$36="taux de chute"),AND($D40=OBJECTIFS!$B$6,OBJECTIFS!$F$8="tx mea"),AND($D40=OBJECTIFS!$B$13,OBJECTIFS!$F$15="tx mea"),AND($D40=OBJECTIFS!$B$20,OBJECTIFS!$F$22="tx mea"),AND($D40=OBJECTIFS!$B$27,OBJECTIFS!$F$29="tx mea"),AND($D40=OBJECTIFS!$B$34,OBJECTIFS!$F$36="tx mea")),IFERROR(O40/N40,""),IFERROR(N40/O40,""))</f>
        <v/>
      </c>
      <c r="Q40" s="149">
        <f>IFERROR(IF(OR(N40="",O40="",P40=""),0,IF(P40&lt;OBJECTIFS!$E$56,0,IF(P40&lt;OBJECTIFS!$G$56,Q$8*OBJECTIFS!$F$60,IF(P40&lt;OBJECTIFS!$I$56,Q$8*OBJECTIFS!$H$60,Q$8)))),0)</f>
        <v>0</v>
      </c>
      <c r="R40" s="121"/>
      <c r="S40" s="73" t="str">
        <f>IF(OR($A40="",$D40="",R40=""),"",SUMIFS(OBJECTIFS!G$9:G$39,OBJECTIFS!$A$9:$A$39,$D40,OBJECTIFS!$C$9:$C$39,$F40))</f>
        <v/>
      </c>
      <c r="T40" s="72" t="str">
        <f>IF(OR(AND($D40=OBJECTIFS!$B$6,OBJECTIFS!G$8="dmt"),AND($D40=OBJECTIFS!$B$13,OBJECTIFS!$G$15="dmt"),AND($D40=OBJECTIFS!$B$20,OBJECTIFS!$G$22="dmt"),AND($D40=OBJECTIFS!$B$27,OBJECTIFS!$G$29="dmt"),AND($D40=OBJECTIFS!$B$34,OBJECTIFS!$G$36="dmt"),AND($D40=OBJECTIFS!$B$6,OBJECTIFS!$G$8="taux de chute"),AND($D40=OBJECTIFS!$B$13,OBJECTIFS!$G$15="taux de chute"),AND($D40=OBJECTIFS!$B$20,OBJECTIFS!$G$22="taux de chute"),AND($D40=OBJECTIFS!$B$27,OBJECTIFS!$G$29="taux de chute"),AND($D40=OBJECTIFS!$B$34,OBJECTIFS!$G$36="taux de chute",AND($D40=OBJECTIFS!$B$6,OBJECTIFS!G$8="tx mea"),AND($D40=OBJECTIFS!$B$13,OBJECTIFS!$G$15="tx mea"),AND($D40=OBJECTIFS!$B$20,OBJECTIFS!$G$22="tx mea"),AND($D40=OBJECTIFS!$B$27,OBJECTIFS!$G$29="tx mea"),AND($D40=OBJECTIFS!$B$34,OBJECTIFS!$G$36="tx mea"))),IFERROR(S40/R40,""),IFERROR(R40/S40,""))</f>
        <v/>
      </c>
      <c r="U40" s="152">
        <f>IFERROR(IF(OR(R40="",S40="",T40=""),0,IF(T40&lt;OBJECTIFS!$E$56,0,IF(T40&lt;OBJECTIFS!$G$56,U$8*OBJECTIFS!$F$60,IF(T40&lt;OBJECTIFS!$I$56,U$8*OBJECTIFS!$H$60,U$8)))),0)</f>
        <v>0</v>
      </c>
      <c r="V40" s="20"/>
      <c r="W40" s="72" t="str">
        <f>IF(OR($A40="",$D40="",V40=""),"",SUMIFS(OBJECTIFS!H$9:H$39,OBJECTIFS!$A$9:$A$39,$D40,OBJECTIFS!$C$9:$C$39,$F40))</f>
        <v/>
      </c>
      <c r="X40" s="72" t="str">
        <f>IF(OR(AND($D40=OBJECTIFS!$B$6,OBJECTIFS!H$8="dmt"),AND($D40=OBJECTIFS!$B$13,OBJECTIFS!$H$15="dmt"),AND($D40=OBJECTIFS!$B$20,OBJECTIFS!$H$22="dmt"),AND($D40=OBJECTIFS!$B$27,OBJECTIFS!$H$29="dmt"),AND($D40=OBJECTIFS!$B$34,OBJECTIFS!$H$36="dmt"),AND($D40=OBJECTIFS!$B$6,OBJECTIFS!$H$8="taux de chute"),AND($D40=OBJECTIFS!$B$13,OBJECTIFS!$H$15="taux de chute"),AND($D40=OBJECTIFS!$B$20,OBJECTIFS!$H$22="taux de chute"),AND($D40=OBJECTIFS!$B$27,OBJECTIFS!$H$29="taux de chute"),AND($D40=OBJECTIFS!$B$34,OBJECTIFS!$H$36="taux de chute"),AND($D40=OBJECTIFS!$B$6,OBJECTIFS!H$8="tx mea"),AND($D40=OBJECTIFS!$B$13,OBJECTIFS!$H$15="tx mea"),AND($D40=OBJECTIFS!$B$20,OBJECTIFS!$H$22="tx mea"),AND($D40=OBJECTIFS!$B$27,OBJECTIFS!$H$29="tx mea"),AND($D40=OBJECTIFS!$B$34,OBJECTIFS!$H$36="tx mea")),IFERROR(W40/V40,""),IFERROR(V40/W40,""))</f>
        <v/>
      </c>
      <c r="Y40" s="149">
        <f>IFERROR(IF(OR(V40="",W40="",X40=""),0,IF(X40&lt;OBJECTIFS!$E$56,0,IF(X40&lt;OBJECTIFS!$G$56,Y$8*OBJECTIFS!$F$60,IF(X40&lt;OBJECTIFS!$I$56,Y$8*OBJECTIFS!$H$60,Y$8)))),0)</f>
        <v>0</v>
      </c>
      <c r="Z40" s="124"/>
      <c r="AA40" s="72" t="str">
        <f>IF(OR($A40="",$D40="",Z40=""),"",SUMIFS(OBJECTIFS!I$9:I$39,OBJECTIFS!$A$9:$A$39,$D40,OBJECTIFS!$C$9:$C$39,$F40))</f>
        <v/>
      </c>
      <c r="AB40" s="72" t="str">
        <f>IF(OR(AND($D40=OBJECTIFS!$B$6,OBJECTIFS!I$8="dmt"),AND($D40=OBJECTIFS!$B$13,OBJECTIFS!$I$15="dmt"),AND($D40=OBJECTIFS!$B$20,OBJECTIFS!$I$22="dmt"),AND($D40=OBJECTIFS!$B$27,OBJECTIFS!$I$29="dmt"),AND($D40=OBJECTIFS!$B$34,OBJECTIFS!$I$36="dmt"),AND($D40=OBJECTIFS!$B$6,OBJECTIFS!$I$8="taux de chute"),AND($D40=OBJECTIFS!$B$13,OBJECTIFS!$I$15="taux de chute"),AND($D40=OBJECTIFS!$B$20,OBJECTIFS!$I$22="taux de chute"),AND($D40=OBJECTIFS!$B$27,OBJECTIFS!$I$29="taux de chute"),AND($D40=OBJECTIFS!$B$34,OBJECTIFS!$I$36="taux de chute"),AND($D40=OBJECTIFS!$B$6,OBJECTIFS!I$8="tx mea"),AND($D40=OBJECTIFS!$B$13,OBJECTIFS!$I$15="tx mea"),AND($D40=OBJECTIFS!$B$20,OBJECTIFS!$I$22="tx mea"),AND($D40=OBJECTIFS!$B$27,OBJECTIFS!$I$29="tx mea"),AND($D40=OBJECTIFS!$B$34,OBJECTIFS!$I$36="tx mea")),IFERROR(AA40/Z40,""),IFERROR(Z40/AA40,""))</f>
        <v/>
      </c>
      <c r="AC40" s="155">
        <f>IFERROR(IF(OR(Z40="",AA40="",AB40=""),0,IF(AB40&lt;OBJECTIFS!$E$56,0,IF(AB40&lt;OBJECTIFS!$G$56,AC$8*OBJECTIFS!$F$60,IF(AB40&lt;OBJECTIFS!$I$56,AC$8*OBJECTIFS!$H$60,AC$8)))),0)</f>
        <v>0</v>
      </c>
      <c r="AD40" s="289"/>
      <c r="AE40" s="290"/>
      <c r="AF40" s="158">
        <f t="shared" ca="1" si="3"/>
        <v>0</v>
      </c>
      <c r="AG40" s="52"/>
      <c r="AH40" s="129"/>
      <c r="AI40" s="19"/>
      <c r="AJ40" s="19"/>
      <c r="AK40" s="19"/>
      <c r="AL40" s="19"/>
      <c r="AM40" s="63">
        <f t="shared" si="26"/>
        <v>0</v>
      </c>
      <c r="AN40" s="63">
        <f t="shared" si="8"/>
        <v>22</v>
      </c>
      <c r="AO40" s="64">
        <f t="shared" si="27"/>
        <v>0</v>
      </c>
      <c r="AP40" s="65" t="str">
        <f t="shared" ca="1" si="28"/>
        <v/>
      </c>
      <c r="AQ40" s="66"/>
      <c r="AR40" s="168">
        <f>IFERROR(VLOOKUP(B40,OBJECTIFS!$C$76:$E$137,2,FALSE),0)</f>
        <v>0</v>
      </c>
      <c r="AS40" s="173"/>
      <c r="AT40" s="170">
        <f>IFERROR(VLOOKUP(B40,OBJECTIFS!$H$76:$J$137,2,FALSE),0)</f>
        <v>0</v>
      </c>
      <c r="AU40" s="178">
        <f t="shared" si="6"/>
        <v>0</v>
      </c>
      <c r="AV40" s="173"/>
      <c r="AW40" s="74">
        <f>IFERROR(VLOOKUP(B40,OBJECTIFS!$C$142:$E$203,2,FALSE),0)</f>
        <v>0</v>
      </c>
      <c r="AX40" s="74">
        <f>IFERROR(VLOOKUP(B40,OBJECTIFS!$H$142:$J$203,2,FALSE),0)</f>
        <v>0</v>
      </c>
      <c r="AY40" s="174">
        <f>IFERROR(VLOOKUP(B40,OBJECTIFS!$F$208:$H$269,3,FALSE),0)</f>
        <v>0</v>
      </c>
      <c r="AZ40" s="66"/>
      <c r="BA40" s="75" t="str">
        <f t="shared" ca="1" si="7"/>
        <v/>
      </c>
      <c r="BB40" s="52"/>
      <c r="BC40" s="76">
        <f t="shared" ca="1" si="1"/>
        <v>0</v>
      </c>
      <c r="BD40" s="53" t="str">
        <f t="shared" ca="1" si="29"/>
        <v/>
      </c>
      <c r="BE40" s="77" t="str">
        <f t="shared" ca="1" si="9"/>
        <v/>
      </c>
    </row>
    <row r="41" spans="1:57" x14ac:dyDescent="0.2">
      <c r="A41" s="16"/>
      <c r="B41" s="17"/>
      <c r="C41" s="17"/>
      <c r="D41" s="18"/>
      <c r="E41" s="19"/>
      <c r="F41" s="27"/>
      <c r="H41" s="71" t="str">
        <f>IF(OR(D41="",F41="",A41=""),"",IF(E41="oui",0,IF(D41=OBJECTIFS!$C$45,VLOOKUP(F41,OBJECTIFS!$C$9:$D$11,2,FALSE),IF(D41=OBJECTIFS!$C$46,VLOOKUP(F41,OBJECTIFS!$C$16:$D$18,2,FALSE),IF(D41=OBJECTIFS!$C$47,VLOOKUP(F41,OBJECTIFS!$C$23:$D$25,2,FALSE),IF(D41=OBJECTIFS!$C$48,VLOOKUP(F41,OBJECTIFS!$C$30:$D$32,2,FALSE),IF(D41=OBJECTIFS!$C$49,VLOOKUP(F41,OBJECTIFS!$C$37:$D$39,2,FALSE))))))))</f>
        <v/>
      </c>
      <c r="J41" s="138"/>
      <c r="K41" s="141" t="str">
        <f>IF(OR($A41="",$D41="",J41=""),"",SUMIFS(OBJECTIFS!E$9:E$39,OBJECTIFS!$A$9:$A$39,$D41,OBJECTIFS!$C$9:$C$39,$F41))</f>
        <v/>
      </c>
      <c r="L41" s="72" t="str">
        <f>IF(OR(AND($D41=OBJECTIFS!$B$6,OBJECTIFS!E$8="dmt"),AND($D41=OBJECTIFS!$B$13,OBJECTIFS!$E$15="dmt"),AND($D41=OBJECTIFS!$B$20,OBJECTIFS!$E$22="dmt"),AND($D41=OBJECTIFS!$B$27,OBJECTIFS!$E$29="dmt"),AND($D41=OBJECTIFS!$B$34,OBJECTIFS!$E$36="dmt"),AND($D41=OBJECTIFS!$B$6,OBJECTIFS!$E$8="taux de chute"),AND($D41=OBJECTIFS!$B$13,OBJECTIFS!$E$15="taux de chute"),AND($D41=OBJECTIFS!$B$20,OBJECTIFS!$E$22="taux de chute"),AND($D41=OBJECTIFS!$B$27,OBJECTIFS!$E$29="taux de chute"),AND($D41=OBJECTIFS!$B$34,OBJECTIFS!$E$36="taux de chute"),AND($D41=OBJECTIFS!$B$6,OBJECTIFS!E$8="tx mea"),AND($D41=OBJECTIFS!$B$13,OBJECTIFS!$E$15="tx mea"),AND($D41=OBJECTIFS!$B$20,OBJECTIFS!$E$22="tx mea"),AND($D41=OBJECTIFS!$B$27,OBJECTIFS!$E$29="tx mea"),AND($D41=OBJECTIFS!$B$34,OBJECTIFS!$E$36="tx mea")),IFERROR(K41/J41,""),IFERROR(J41/K41,""))</f>
        <v/>
      </c>
      <c r="M41" s="149">
        <f>IFERROR(IF(OR(J41="",K41="",L41=""),0,IF(L41&lt;OBJECTIFS!$E$56,0,IF(L41&lt;OBJECTIFS!$G$56,M$8*OBJECTIFS!$F$60,IF(L41&lt;OBJECTIFS!$I$56,M$8*OBJECTIFS!$H$60,M$8)))),0)</f>
        <v>0</v>
      </c>
      <c r="N41" s="144"/>
      <c r="O41" s="145" t="str">
        <f>IF(OR($A41="",$D41="",N41=""),"",SUMIFS(OBJECTIFS!F$9:F$39,OBJECTIFS!$A$9:$A$39,$D41,OBJECTIFS!$C$9:$C$39,$F41))</f>
        <v/>
      </c>
      <c r="P41" s="72" t="str">
        <f>IF(OR(AND($D41=OBJECTIFS!$B$6,OBJECTIFS!$F$8="dmt"),AND($D41=OBJECTIFS!$B$13,OBJECTIFS!$F$15="dmt"),AND($D41=OBJECTIFS!$B$20,OBJECTIFS!$F$22="dmt"),AND($D41=OBJECTIFS!$B$27,OBJECTIFS!$F$29="dmt"),AND($D41=OBJECTIFS!$B$34,OBJECTIFS!$F$36="dmt"),AND($D41=OBJECTIFS!$B$6,OBJECTIFS!$F$8="taux de chute"),AND($D41=OBJECTIFS!$B$13,OBJECTIFS!$F$15="taux de chute"),AND($D41=OBJECTIFS!$B$20,OBJECTIFS!$F$22="taux de chute"),AND($D41=OBJECTIFS!$B$27,OBJECTIFS!$F$29="taux de chute"),AND($D41=OBJECTIFS!$B$34,OBJECTIFS!$F$36="taux de chute"),AND($D41=OBJECTIFS!$B$6,OBJECTIFS!$F$8="tx mea"),AND($D41=OBJECTIFS!$B$13,OBJECTIFS!$F$15="tx mea"),AND($D41=OBJECTIFS!$B$20,OBJECTIFS!$F$22="tx mea"),AND($D41=OBJECTIFS!$B$27,OBJECTIFS!$F$29="tx mea"),AND($D41=OBJECTIFS!$B$34,OBJECTIFS!$F$36="tx mea")),IFERROR(O41/N41,""),IFERROR(N41/O41,""))</f>
        <v/>
      </c>
      <c r="Q41" s="149">
        <f>IFERROR(IF(OR(N41="",O41="",P41=""),0,IF(P41&lt;OBJECTIFS!$E$56,0,IF(P41&lt;OBJECTIFS!$G$56,Q$8*OBJECTIFS!$F$60,IF(P41&lt;OBJECTIFS!$I$56,Q$8*OBJECTIFS!$H$60,Q$8)))),0)</f>
        <v>0</v>
      </c>
      <c r="R41" s="121"/>
      <c r="S41" s="73" t="str">
        <f>IF(OR($A41="",$D41="",R41=""),"",SUMIFS(OBJECTIFS!G$9:G$39,OBJECTIFS!$A$9:$A$39,$D41,OBJECTIFS!$C$9:$C$39,$F41))</f>
        <v/>
      </c>
      <c r="T41" s="72" t="str">
        <f>IF(OR(AND($D41=OBJECTIFS!$B$6,OBJECTIFS!G$8="dmt"),AND($D41=OBJECTIFS!$B$13,OBJECTIFS!$G$15="dmt"),AND($D41=OBJECTIFS!$B$20,OBJECTIFS!$G$22="dmt"),AND($D41=OBJECTIFS!$B$27,OBJECTIFS!$G$29="dmt"),AND($D41=OBJECTIFS!$B$34,OBJECTIFS!$G$36="dmt"),AND($D41=OBJECTIFS!$B$6,OBJECTIFS!$G$8="taux de chute"),AND($D41=OBJECTIFS!$B$13,OBJECTIFS!$G$15="taux de chute"),AND($D41=OBJECTIFS!$B$20,OBJECTIFS!$G$22="taux de chute"),AND($D41=OBJECTIFS!$B$27,OBJECTIFS!$G$29="taux de chute"),AND($D41=OBJECTIFS!$B$34,OBJECTIFS!$G$36="taux de chute",AND($D41=OBJECTIFS!$B$6,OBJECTIFS!G$8="tx mea"),AND($D41=OBJECTIFS!$B$13,OBJECTIFS!$G$15="tx mea"),AND($D41=OBJECTIFS!$B$20,OBJECTIFS!$G$22="tx mea"),AND($D41=OBJECTIFS!$B$27,OBJECTIFS!$G$29="tx mea"),AND($D41=OBJECTIFS!$B$34,OBJECTIFS!$G$36="tx mea"))),IFERROR(S41/R41,""),IFERROR(R41/S41,""))</f>
        <v/>
      </c>
      <c r="U41" s="152">
        <f>IFERROR(IF(OR(R41="",S41="",T41=""),0,IF(T41&lt;OBJECTIFS!$E$56,0,IF(T41&lt;OBJECTIFS!$G$56,U$8*OBJECTIFS!$F$60,IF(T41&lt;OBJECTIFS!$I$56,U$8*OBJECTIFS!$H$60,U$8)))),0)</f>
        <v>0</v>
      </c>
      <c r="V41" s="20"/>
      <c r="W41" s="72" t="str">
        <f>IF(OR($A41="",$D41="",V41=""),"",SUMIFS(OBJECTIFS!H$9:H$39,OBJECTIFS!$A$9:$A$39,$D41,OBJECTIFS!$C$9:$C$39,$F41))</f>
        <v/>
      </c>
      <c r="X41" s="72" t="str">
        <f>IF(OR(AND($D41=OBJECTIFS!$B$6,OBJECTIFS!H$8="dmt"),AND($D41=OBJECTIFS!$B$13,OBJECTIFS!$H$15="dmt"),AND($D41=OBJECTIFS!$B$20,OBJECTIFS!$H$22="dmt"),AND($D41=OBJECTIFS!$B$27,OBJECTIFS!$H$29="dmt"),AND($D41=OBJECTIFS!$B$34,OBJECTIFS!$H$36="dmt"),AND($D41=OBJECTIFS!$B$6,OBJECTIFS!$H$8="taux de chute"),AND($D41=OBJECTIFS!$B$13,OBJECTIFS!$H$15="taux de chute"),AND($D41=OBJECTIFS!$B$20,OBJECTIFS!$H$22="taux de chute"),AND($D41=OBJECTIFS!$B$27,OBJECTIFS!$H$29="taux de chute"),AND($D41=OBJECTIFS!$B$34,OBJECTIFS!$H$36="taux de chute"),AND($D41=OBJECTIFS!$B$6,OBJECTIFS!H$8="tx mea"),AND($D41=OBJECTIFS!$B$13,OBJECTIFS!$H$15="tx mea"),AND($D41=OBJECTIFS!$B$20,OBJECTIFS!$H$22="tx mea"),AND($D41=OBJECTIFS!$B$27,OBJECTIFS!$H$29="tx mea"),AND($D41=OBJECTIFS!$B$34,OBJECTIFS!$H$36="tx mea")),IFERROR(W41/V41,""),IFERROR(V41/W41,""))</f>
        <v/>
      </c>
      <c r="Y41" s="149">
        <f>IFERROR(IF(OR(V41="",W41="",X41=""),0,IF(X41&lt;OBJECTIFS!$E$56,0,IF(X41&lt;OBJECTIFS!$G$56,Y$8*OBJECTIFS!$F$60,IF(X41&lt;OBJECTIFS!$I$56,Y$8*OBJECTIFS!$H$60,Y$8)))),0)</f>
        <v>0</v>
      </c>
      <c r="Z41" s="124"/>
      <c r="AA41" s="72" t="str">
        <f>IF(OR($A41="",$D41="",Z41=""),"",SUMIFS(OBJECTIFS!I$9:I$39,OBJECTIFS!$A$9:$A$39,$D41,OBJECTIFS!$C$9:$C$39,$F41))</f>
        <v/>
      </c>
      <c r="AB41" s="72" t="str">
        <f>IF(OR(AND($D41=OBJECTIFS!$B$6,OBJECTIFS!I$8="dmt"),AND($D41=OBJECTIFS!$B$13,OBJECTIFS!$I$15="dmt"),AND($D41=OBJECTIFS!$B$20,OBJECTIFS!$I$22="dmt"),AND($D41=OBJECTIFS!$B$27,OBJECTIFS!$I$29="dmt"),AND($D41=OBJECTIFS!$B$34,OBJECTIFS!$I$36="dmt"),AND($D41=OBJECTIFS!$B$6,OBJECTIFS!$I$8="taux de chute"),AND($D41=OBJECTIFS!$B$13,OBJECTIFS!$I$15="taux de chute"),AND($D41=OBJECTIFS!$B$20,OBJECTIFS!$I$22="taux de chute"),AND($D41=OBJECTIFS!$B$27,OBJECTIFS!$I$29="taux de chute"),AND($D41=OBJECTIFS!$B$34,OBJECTIFS!$I$36="taux de chute"),AND($D41=OBJECTIFS!$B$6,OBJECTIFS!I$8="tx mea"),AND($D41=OBJECTIFS!$B$13,OBJECTIFS!$I$15="tx mea"),AND($D41=OBJECTIFS!$B$20,OBJECTIFS!$I$22="tx mea"),AND($D41=OBJECTIFS!$B$27,OBJECTIFS!$I$29="tx mea"),AND($D41=OBJECTIFS!$B$34,OBJECTIFS!$I$36="tx mea")),IFERROR(AA41/Z41,""),IFERROR(Z41/AA41,""))</f>
        <v/>
      </c>
      <c r="AC41" s="155">
        <f>IFERROR(IF(OR(Z41="",AA41="",AB41=""),0,IF(AB41&lt;OBJECTIFS!$E$56,0,IF(AB41&lt;OBJECTIFS!$G$56,AC$8*OBJECTIFS!$F$60,IF(AB41&lt;OBJECTIFS!$I$56,AC$8*OBJECTIFS!$H$60,AC$8)))),0)</f>
        <v>0</v>
      </c>
      <c r="AD41" s="289"/>
      <c r="AE41" s="290"/>
      <c r="AF41" s="158">
        <f t="shared" ca="1" si="3"/>
        <v>0</v>
      </c>
      <c r="AG41" s="52"/>
      <c r="AH41" s="129"/>
      <c r="AI41" s="19"/>
      <c r="AJ41" s="19"/>
      <c r="AK41" s="19"/>
      <c r="AL41" s="19"/>
      <c r="AM41" s="63">
        <f t="shared" si="26"/>
        <v>0</v>
      </c>
      <c r="AN41" s="63">
        <f t="shared" si="8"/>
        <v>22</v>
      </c>
      <c r="AO41" s="64">
        <f t="shared" si="27"/>
        <v>0</v>
      </c>
      <c r="AP41" s="65" t="str">
        <f t="shared" ca="1" si="28"/>
        <v/>
      </c>
      <c r="AQ41" s="66"/>
      <c r="AR41" s="168">
        <f>IFERROR(VLOOKUP(B41,OBJECTIFS!$C$76:$E$137,2,FALSE),0)</f>
        <v>0</v>
      </c>
      <c r="AS41" s="173"/>
      <c r="AT41" s="170">
        <f>IFERROR(VLOOKUP(B41,OBJECTIFS!$H$76:$J$137,2,FALSE),0)</f>
        <v>0</v>
      </c>
      <c r="AU41" s="178">
        <f t="shared" si="6"/>
        <v>0</v>
      </c>
      <c r="AV41" s="173"/>
      <c r="AW41" s="74">
        <f>IFERROR(VLOOKUP(B41,OBJECTIFS!$C$142:$E$203,2,FALSE),0)</f>
        <v>0</v>
      </c>
      <c r="AX41" s="74">
        <f>IFERROR(VLOOKUP(B41,OBJECTIFS!$H$142:$J$203,2,FALSE),0)</f>
        <v>0</v>
      </c>
      <c r="AY41" s="174">
        <f>IFERROR(VLOOKUP(B41,OBJECTIFS!$F$208:$H$269,3,FALSE),0)</f>
        <v>0</v>
      </c>
      <c r="AZ41" s="66"/>
      <c r="BA41" s="75" t="str">
        <f t="shared" ca="1" si="7"/>
        <v/>
      </c>
      <c r="BB41" s="52"/>
      <c r="BC41" s="76">
        <f t="shared" ref="BC41:BC72" ca="1" si="30">IFERROR(IF(OR(AI41&gt;=2,AJ41&gt;=8,AND(AI41=1,AJ41&gt;=4)),0,IF(OR(AND(AI41=1,AJ41&lt;4),AND(AI41=0,AJ41&gt;=4,AJ41&lt;8)),0.5,1))*AF41*(AN41-AM41)/AN41,"")</f>
        <v>0</v>
      </c>
      <c r="BD41" s="53" t="str">
        <f t="shared" ca="1" si="29"/>
        <v/>
      </c>
      <c r="BE41" s="77" t="str">
        <f t="shared" ca="1" si="9"/>
        <v/>
      </c>
    </row>
    <row r="42" spans="1:57" x14ac:dyDescent="0.2">
      <c r="A42" s="16"/>
      <c r="B42" s="17"/>
      <c r="C42" s="17"/>
      <c r="D42" s="18"/>
      <c r="E42" s="19"/>
      <c r="F42" s="27"/>
      <c r="H42" s="71" t="str">
        <f>IF(OR(D42="",F42="",A42=""),"",IF(E42="oui",0,IF(D42=OBJECTIFS!$C$45,VLOOKUP(F42,OBJECTIFS!$C$9:$D$11,2,FALSE),IF(D42=OBJECTIFS!$C$46,VLOOKUP(F42,OBJECTIFS!$C$16:$D$18,2,FALSE),IF(D42=OBJECTIFS!$C$47,VLOOKUP(F42,OBJECTIFS!$C$23:$D$25,2,FALSE),IF(D42=OBJECTIFS!$C$48,VLOOKUP(F42,OBJECTIFS!$C$30:$D$32,2,FALSE),IF(D42=OBJECTIFS!$C$49,VLOOKUP(F42,OBJECTIFS!$C$37:$D$39,2,FALSE))))))))</f>
        <v/>
      </c>
      <c r="J42" s="138"/>
      <c r="K42" s="141" t="str">
        <f>IF(OR($A42="",$D42="",J42=""),"",SUMIFS(OBJECTIFS!E$9:E$39,OBJECTIFS!$A$9:$A$39,$D42,OBJECTIFS!$C$9:$C$39,$F42))</f>
        <v/>
      </c>
      <c r="L42" s="72" t="str">
        <f>IF(OR(AND($D42=OBJECTIFS!$B$6,OBJECTIFS!E$8="dmt"),AND($D42=OBJECTIFS!$B$13,OBJECTIFS!$E$15="dmt"),AND($D42=OBJECTIFS!$B$20,OBJECTIFS!$E$22="dmt"),AND($D42=OBJECTIFS!$B$27,OBJECTIFS!$E$29="dmt"),AND($D42=OBJECTIFS!$B$34,OBJECTIFS!$E$36="dmt"),AND($D42=OBJECTIFS!$B$6,OBJECTIFS!$E$8="taux de chute"),AND($D42=OBJECTIFS!$B$13,OBJECTIFS!$E$15="taux de chute"),AND($D42=OBJECTIFS!$B$20,OBJECTIFS!$E$22="taux de chute"),AND($D42=OBJECTIFS!$B$27,OBJECTIFS!$E$29="taux de chute"),AND($D42=OBJECTIFS!$B$34,OBJECTIFS!$E$36="taux de chute"),AND($D42=OBJECTIFS!$B$6,OBJECTIFS!E$8="tx mea"),AND($D42=OBJECTIFS!$B$13,OBJECTIFS!$E$15="tx mea"),AND($D42=OBJECTIFS!$B$20,OBJECTIFS!$E$22="tx mea"),AND($D42=OBJECTIFS!$B$27,OBJECTIFS!$E$29="tx mea"),AND($D42=OBJECTIFS!$B$34,OBJECTIFS!$E$36="tx mea")),IFERROR(K42/J42,""),IFERROR(J42/K42,""))</f>
        <v/>
      </c>
      <c r="M42" s="149">
        <f>IFERROR(IF(OR(J42="",K42="",L42=""),0,IF(L42&lt;OBJECTIFS!$E$56,0,IF(L42&lt;OBJECTIFS!$G$56,M$8*OBJECTIFS!$F$60,IF(L42&lt;OBJECTIFS!$I$56,M$8*OBJECTIFS!$H$60,M$8)))),0)</f>
        <v>0</v>
      </c>
      <c r="N42" s="144"/>
      <c r="O42" s="145" t="str">
        <f>IF(OR($A42="",$D42="",N42=""),"",SUMIFS(OBJECTIFS!F$9:F$39,OBJECTIFS!$A$9:$A$39,$D42,OBJECTIFS!$C$9:$C$39,$F42))</f>
        <v/>
      </c>
      <c r="P42" s="72" t="str">
        <f>IF(OR(AND($D42=OBJECTIFS!$B$6,OBJECTIFS!$F$8="dmt"),AND($D42=OBJECTIFS!$B$13,OBJECTIFS!$F$15="dmt"),AND($D42=OBJECTIFS!$B$20,OBJECTIFS!$F$22="dmt"),AND($D42=OBJECTIFS!$B$27,OBJECTIFS!$F$29="dmt"),AND($D42=OBJECTIFS!$B$34,OBJECTIFS!$F$36="dmt"),AND($D42=OBJECTIFS!$B$6,OBJECTIFS!$F$8="taux de chute"),AND($D42=OBJECTIFS!$B$13,OBJECTIFS!$F$15="taux de chute"),AND($D42=OBJECTIFS!$B$20,OBJECTIFS!$F$22="taux de chute"),AND($D42=OBJECTIFS!$B$27,OBJECTIFS!$F$29="taux de chute"),AND($D42=OBJECTIFS!$B$34,OBJECTIFS!$F$36="taux de chute"),AND($D42=OBJECTIFS!$B$6,OBJECTIFS!$F$8="tx mea"),AND($D42=OBJECTIFS!$B$13,OBJECTIFS!$F$15="tx mea"),AND($D42=OBJECTIFS!$B$20,OBJECTIFS!$F$22="tx mea"),AND($D42=OBJECTIFS!$B$27,OBJECTIFS!$F$29="tx mea"),AND($D42=OBJECTIFS!$B$34,OBJECTIFS!$F$36="tx mea")),IFERROR(O42/N42,""),IFERROR(N42/O42,""))</f>
        <v/>
      </c>
      <c r="Q42" s="149">
        <f>IFERROR(IF(OR(N42="",O42="",P42=""),0,IF(P42&lt;OBJECTIFS!$E$56,0,IF(P42&lt;OBJECTIFS!$G$56,Q$8*OBJECTIFS!$F$60,IF(P42&lt;OBJECTIFS!$I$56,Q$8*OBJECTIFS!$H$60,Q$8)))),0)</f>
        <v>0</v>
      </c>
      <c r="R42" s="121"/>
      <c r="S42" s="73" t="str">
        <f>IF(OR($A42="",$D42="",R42=""),"",SUMIFS(OBJECTIFS!G$9:G$39,OBJECTIFS!$A$9:$A$39,$D42,OBJECTIFS!$C$9:$C$39,$F42))</f>
        <v/>
      </c>
      <c r="T42" s="72" t="str">
        <f>IF(OR(AND($D42=OBJECTIFS!$B$6,OBJECTIFS!G$8="dmt"),AND($D42=OBJECTIFS!$B$13,OBJECTIFS!$G$15="dmt"),AND($D42=OBJECTIFS!$B$20,OBJECTIFS!$G$22="dmt"),AND($D42=OBJECTIFS!$B$27,OBJECTIFS!$G$29="dmt"),AND($D42=OBJECTIFS!$B$34,OBJECTIFS!$G$36="dmt"),AND($D42=OBJECTIFS!$B$6,OBJECTIFS!$G$8="taux de chute"),AND($D42=OBJECTIFS!$B$13,OBJECTIFS!$G$15="taux de chute"),AND($D42=OBJECTIFS!$B$20,OBJECTIFS!$G$22="taux de chute"),AND($D42=OBJECTIFS!$B$27,OBJECTIFS!$G$29="taux de chute"),AND($D42=OBJECTIFS!$B$34,OBJECTIFS!$G$36="taux de chute",AND($D42=OBJECTIFS!$B$6,OBJECTIFS!G$8="tx mea"),AND($D42=OBJECTIFS!$B$13,OBJECTIFS!$G$15="tx mea"),AND($D42=OBJECTIFS!$B$20,OBJECTIFS!$G$22="tx mea"),AND($D42=OBJECTIFS!$B$27,OBJECTIFS!$G$29="tx mea"),AND($D42=OBJECTIFS!$B$34,OBJECTIFS!$G$36="tx mea"))),IFERROR(S42/R42,""),IFERROR(R42/S42,""))</f>
        <v/>
      </c>
      <c r="U42" s="152">
        <f>IFERROR(IF(OR(R42="",S42="",T42=""),0,IF(T42&lt;OBJECTIFS!$E$56,0,IF(T42&lt;OBJECTIFS!$G$56,U$8*OBJECTIFS!$F$60,IF(T42&lt;OBJECTIFS!$I$56,U$8*OBJECTIFS!$H$60,U$8)))),0)</f>
        <v>0</v>
      </c>
      <c r="V42" s="20"/>
      <c r="W42" s="72" t="str">
        <f>IF(OR($A42="",$D42="",V42=""),"",SUMIFS(OBJECTIFS!H$9:H$39,OBJECTIFS!$A$9:$A$39,$D42,OBJECTIFS!$C$9:$C$39,$F42))</f>
        <v/>
      </c>
      <c r="X42" s="72" t="str">
        <f>IF(OR(AND($D42=OBJECTIFS!$B$6,OBJECTIFS!H$8="dmt"),AND($D42=OBJECTIFS!$B$13,OBJECTIFS!$H$15="dmt"),AND($D42=OBJECTIFS!$B$20,OBJECTIFS!$H$22="dmt"),AND($D42=OBJECTIFS!$B$27,OBJECTIFS!$H$29="dmt"),AND($D42=OBJECTIFS!$B$34,OBJECTIFS!$H$36="dmt"),AND($D42=OBJECTIFS!$B$6,OBJECTIFS!$H$8="taux de chute"),AND($D42=OBJECTIFS!$B$13,OBJECTIFS!$H$15="taux de chute"),AND($D42=OBJECTIFS!$B$20,OBJECTIFS!$H$22="taux de chute"),AND($D42=OBJECTIFS!$B$27,OBJECTIFS!$H$29="taux de chute"),AND($D42=OBJECTIFS!$B$34,OBJECTIFS!$H$36="taux de chute"),AND($D42=OBJECTIFS!$B$6,OBJECTIFS!H$8="tx mea"),AND($D42=OBJECTIFS!$B$13,OBJECTIFS!$H$15="tx mea"),AND($D42=OBJECTIFS!$B$20,OBJECTIFS!$H$22="tx mea"),AND($D42=OBJECTIFS!$B$27,OBJECTIFS!$H$29="tx mea"),AND($D42=OBJECTIFS!$B$34,OBJECTIFS!$H$36="tx mea")),IFERROR(W42/V42,""),IFERROR(V42/W42,""))</f>
        <v/>
      </c>
      <c r="Y42" s="149">
        <f>IFERROR(IF(OR(V42="",W42="",X42=""),0,IF(X42&lt;OBJECTIFS!$E$56,0,IF(X42&lt;OBJECTIFS!$G$56,Y$8*OBJECTIFS!$F$60,IF(X42&lt;OBJECTIFS!$I$56,Y$8*OBJECTIFS!$H$60,Y$8)))),0)</f>
        <v>0</v>
      </c>
      <c r="Z42" s="124"/>
      <c r="AA42" s="72" t="str">
        <f>IF(OR($A42="",$D42="",Z42=""),"",SUMIFS(OBJECTIFS!I$9:I$39,OBJECTIFS!$A$9:$A$39,$D42,OBJECTIFS!$C$9:$C$39,$F42))</f>
        <v/>
      </c>
      <c r="AB42" s="72" t="str">
        <f>IF(OR(AND($D42=OBJECTIFS!$B$6,OBJECTIFS!I$8="dmt"),AND($D42=OBJECTIFS!$B$13,OBJECTIFS!$I$15="dmt"),AND($D42=OBJECTIFS!$B$20,OBJECTIFS!$I$22="dmt"),AND($D42=OBJECTIFS!$B$27,OBJECTIFS!$I$29="dmt"),AND($D42=OBJECTIFS!$B$34,OBJECTIFS!$I$36="dmt"),AND($D42=OBJECTIFS!$B$6,OBJECTIFS!$I$8="taux de chute"),AND($D42=OBJECTIFS!$B$13,OBJECTIFS!$I$15="taux de chute"),AND($D42=OBJECTIFS!$B$20,OBJECTIFS!$I$22="taux de chute"),AND($D42=OBJECTIFS!$B$27,OBJECTIFS!$I$29="taux de chute"),AND($D42=OBJECTIFS!$B$34,OBJECTIFS!$I$36="taux de chute"),AND($D42=OBJECTIFS!$B$6,OBJECTIFS!I$8="tx mea"),AND($D42=OBJECTIFS!$B$13,OBJECTIFS!$I$15="tx mea"),AND($D42=OBJECTIFS!$B$20,OBJECTIFS!$I$22="tx mea"),AND($D42=OBJECTIFS!$B$27,OBJECTIFS!$I$29="tx mea"),AND($D42=OBJECTIFS!$B$34,OBJECTIFS!$I$36="tx mea")),IFERROR(AA42/Z42,""),IFERROR(Z42/AA42,""))</f>
        <v/>
      </c>
      <c r="AC42" s="155">
        <f>IFERROR(IF(OR(Z42="",AA42="",AB42=""),0,IF(AB42&lt;OBJECTIFS!$E$56,0,IF(AB42&lt;OBJECTIFS!$G$56,AC$8*OBJECTIFS!$F$60,IF(AB42&lt;OBJECTIFS!$I$56,AC$8*OBJECTIFS!$H$60,AC$8)))),0)</f>
        <v>0</v>
      </c>
      <c r="AD42" s="289"/>
      <c r="AE42" s="290"/>
      <c r="AF42" s="158">
        <f t="shared" ca="1" si="3"/>
        <v>0</v>
      </c>
      <c r="AG42" s="52"/>
      <c r="AH42" s="129"/>
      <c r="AI42" s="19"/>
      <c r="AJ42" s="19"/>
      <c r="AK42" s="19"/>
      <c r="AL42" s="19"/>
      <c r="AM42" s="63">
        <f t="shared" si="26"/>
        <v>0</v>
      </c>
      <c r="AN42" s="63">
        <f t="shared" si="8"/>
        <v>22</v>
      </c>
      <c r="AO42" s="64">
        <f t="shared" si="27"/>
        <v>0</v>
      </c>
      <c r="AP42" s="65" t="str">
        <f t="shared" ca="1" si="28"/>
        <v/>
      </c>
      <c r="AQ42" s="66"/>
      <c r="AR42" s="168">
        <f>IFERROR(VLOOKUP(B42,OBJECTIFS!$C$76:$E$137,2,FALSE),0)</f>
        <v>0</v>
      </c>
      <c r="AS42" s="173"/>
      <c r="AT42" s="170">
        <f>IFERROR(VLOOKUP(B42,OBJECTIFS!$H$76:$J$137,2,FALSE),0)</f>
        <v>0</v>
      </c>
      <c r="AU42" s="178">
        <f t="shared" si="6"/>
        <v>0</v>
      </c>
      <c r="AV42" s="173"/>
      <c r="AW42" s="74">
        <f>IFERROR(VLOOKUP(B42,OBJECTIFS!$C$142:$E$203,2,FALSE),0)</f>
        <v>0</v>
      </c>
      <c r="AX42" s="74">
        <f>IFERROR(VLOOKUP(B42,OBJECTIFS!$H$142:$J$203,2,FALSE),0)</f>
        <v>0</v>
      </c>
      <c r="AY42" s="174">
        <f>IFERROR(VLOOKUP(B42,OBJECTIFS!$F$208:$H$269,3,FALSE),0)</f>
        <v>0</v>
      </c>
      <c r="AZ42" s="66"/>
      <c r="BA42" s="75" t="str">
        <f t="shared" ca="1" si="7"/>
        <v/>
      </c>
      <c r="BB42" s="52"/>
      <c r="BC42" s="76">
        <f t="shared" ca="1" si="30"/>
        <v>0</v>
      </c>
      <c r="BD42" s="53" t="str">
        <f t="shared" ca="1" si="29"/>
        <v/>
      </c>
      <c r="BE42" s="77" t="str">
        <f t="shared" ca="1" si="9"/>
        <v/>
      </c>
    </row>
    <row r="43" spans="1:57" x14ac:dyDescent="0.2">
      <c r="A43" s="16"/>
      <c r="B43" s="17"/>
      <c r="C43" s="17"/>
      <c r="D43" s="18"/>
      <c r="E43" s="19"/>
      <c r="F43" s="27"/>
      <c r="H43" s="71" t="str">
        <f>IF(OR(D43="",F43="",A43=""),"",IF(E43="oui",0,IF(D43=OBJECTIFS!$C$45,VLOOKUP(F43,OBJECTIFS!$C$9:$D$11,2,FALSE),IF(D43=OBJECTIFS!$C$46,VLOOKUP(F43,OBJECTIFS!$C$16:$D$18,2,FALSE),IF(D43=OBJECTIFS!$C$47,VLOOKUP(F43,OBJECTIFS!$C$23:$D$25,2,FALSE),IF(D43=OBJECTIFS!$C$48,VLOOKUP(F43,OBJECTIFS!$C$30:$D$32,2,FALSE),IF(D43=OBJECTIFS!$C$49,VLOOKUP(F43,OBJECTIFS!$C$37:$D$39,2,FALSE))))))))</f>
        <v/>
      </c>
      <c r="J43" s="138"/>
      <c r="K43" s="141" t="str">
        <f>IF(OR($A43="",$D43="",J43=""),"",SUMIFS(OBJECTIFS!E$9:E$39,OBJECTIFS!$A$9:$A$39,$D43,OBJECTIFS!$C$9:$C$39,$F43))</f>
        <v/>
      </c>
      <c r="L43" s="72" t="str">
        <f>IF(OR(AND($D43=OBJECTIFS!$B$6,OBJECTIFS!E$8="dmt"),AND($D43=OBJECTIFS!$B$13,OBJECTIFS!$E$15="dmt"),AND($D43=OBJECTIFS!$B$20,OBJECTIFS!$E$22="dmt"),AND($D43=OBJECTIFS!$B$27,OBJECTIFS!$E$29="dmt"),AND($D43=OBJECTIFS!$B$34,OBJECTIFS!$E$36="dmt"),AND($D43=OBJECTIFS!$B$6,OBJECTIFS!$E$8="taux de chute"),AND($D43=OBJECTIFS!$B$13,OBJECTIFS!$E$15="taux de chute"),AND($D43=OBJECTIFS!$B$20,OBJECTIFS!$E$22="taux de chute"),AND($D43=OBJECTIFS!$B$27,OBJECTIFS!$E$29="taux de chute"),AND($D43=OBJECTIFS!$B$34,OBJECTIFS!$E$36="taux de chute"),AND($D43=OBJECTIFS!$B$6,OBJECTIFS!E$8="tx mea"),AND($D43=OBJECTIFS!$B$13,OBJECTIFS!$E$15="tx mea"),AND($D43=OBJECTIFS!$B$20,OBJECTIFS!$E$22="tx mea"),AND($D43=OBJECTIFS!$B$27,OBJECTIFS!$E$29="tx mea"),AND($D43=OBJECTIFS!$B$34,OBJECTIFS!$E$36="tx mea")),IFERROR(K43/J43,""),IFERROR(J43/K43,""))</f>
        <v/>
      </c>
      <c r="M43" s="149">
        <f>IFERROR(IF(OR(J43="",K43="",L43=""),0,IF(L43&lt;OBJECTIFS!$E$56,0,IF(L43&lt;OBJECTIFS!$G$56,M$8*OBJECTIFS!$F$60,IF(L43&lt;OBJECTIFS!$I$56,M$8*OBJECTIFS!$H$60,M$8)))),0)</f>
        <v>0</v>
      </c>
      <c r="N43" s="144"/>
      <c r="O43" s="145" t="str">
        <f>IF(OR($A43="",$D43="",N43=""),"",SUMIFS(OBJECTIFS!F$9:F$39,OBJECTIFS!$A$9:$A$39,$D43,OBJECTIFS!$C$9:$C$39,$F43))</f>
        <v/>
      </c>
      <c r="P43" s="72" t="str">
        <f>IF(OR(AND($D43=OBJECTIFS!$B$6,OBJECTIFS!$F$8="dmt"),AND($D43=OBJECTIFS!$B$13,OBJECTIFS!$F$15="dmt"),AND($D43=OBJECTIFS!$B$20,OBJECTIFS!$F$22="dmt"),AND($D43=OBJECTIFS!$B$27,OBJECTIFS!$F$29="dmt"),AND($D43=OBJECTIFS!$B$34,OBJECTIFS!$F$36="dmt"),AND($D43=OBJECTIFS!$B$6,OBJECTIFS!$F$8="taux de chute"),AND($D43=OBJECTIFS!$B$13,OBJECTIFS!$F$15="taux de chute"),AND($D43=OBJECTIFS!$B$20,OBJECTIFS!$F$22="taux de chute"),AND($D43=OBJECTIFS!$B$27,OBJECTIFS!$F$29="taux de chute"),AND($D43=OBJECTIFS!$B$34,OBJECTIFS!$F$36="taux de chute"),AND($D43=OBJECTIFS!$B$6,OBJECTIFS!$F$8="tx mea"),AND($D43=OBJECTIFS!$B$13,OBJECTIFS!$F$15="tx mea"),AND($D43=OBJECTIFS!$B$20,OBJECTIFS!$F$22="tx mea"),AND($D43=OBJECTIFS!$B$27,OBJECTIFS!$F$29="tx mea"),AND($D43=OBJECTIFS!$B$34,OBJECTIFS!$F$36="tx mea")),IFERROR(O43/N43,""),IFERROR(N43/O43,""))</f>
        <v/>
      </c>
      <c r="Q43" s="149">
        <f>IFERROR(IF(OR(N43="",O43="",P43=""),0,IF(P43&lt;OBJECTIFS!$E$56,0,IF(P43&lt;OBJECTIFS!$G$56,Q$8*OBJECTIFS!$F$60,IF(P43&lt;OBJECTIFS!$I$56,Q$8*OBJECTIFS!$H$60,Q$8)))),0)</f>
        <v>0</v>
      </c>
      <c r="R43" s="121"/>
      <c r="S43" s="73" t="str">
        <f>IF(OR($A43="",$D43="",R43=""),"",SUMIFS(OBJECTIFS!G$9:G$39,OBJECTIFS!$A$9:$A$39,$D43,OBJECTIFS!$C$9:$C$39,$F43))</f>
        <v/>
      </c>
      <c r="T43" s="72" t="str">
        <f>IF(OR(AND($D43=OBJECTIFS!$B$6,OBJECTIFS!G$8="dmt"),AND($D43=OBJECTIFS!$B$13,OBJECTIFS!$G$15="dmt"),AND($D43=OBJECTIFS!$B$20,OBJECTIFS!$G$22="dmt"),AND($D43=OBJECTIFS!$B$27,OBJECTIFS!$G$29="dmt"),AND($D43=OBJECTIFS!$B$34,OBJECTIFS!$G$36="dmt"),AND($D43=OBJECTIFS!$B$6,OBJECTIFS!$G$8="taux de chute"),AND($D43=OBJECTIFS!$B$13,OBJECTIFS!$G$15="taux de chute"),AND($D43=OBJECTIFS!$B$20,OBJECTIFS!$G$22="taux de chute"),AND($D43=OBJECTIFS!$B$27,OBJECTIFS!$G$29="taux de chute"),AND($D43=OBJECTIFS!$B$34,OBJECTIFS!$G$36="taux de chute",AND($D43=OBJECTIFS!$B$6,OBJECTIFS!G$8="tx mea"),AND($D43=OBJECTIFS!$B$13,OBJECTIFS!$G$15="tx mea"),AND($D43=OBJECTIFS!$B$20,OBJECTIFS!$G$22="tx mea"),AND($D43=OBJECTIFS!$B$27,OBJECTIFS!$G$29="tx mea"),AND($D43=OBJECTIFS!$B$34,OBJECTIFS!$G$36="tx mea"))),IFERROR(S43/R43,""),IFERROR(R43/S43,""))</f>
        <v/>
      </c>
      <c r="U43" s="152">
        <f>IFERROR(IF(OR(R43="",S43="",T43=""),0,IF(T43&lt;OBJECTIFS!$E$56,0,IF(T43&lt;OBJECTIFS!$G$56,U$8*OBJECTIFS!$F$60,IF(T43&lt;OBJECTIFS!$I$56,U$8*OBJECTIFS!$H$60,U$8)))),0)</f>
        <v>0</v>
      </c>
      <c r="V43" s="20"/>
      <c r="W43" s="72" t="str">
        <f>IF(OR($A43="",$D43="",V43=""),"",SUMIFS(OBJECTIFS!H$9:H$39,OBJECTIFS!$A$9:$A$39,$D43,OBJECTIFS!$C$9:$C$39,$F43))</f>
        <v/>
      </c>
      <c r="X43" s="72" t="str">
        <f>IF(OR(AND($D43=OBJECTIFS!$B$6,OBJECTIFS!H$8="dmt"),AND($D43=OBJECTIFS!$B$13,OBJECTIFS!$H$15="dmt"),AND($D43=OBJECTIFS!$B$20,OBJECTIFS!$H$22="dmt"),AND($D43=OBJECTIFS!$B$27,OBJECTIFS!$H$29="dmt"),AND($D43=OBJECTIFS!$B$34,OBJECTIFS!$H$36="dmt"),AND($D43=OBJECTIFS!$B$6,OBJECTIFS!$H$8="taux de chute"),AND($D43=OBJECTIFS!$B$13,OBJECTIFS!$H$15="taux de chute"),AND($D43=OBJECTIFS!$B$20,OBJECTIFS!$H$22="taux de chute"),AND($D43=OBJECTIFS!$B$27,OBJECTIFS!$H$29="taux de chute"),AND($D43=OBJECTIFS!$B$34,OBJECTIFS!$H$36="taux de chute"),AND($D43=OBJECTIFS!$B$6,OBJECTIFS!H$8="tx mea"),AND($D43=OBJECTIFS!$B$13,OBJECTIFS!$H$15="tx mea"),AND($D43=OBJECTIFS!$B$20,OBJECTIFS!$H$22="tx mea"),AND($D43=OBJECTIFS!$B$27,OBJECTIFS!$H$29="tx mea"),AND($D43=OBJECTIFS!$B$34,OBJECTIFS!$H$36="tx mea")),IFERROR(W43/V43,""),IFERROR(V43/W43,""))</f>
        <v/>
      </c>
      <c r="Y43" s="149">
        <f>IFERROR(IF(OR(V43="",W43="",X43=""),0,IF(X43&lt;OBJECTIFS!$E$56,0,IF(X43&lt;OBJECTIFS!$G$56,Y$8*OBJECTIFS!$F$60,IF(X43&lt;OBJECTIFS!$I$56,Y$8*OBJECTIFS!$H$60,Y$8)))),0)</f>
        <v>0</v>
      </c>
      <c r="Z43" s="124"/>
      <c r="AA43" s="72" t="str">
        <f>IF(OR($A43="",$D43="",Z43=""),"",SUMIFS(OBJECTIFS!I$9:I$39,OBJECTIFS!$A$9:$A$39,$D43,OBJECTIFS!$C$9:$C$39,$F43))</f>
        <v/>
      </c>
      <c r="AB43" s="72" t="str">
        <f>IF(OR(AND($D43=OBJECTIFS!$B$6,OBJECTIFS!I$8="dmt"),AND($D43=OBJECTIFS!$B$13,OBJECTIFS!$I$15="dmt"),AND($D43=OBJECTIFS!$B$20,OBJECTIFS!$I$22="dmt"),AND($D43=OBJECTIFS!$B$27,OBJECTIFS!$I$29="dmt"),AND($D43=OBJECTIFS!$B$34,OBJECTIFS!$I$36="dmt"),AND($D43=OBJECTIFS!$B$6,OBJECTIFS!$I$8="taux de chute"),AND($D43=OBJECTIFS!$B$13,OBJECTIFS!$I$15="taux de chute"),AND($D43=OBJECTIFS!$B$20,OBJECTIFS!$I$22="taux de chute"),AND($D43=OBJECTIFS!$B$27,OBJECTIFS!$I$29="taux de chute"),AND($D43=OBJECTIFS!$B$34,OBJECTIFS!$I$36="taux de chute"),AND($D43=OBJECTIFS!$B$6,OBJECTIFS!I$8="tx mea"),AND($D43=OBJECTIFS!$B$13,OBJECTIFS!$I$15="tx mea"),AND($D43=OBJECTIFS!$B$20,OBJECTIFS!$I$22="tx mea"),AND($D43=OBJECTIFS!$B$27,OBJECTIFS!$I$29="tx mea"),AND($D43=OBJECTIFS!$B$34,OBJECTIFS!$I$36="tx mea")),IFERROR(AA43/Z43,""),IFERROR(Z43/AA43,""))</f>
        <v/>
      </c>
      <c r="AC43" s="155">
        <f>IFERROR(IF(OR(Z43="",AA43="",AB43=""),0,IF(AB43&lt;OBJECTIFS!$E$56,0,IF(AB43&lt;OBJECTIFS!$G$56,AC$8*OBJECTIFS!$F$60,IF(AB43&lt;OBJECTIFS!$I$56,AC$8*OBJECTIFS!$H$60,AC$8)))),0)</f>
        <v>0</v>
      </c>
      <c r="AD43" s="289"/>
      <c r="AE43" s="290"/>
      <c r="AF43" s="158">
        <f t="shared" ca="1" si="3"/>
        <v>0</v>
      </c>
      <c r="AG43" s="52"/>
      <c r="AH43" s="129"/>
      <c r="AI43" s="19"/>
      <c r="AJ43" s="19"/>
      <c r="AK43" s="19"/>
      <c r="AL43" s="19"/>
      <c r="AM43" s="63">
        <f t="shared" si="26"/>
        <v>0</v>
      </c>
      <c r="AN43" s="63">
        <f t="shared" si="8"/>
        <v>22</v>
      </c>
      <c r="AO43" s="64">
        <f t="shared" si="27"/>
        <v>0</v>
      </c>
      <c r="AP43" s="65" t="str">
        <f t="shared" ca="1" si="28"/>
        <v/>
      </c>
      <c r="AQ43" s="66"/>
      <c r="AR43" s="168">
        <f>IFERROR(VLOOKUP(B43,OBJECTIFS!$C$76:$E$137,2,FALSE),0)</f>
        <v>0</v>
      </c>
      <c r="AS43" s="173"/>
      <c r="AT43" s="170">
        <f>IFERROR(VLOOKUP(B43,OBJECTIFS!$H$76:$J$137,2,FALSE),0)</f>
        <v>0</v>
      </c>
      <c r="AU43" s="178">
        <f t="shared" si="6"/>
        <v>0</v>
      </c>
      <c r="AV43" s="173"/>
      <c r="AW43" s="74">
        <f>IFERROR(VLOOKUP(B43,OBJECTIFS!$C$142:$E$203,2,FALSE),0)</f>
        <v>0</v>
      </c>
      <c r="AX43" s="74">
        <f>IFERROR(VLOOKUP(B43,OBJECTIFS!$H$142:$J$203,2,FALSE),0)</f>
        <v>0</v>
      </c>
      <c r="AY43" s="174">
        <f>IFERROR(VLOOKUP(B43,OBJECTIFS!$F$208:$H$269,3,FALSE),0)</f>
        <v>0</v>
      </c>
      <c r="AZ43" s="66"/>
      <c r="BA43" s="75" t="str">
        <f t="shared" ca="1" si="7"/>
        <v/>
      </c>
      <c r="BB43" s="52"/>
      <c r="BC43" s="76">
        <f t="shared" ca="1" si="30"/>
        <v>0</v>
      </c>
      <c r="BD43" s="53" t="str">
        <f t="shared" ca="1" si="29"/>
        <v/>
      </c>
      <c r="BE43" s="77" t="str">
        <f t="shared" ref="BE43:BE79" ca="1" si="31">IF(BC43=0,"",IF(BC43&gt;=MAX($BC$9:$BC$78),A43,""))</f>
        <v/>
      </c>
    </row>
    <row r="44" spans="1:57" x14ac:dyDescent="0.2">
      <c r="A44" s="16"/>
      <c r="B44" s="17"/>
      <c r="C44" s="17"/>
      <c r="D44" s="18"/>
      <c r="E44" s="19"/>
      <c r="F44" s="27"/>
      <c r="H44" s="71" t="str">
        <f>IF(OR(D44="",F44="",A44=""),"",IF(E44="oui",0,IF(D44=OBJECTIFS!$C$45,VLOOKUP(F44,OBJECTIFS!$C$9:$D$11,2,FALSE),IF(D44=OBJECTIFS!$C$46,VLOOKUP(F44,OBJECTIFS!$C$16:$D$18,2,FALSE),IF(D44=OBJECTIFS!$C$47,VLOOKUP(F44,OBJECTIFS!$C$23:$D$25,2,FALSE),IF(D44=OBJECTIFS!$C$48,VLOOKUP(F44,OBJECTIFS!$C$30:$D$32,2,FALSE),IF(D44=OBJECTIFS!$C$49,VLOOKUP(F44,OBJECTIFS!$C$37:$D$39,2,FALSE))))))))</f>
        <v/>
      </c>
      <c r="J44" s="138"/>
      <c r="K44" s="141" t="str">
        <f>IF(OR($A44="",$D44="",J44=""),"",SUMIFS(OBJECTIFS!E$9:E$39,OBJECTIFS!$A$9:$A$39,$D44,OBJECTIFS!$C$9:$C$39,$F44))</f>
        <v/>
      </c>
      <c r="L44" s="72" t="str">
        <f>IF(OR(AND($D44=OBJECTIFS!$B$6,OBJECTIFS!E$8="dmt"),AND($D44=OBJECTIFS!$B$13,OBJECTIFS!$E$15="dmt"),AND($D44=OBJECTIFS!$B$20,OBJECTIFS!$E$22="dmt"),AND($D44=OBJECTIFS!$B$27,OBJECTIFS!$E$29="dmt"),AND($D44=OBJECTIFS!$B$34,OBJECTIFS!$E$36="dmt"),AND($D44=OBJECTIFS!$B$6,OBJECTIFS!$E$8="taux de chute"),AND($D44=OBJECTIFS!$B$13,OBJECTIFS!$E$15="taux de chute"),AND($D44=OBJECTIFS!$B$20,OBJECTIFS!$E$22="taux de chute"),AND($D44=OBJECTIFS!$B$27,OBJECTIFS!$E$29="taux de chute"),AND($D44=OBJECTIFS!$B$34,OBJECTIFS!$E$36="taux de chute"),AND($D44=OBJECTIFS!$B$6,OBJECTIFS!E$8="tx mea"),AND($D44=OBJECTIFS!$B$13,OBJECTIFS!$E$15="tx mea"),AND($D44=OBJECTIFS!$B$20,OBJECTIFS!$E$22="tx mea"),AND($D44=OBJECTIFS!$B$27,OBJECTIFS!$E$29="tx mea"),AND($D44=OBJECTIFS!$B$34,OBJECTIFS!$E$36="tx mea")),IFERROR(K44/J44,""),IFERROR(J44/K44,""))</f>
        <v/>
      </c>
      <c r="M44" s="149">
        <f>IFERROR(IF(OR(J44="",K44="",L44=""),0,IF(L44&lt;OBJECTIFS!$E$56,0,IF(L44&lt;OBJECTIFS!$G$56,M$8*OBJECTIFS!$F$60,IF(L44&lt;OBJECTIFS!$I$56,M$8*OBJECTIFS!$H$60,M$8)))),0)</f>
        <v>0</v>
      </c>
      <c r="N44" s="144"/>
      <c r="O44" s="145" t="str">
        <f>IF(OR($A44="",$D44="",N44=""),"",SUMIFS(OBJECTIFS!F$9:F$39,OBJECTIFS!$A$9:$A$39,$D44,OBJECTIFS!$C$9:$C$39,$F44))</f>
        <v/>
      </c>
      <c r="P44" s="72" t="str">
        <f>IF(OR(AND($D44=OBJECTIFS!$B$6,OBJECTIFS!$F$8="dmt"),AND($D44=OBJECTIFS!$B$13,OBJECTIFS!$F$15="dmt"),AND($D44=OBJECTIFS!$B$20,OBJECTIFS!$F$22="dmt"),AND($D44=OBJECTIFS!$B$27,OBJECTIFS!$F$29="dmt"),AND($D44=OBJECTIFS!$B$34,OBJECTIFS!$F$36="dmt"),AND($D44=OBJECTIFS!$B$6,OBJECTIFS!$F$8="taux de chute"),AND($D44=OBJECTIFS!$B$13,OBJECTIFS!$F$15="taux de chute"),AND($D44=OBJECTIFS!$B$20,OBJECTIFS!$F$22="taux de chute"),AND($D44=OBJECTIFS!$B$27,OBJECTIFS!$F$29="taux de chute"),AND($D44=OBJECTIFS!$B$34,OBJECTIFS!$F$36="taux de chute"),AND($D44=OBJECTIFS!$B$6,OBJECTIFS!$F$8="tx mea"),AND($D44=OBJECTIFS!$B$13,OBJECTIFS!$F$15="tx mea"),AND($D44=OBJECTIFS!$B$20,OBJECTIFS!$F$22="tx mea"),AND($D44=OBJECTIFS!$B$27,OBJECTIFS!$F$29="tx mea"),AND($D44=OBJECTIFS!$B$34,OBJECTIFS!$F$36="tx mea")),IFERROR(O44/N44,""),IFERROR(N44/O44,""))</f>
        <v/>
      </c>
      <c r="Q44" s="149">
        <f>IFERROR(IF(OR(N44="",O44="",P44=""),0,IF(P44&lt;OBJECTIFS!$E$56,0,IF(P44&lt;OBJECTIFS!$G$56,Q$8*OBJECTIFS!$F$60,IF(P44&lt;OBJECTIFS!$I$56,Q$8*OBJECTIFS!$H$60,Q$8)))),0)</f>
        <v>0</v>
      </c>
      <c r="R44" s="121"/>
      <c r="S44" s="73" t="str">
        <f>IF(OR($A44="",$D44="",R44=""),"",SUMIFS(OBJECTIFS!G$9:G$39,OBJECTIFS!$A$9:$A$39,$D44,OBJECTIFS!$C$9:$C$39,$F44))</f>
        <v/>
      </c>
      <c r="T44" s="72" t="str">
        <f>IF(OR(AND($D44=OBJECTIFS!$B$6,OBJECTIFS!G$8="dmt"),AND($D44=OBJECTIFS!$B$13,OBJECTIFS!$G$15="dmt"),AND($D44=OBJECTIFS!$B$20,OBJECTIFS!$G$22="dmt"),AND($D44=OBJECTIFS!$B$27,OBJECTIFS!$G$29="dmt"),AND($D44=OBJECTIFS!$B$34,OBJECTIFS!$G$36="dmt"),AND($D44=OBJECTIFS!$B$6,OBJECTIFS!$G$8="taux de chute"),AND($D44=OBJECTIFS!$B$13,OBJECTIFS!$G$15="taux de chute"),AND($D44=OBJECTIFS!$B$20,OBJECTIFS!$G$22="taux de chute"),AND($D44=OBJECTIFS!$B$27,OBJECTIFS!$G$29="taux de chute"),AND($D44=OBJECTIFS!$B$34,OBJECTIFS!$G$36="taux de chute",AND($D44=OBJECTIFS!$B$6,OBJECTIFS!G$8="tx mea"),AND($D44=OBJECTIFS!$B$13,OBJECTIFS!$G$15="tx mea"),AND($D44=OBJECTIFS!$B$20,OBJECTIFS!$G$22="tx mea"),AND($D44=OBJECTIFS!$B$27,OBJECTIFS!$G$29="tx mea"),AND($D44=OBJECTIFS!$B$34,OBJECTIFS!$G$36="tx mea"))),IFERROR(S44/R44,""),IFERROR(R44/S44,""))</f>
        <v/>
      </c>
      <c r="U44" s="152">
        <f>IFERROR(IF(OR(R44="",S44="",T44=""),0,IF(T44&lt;OBJECTIFS!$E$56,0,IF(T44&lt;OBJECTIFS!$G$56,U$8*OBJECTIFS!$F$60,IF(T44&lt;OBJECTIFS!$I$56,U$8*OBJECTIFS!$H$60,U$8)))),0)</f>
        <v>0</v>
      </c>
      <c r="V44" s="20"/>
      <c r="W44" s="72" t="str">
        <f>IF(OR($A44="",$D44="",V44=""),"",SUMIFS(OBJECTIFS!H$9:H$39,OBJECTIFS!$A$9:$A$39,$D44,OBJECTIFS!$C$9:$C$39,$F44))</f>
        <v/>
      </c>
      <c r="X44" s="72" t="str">
        <f>IF(OR(AND($D44=OBJECTIFS!$B$6,OBJECTIFS!H$8="dmt"),AND($D44=OBJECTIFS!$B$13,OBJECTIFS!$H$15="dmt"),AND($D44=OBJECTIFS!$B$20,OBJECTIFS!$H$22="dmt"),AND($D44=OBJECTIFS!$B$27,OBJECTIFS!$H$29="dmt"),AND($D44=OBJECTIFS!$B$34,OBJECTIFS!$H$36="dmt"),AND($D44=OBJECTIFS!$B$6,OBJECTIFS!$H$8="taux de chute"),AND($D44=OBJECTIFS!$B$13,OBJECTIFS!$H$15="taux de chute"),AND($D44=OBJECTIFS!$B$20,OBJECTIFS!$H$22="taux de chute"),AND($D44=OBJECTIFS!$B$27,OBJECTIFS!$H$29="taux de chute"),AND($D44=OBJECTIFS!$B$34,OBJECTIFS!$H$36="taux de chute"),AND($D44=OBJECTIFS!$B$6,OBJECTIFS!H$8="tx mea"),AND($D44=OBJECTIFS!$B$13,OBJECTIFS!$H$15="tx mea"),AND($D44=OBJECTIFS!$B$20,OBJECTIFS!$H$22="tx mea"),AND($D44=OBJECTIFS!$B$27,OBJECTIFS!$H$29="tx mea"),AND($D44=OBJECTIFS!$B$34,OBJECTIFS!$H$36="tx mea")),IFERROR(W44/V44,""),IFERROR(V44/W44,""))</f>
        <v/>
      </c>
      <c r="Y44" s="149">
        <f>IFERROR(IF(OR(V44="",W44="",X44=""),0,IF(X44&lt;OBJECTIFS!$E$56,0,IF(X44&lt;OBJECTIFS!$G$56,Y$8*OBJECTIFS!$F$60,IF(X44&lt;OBJECTIFS!$I$56,Y$8*OBJECTIFS!$H$60,Y$8)))),0)</f>
        <v>0</v>
      </c>
      <c r="Z44" s="124"/>
      <c r="AA44" s="72" t="str">
        <f>IF(OR($A44="",$D44="",Z44=""),"",SUMIFS(OBJECTIFS!I$9:I$39,OBJECTIFS!$A$9:$A$39,$D44,OBJECTIFS!$C$9:$C$39,$F44))</f>
        <v/>
      </c>
      <c r="AB44" s="72" t="str">
        <f>IF(OR(AND($D44=OBJECTIFS!$B$6,OBJECTIFS!I$8="dmt"),AND($D44=OBJECTIFS!$B$13,OBJECTIFS!$I$15="dmt"),AND($D44=OBJECTIFS!$B$20,OBJECTIFS!$I$22="dmt"),AND($D44=OBJECTIFS!$B$27,OBJECTIFS!$I$29="dmt"),AND($D44=OBJECTIFS!$B$34,OBJECTIFS!$I$36="dmt"),AND($D44=OBJECTIFS!$B$6,OBJECTIFS!$I$8="taux de chute"),AND($D44=OBJECTIFS!$B$13,OBJECTIFS!$I$15="taux de chute"),AND($D44=OBJECTIFS!$B$20,OBJECTIFS!$I$22="taux de chute"),AND($D44=OBJECTIFS!$B$27,OBJECTIFS!$I$29="taux de chute"),AND($D44=OBJECTIFS!$B$34,OBJECTIFS!$I$36="taux de chute"),AND($D44=OBJECTIFS!$B$6,OBJECTIFS!I$8="tx mea"),AND($D44=OBJECTIFS!$B$13,OBJECTIFS!$I$15="tx mea"),AND($D44=OBJECTIFS!$B$20,OBJECTIFS!$I$22="tx mea"),AND($D44=OBJECTIFS!$B$27,OBJECTIFS!$I$29="tx mea"),AND($D44=OBJECTIFS!$B$34,OBJECTIFS!$I$36="tx mea")),IFERROR(AA44/Z44,""),IFERROR(Z44/AA44,""))</f>
        <v/>
      </c>
      <c r="AC44" s="155">
        <f>IFERROR(IF(OR(Z44="",AA44="",AB44=""),0,IF(AB44&lt;OBJECTIFS!$E$56,0,IF(AB44&lt;OBJECTIFS!$G$56,AC$8*OBJECTIFS!$F$60,IF(AB44&lt;OBJECTIFS!$I$56,AC$8*OBJECTIFS!$H$60,AC$8)))),0)</f>
        <v>0</v>
      </c>
      <c r="AD44" s="289"/>
      <c r="AE44" s="290"/>
      <c r="AF44" s="158">
        <f t="shared" ca="1" si="3"/>
        <v>0</v>
      </c>
      <c r="AG44" s="52"/>
      <c r="AH44" s="129"/>
      <c r="AI44" s="19"/>
      <c r="AJ44" s="19"/>
      <c r="AK44" s="19"/>
      <c r="AL44" s="19"/>
      <c r="AM44" s="63">
        <f t="shared" si="26"/>
        <v>0</v>
      </c>
      <c r="AN44" s="63">
        <f t="shared" si="8"/>
        <v>22</v>
      </c>
      <c r="AO44" s="64">
        <f t="shared" si="27"/>
        <v>0</v>
      </c>
      <c r="AP44" s="65" t="str">
        <f t="shared" ca="1" si="28"/>
        <v/>
      </c>
      <c r="AQ44" s="66"/>
      <c r="AR44" s="168">
        <f>IFERROR(VLOOKUP(B44,OBJECTIFS!$C$76:$E$137,2,FALSE),0)</f>
        <v>0</v>
      </c>
      <c r="AS44" s="173"/>
      <c r="AT44" s="170">
        <f>IFERROR(VLOOKUP(B44,OBJECTIFS!$H$76:$J$137,2,FALSE),0)</f>
        <v>0</v>
      </c>
      <c r="AU44" s="178">
        <f t="shared" si="6"/>
        <v>0</v>
      </c>
      <c r="AV44" s="173"/>
      <c r="AW44" s="74">
        <f>IFERROR(VLOOKUP(B44,OBJECTIFS!$C$142:$E$203,2,FALSE),0)</f>
        <v>0</v>
      </c>
      <c r="AX44" s="74">
        <f>IFERROR(VLOOKUP(B44,OBJECTIFS!$H$142:$J$203,2,FALSE),0)</f>
        <v>0</v>
      </c>
      <c r="AY44" s="174">
        <f>IFERROR(VLOOKUP(B44,OBJECTIFS!$F$208:$H$269,3,FALSE),0)</f>
        <v>0</v>
      </c>
      <c r="AZ44" s="66"/>
      <c r="BA44" s="75" t="str">
        <f t="shared" ca="1" si="7"/>
        <v/>
      </c>
      <c r="BB44" s="52"/>
      <c r="BC44" s="76">
        <f t="shared" ca="1" si="30"/>
        <v>0</v>
      </c>
      <c r="BD44" s="53" t="str">
        <f t="shared" ca="1" si="29"/>
        <v/>
      </c>
      <c r="BE44" s="77" t="str">
        <f t="shared" ca="1" si="31"/>
        <v/>
      </c>
    </row>
    <row r="45" spans="1:57" x14ac:dyDescent="0.2">
      <c r="A45" s="16"/>
      <c r="B45" s="17"/>
      <c r="C45" s="17"/>
      <c r="D45" s="18"/>
      <c r="E45" s="19"/>
      <c r="F45" s="27"/>
      <c r="H45" s="71" t="str">
        <f>IF(OR(D45="",F45="",A45=""),"",IF(E45="oui",0,IF(D45=OBJECTIFS!$C$45,VLOOKUP(F45,OBJECTIFS!$C$9:$D$11,2,FALSE),IF(D45=OBJECTIFS!$C$46,VLOOKUP(F45,OBJECTIFS!$C$16:$D$18,2,FALSE),IF(D45=OBJECTIFS!$C$47,VLOOKUP(F45,OBJECTIFS!$C$23:$D$25,2,FALSE),IF(D45=OBJECTIFS!$C$48,VLOOKUP(F45,OBJECTIFS!$C$30:$D$32,2,FALSE),IF(D45=OBJECTIFS!$C$49,VLOOKUP(F45,OBJECTIFS!$C$37:$D$39,2,FALSE))))))))</f>
        <v/>
      </c>
      <c r="J45" s="138"/>
      <c r="K45" s="141" t="str">
        <f>IF(OR($A45="",$D45="",J45=""),"",SUMIFS(OBJECTIFS!E$9:E$39,OBJECTIFS!$A$9:$A$39,$D45,OBJECTIFS!$C$9:$C$39,$F45))</f>
        <v/>
      </c>
      <c r="L45" s="72" t="str">
        <f>IF(OR(AND($D45=OBJECTIFS!$B$6,OBJECTIFS!E$8="dmt"),AND($D45=OBJECTIFS!$B$13,OBJECTIFS!$E$15="dmt"),AND($D45=OBJECTIFS!$B$20,OBJECTIFS!$E$22="dmt"),AND($D45=OBJECTIFS!$B$27,OBJECTIFS!$E$29="dmt"),AND($D45=OBJECTIFS!$B$34,OBJECTIFS!$E$36="dmt"),AND($D45=OBJECTIFS!$B$6,OBJECTIFS!$E$8="taux de chute"),AND($D45=OBJECTIFS!$B$13,OBJECTIFS!$E$15="taux de chute"),AND($D45=OBJECTIFS!$B$20,OBJECTIFS!$E$22="taux de chute"),AND($D45=OBJECTIFS!$B$27,OBJECTIFS!$E$29="taux de chute"),AND($D45=OBJECTIFS!$B$34,OBJECTIFS!$E$36="taux de chute"),AND($D45=OBJECTIFS!$B$6,OBJECTIFS!E$8="tx mea"),AND($D45=OBJECTIFS!$B$13,OBJECTIFS!$E$15="tx mea"),AND($D45=OBJECTIFS!$B$20,OBJECTIFS!$E$22="tx mea"),AND($D45=OBJECTIFS!$B$27,OBJECTIFS!$E$29="tx mea"),AND($D45=OBJECTIFS!$B$34,OBJECTIFS!$E$36="tx mea")),IFERROR(K45/J45,""),IFERROR(J45/K45,""))</f>
        <v/>
      </c>
      <c r="M45" s="149">
        <f>IFERROR(IF(OR(J45="",K45="",L45=""),0,IF(L45&lt;OBJECTIFS!$E$56,0,IF(L45&lt;OBJECTIFS!$G$56,M$8*OBJECTIFS!$F$60,IF(L45&lt;OBJECTIFS!$I$56,M$8*OBJECTIFS!$H$60,M$8)))),0)</f>
        <v>0</v>
      </c>
      <c r="N45" s="144"/>
      <c r="O45" s="145" t="str">
        <f>IF(OR($A45="",$D45="",N45=""),"",SUMIFS(OBJECTIFS!F$9:F$39,OBJECTIFS!$A$9:$A$39,$D45,OBJECTIFS!$C$9:$C$39,$F45))</f>
        <v/>
      </c>
      <c r="P45" s="72" t="str">
        <f>IF(OR(AND($D45=OBJECTIFS!$B$6,OBJECTIFS!$F$8="dmt"),AND($D45=OBJECTIFS!$B$13,OBJECTIFS!$F$15="dmt"),AND($D45=OBJECTIFS!$B$20,OBJECTIFS!$F$22="dmt"),AND($D45=OBJECTIFS!$B$27,OBJECTIFS!$F$29="dmt"),AND($D45=OBJECTIFS!$B$34,OBJECTIFS!$F$36="dmt"),AND($D45=OBJECTIFS!$B$6,OBJECTIFS!$F$8="taux de chute"),AND($D45=OBJECTIFS!$B$13,OBJECTIFS!$F$15="taux de chute"),AND($D45=OBJECTIFS!$B$20,OBJECTIFS!$F$22="taux de chute"),AND($D45=OBJECTIFS!$B$27,OBJECTIFS!$F$29="taux de chute"),AND($D45=OBJECTIFS!$B$34,OBJECTIFS!$F$36="taux de chute"),AND($D45=OBJECTIFS!$B$6,OBJECTIFS!$F$8="tx mea"),AND($D45=OBJECTIFS!$B$13,OBJECTIFS!$F$15="tx mea"),AND($D45=OBJECTIFS!$B$20,OBJECTIFS!$F$22="tx mea"),AND($D45=OBJECTIFS!$B$27,OBJECTIFS!$F$29="tx mea"),AND($D45=OBJECTIFS!$B$34,OBJECTIFS!$F$36="tx mea")),IFERROR(O45/N45,""),IFERROR(N45/O45,""))</f>
        <v/>
      </c>
      <c r="Q45" s="149">
        <f>IFERROR(IF(OR(N45="",O45="",P45=""),0,IF(P45&lt;OBJECTIFS!$E$56,0,IF(P45&lt;OBJECTIFS!$G$56,Q$8*OBJECTIFS!$F$60,IF(P45&lt;OBJECTIFS!$I$56,Q$8*OBJECTIFS!$H$60,Q$8)))),0)</f>
        <v>0</v>
      </c>
      <c r="R45" s="121"/>
      <c r="S45" s="73" t="str">
        <f>IF(OR($A45="",$D45="",R45=""),"",SUMIFS(OBJECTIFS!G$9:G$39,OBJECTIFS!$A$9:$A$39,$D45,OBJECTIFS!$C$9:$C$39,$F45))</f>
        <v/>
      </c>
      <c r="T45" s="72" t="str">
        <f>IF(OR(AND($D45=OBJECTIFS!$B$6,OBJECTIFS!G$8="dmt"),AND($D45=OBJECTIFS!$B$13,OBJECTIFS!$G$15="dmt"),AND($D45=OBJECTIFS!$B$20,OBJECTIFS!$G$22="dmt"),AND($D45=OBJECTIFS!$B$27,OBJECTIFS!$G$29="dmt"),AND($D45=OBJECTIFS!$B$34,OBJECTIFS!$G$36="dmt"),AND($D45=OBJECTIFS!$B$6,OBJECTIFS!$G$8="taux de chute"),AND($D45=OBJECTIFS!$B$13,OBJECTIFS!$G$15="taux de chute"),AND($D45=OBJECTIFS!$B$20,OBJECTIFS!$G$22="taux de chute"),AND($D45=OBJECTIFS!$B$27,OBJECTIFS!$G$29="taux de chute"),AND($D45=OBJECTIFS!$B$34,OBJECTIFS!$G$36="taux de chute",AND($D45=OBJECTIFS!$B$6,OBJECTIFS!G$8="tx mea"),AND($D45=OBJECTIFS!$B$13,OBJECTIFS!$G$15="tx mea"),AND($D45=OBJECTIFS!$B$20,OBJECTIFS!$G$22="tx mea"),AND($D45=OBJECTIFS!$B$27,OBJECTIFS!$G$29="tx mea"),AND($D45=OBJECTIFS!$B$34,OBJECTIFS!$G$36="tx mea"))),IFERROR(S45/R45,""),IFERROR(R45/S45,""))</f>
        <v/>
      </c>
      <c r="U45" s="152">
        <f>IFERROR(IF(OR(R45="",S45="",T45=""),0,IF(T45&lt;OBJECTIFS!$E$56,0,IF(T45&lt;OBJECTIFS!$G$56,U$8*OBJECTIFS!$F$60,IF(T45&lt;OBJECTIFS!$I$56,U$8*OBJECTIFS!$H$60,U$8)))),0)</f>
        <v>0</v>
      </c>
      <c r="V45" s="20"/>
      <c r="W45" s="72" t="str">
        <f>IF(OR($A45="",$D45="",V45=""),"",SUMIFS(OBJECTIFS!H$9:H$39,OBJECTIFS!$A$9:$A$39,$D45,OBJECTIFS!$C$9:$C$39,$F45))</f>
        <v/>
      </c>
      <c r="X45" s="72" t="str">
        <f>IF(OR(AND($D45=OBJECTIFS!$B$6,OBJECTIFS!H$8="dmt"),AND($D45=OBJECTIFS!$B$13,OBJECTIFS!$H$15="dmt"),AND($D45=OBJECTIFS!$B$20,OBJECTIFS!$H$22="dmt"),AND($D45=OBJECTIFS!$B$27,OBJECTIFS!$H$29="dmt"),AND($D45=OBJECTIFS!$B$34,OBJECTIFS!$H$36="dmt"),AND($D45=OBJECTIFS!$B$6,OBJECTIFS!$H$8="taux de chute"),AND($D45=OBJECTIFS!$B$13,OBJECTIFS!$H$15="taux de chute"),AND($D45=OBJECTIFS!$B$20,OBJECTIFS!$H$22="taux de chute"),AND($D45=OBJECTIFS!$B$27,OBJECTIFS!$H$29="taux de chute"),AND($D45=OBJECTIFS!$B$34,OBJECTIFS!$H$36="taux de chute"),AND($D45=OBJECTIFS!$B$6,OBJECTIFS!H$8="tx mea"),AND($D45=OBJECTIFS!$B$13,OBJECTIFS!$H$15="tx mea"),AND($D45=OBJECTIFS!$B$20,OBJECTIFS!$H$22="tx mea"),AND($D45=OBJECTIFS!$B$27,OBJECTIFS!$H$29="tx mea"),AND($D45=OBJECTIFS!$B$34,OBJECTIFS!$H$36="tx mea")),IFERROR(W45/V45,""),IFERROR(V45/W45,""))</f>
        <v/>
      </c>
      <c r="Y45" s="149">
        <f>IFERROR(IF(OR(V45="",W45="",X45=""),0,IF(X45&lt;OBJECTIFS!$E$56,0,IF(X45&lt;OBJECTIFS!$G$56,Y$8*OBJECTIFS!$F$60,IF(X45&lt;OBJECTIFS!$I$56,Y$8*OBJECTIFS!$H$60,Y$8)))),0)</f>
        <v>0</v>
      </c>
      <c r="Z45" s="124"/>
      <c r="AA45" s="72" t="str">
        <f>IF(OR($A45="",$D45="",Z45=""),"",SUMIFS(OBJECTIFS!I$9:I$39,OBJECTIFS!$A$9:$A$39,$D45,OBJECTIFS!$C$9:$C$39,$F45))</f>
        <v/>
      </c>
      <c r="AB45" s="72" t="str">
        <f>IF(OR(AND($D45=OBJECTIFS!$B$6,OBJECTIFS!I$8="dmt"),AND($D45=OBJECTIFS!$B$13,OBJECTIFS!$I$15="dmt"),AND($D45=OBJECTIFS!$B$20,OBJECTIFS!$I$22="dmt"),AND($D45=OBJECTIFS!$B$27,OBJECTIFS!$I$29="dmt"),AND($D45=OBJECTIFS!$B$34,OBJECTIFS!$I$36="dmt"),AND($D45=OBJECTIFS!$B$6,OBJECTIFS!$I$8="taux de chute"),AND($D45=OBJECTIFS!$B$13,OBJECTIFS!$I$15="taux de chute"),AND($D45=OBJECTIFS!$B$20,OBJECTIFS!$I$22="taux de chute"),AND($D45=OBJECTIFS!$B$27,OBJECTIFS!$I$29="taux de chute"),AND($D45=OBJECTIFS!$B$34,OBJECTIFS!$I$36="taux de chute"),AND($D45=OBJECTIFS!$B$6,OBJECTIFS!I$8="tx mea"),AND($D45=OBJECTIFS!$B$13,OBJECTIFS!$I$15="tx mea"),AND($D45=OBJECTIFS!$B$20,OBJECTIFS!$I$22="tx mea"),AND($D45=OBJECTIFS!$B$27,OBJECTIFS!$I$29="tx mea"),AND($D45=OBJECTIFS!$B$34,OBJECTIFS!$I$36="tx mea")),IFERROR(AA45/Z45,""),IFERROR(Z45/AA45,""))</f>
        <v/>
      </c>
      <c r="AC45" s="155">
        <f>IFERROR(IF(OR(Z45="",AA45="",AB45=""),0,IF(AB45&lt;OBJECTIFS!$E$56,0,IF(AB45&lt;OBJECTIFS!$G$56,AC$8*OBJECTIFS!$F$60,IF(AB45&lt;OBJECTIFS!$I$56,AC$8*OBJECTIFS!$H$60,AC$8)))),0)</f>
        <v>0</v>
      </c>
      <c r="AD45" s="289"/>
      <c r="AE45" s="290"/>
      <c r="AF45" s="158">
        <f t="shared" ca="1" si="3"/>
        <v>0</v>
      </c>
      <c r="AG45" s="52"/>
      <c r="AH45" s="129"/>
      <c r="AI45" s="19"/>
      <c r="AJ45" s="19"/>
      <c r="AK45" s="19"/>
      <c r="AL45" s="19"/>
      <c r="AM45" s="63">
        <f t="shared" si="26"/>
        <v>0</v>
      </c>
      <c r="AN45" s="63">
        <f t="shared" si="8"/>
        <v>22</v>
      </c>
      <c r="AO45" s="64">
        <f t="shared" si="27"/>
        <v>0</v>
      </c>
      <c r="AP45" s="65" t="str">
        <f t="shared" ca="1" si="28"/>
        <v/>
      </c>
      <c r="AQ45" s="66"/>
      <c r="AR45" s="168">
        <f>IFERROR(VLOOKUP(B45,OBJECTIFS!$C$76:$E$137,2,FALSE),0)</f>
        <v>0</v>
      </c>
      <c r="AS45" s="173"/>
      <c r="AT45" s="170">
        <f>IFERROR(VLOOKUP(B45,OBJECTIFS!$H$76:$J$137,2,FALSE),0)</f>
        <v>0</v>
      </c>
      <c r="AU45" s="178">
        <f t="shared" si="6"/>
        <v>0</v>
      </c>
      <c r="AV45" s="173"/>
      <c r="AW45" s="74">
        <f>IFERROR(VLOOKUP(B45,OBJECTIFS!$C$142:$E$203,2,FALSE),0)</f>
        <v>0</v>
      </c>
      <c r="AX45" s="74">
        <f>IFERROR(VLOOKUP(B45,OBJECTIFS!$H$142:$J$203,2,FALSE),0)</f>
        <v>0</v>
      </c>
      <c r="AY45" s="174">
        <f>IFERROR(VLOOKUP(B45,OBJECTIFS!$F$208:$H$269,3,FALSE),0)</f>
        <v>0</v>
      </c>
      <c r="AZ45" s="66"/>
      <c r="BA45" s="75" t="str">
        <f t="shared" ca="1" si="7"/>
        <v/>
      </c>
      <c r="BB45" s="52"/>
      <c r="BC45" s="76">
        <f t="shared" ca="1" si="30"/>
        <v>0</v>
      </c>
      <c r="BD45" s="53" t="str">
        <f t="shared" ca="1" si="29"/>
        <v/>
      </c>
      <c r="BE45" s="77" t="str">
        <f t="shared" ca="1" si="31"/>
        <v/>
      </c>
    </row>
    <row r="46" spans="1:57" x14ac:dyDescent="0.2">
      <c r="A46" s="16"/>
      <c r="B46" s="17"/>
      <c r="C46" s="17"/>
      <c r="D46" s="18"/>
      <c r="E46" s="19"/>
      <c r="F46" s="27"/>
      <c r="H46" s="71" t="str">
        <f>IF(OR(D46="",F46="",A46=""),"",IF(E46="oui",0,IF(D46=OBJECTIFS!$C$45,VLOOKUP(F46,OBJECTIFS!$C$9:$D$11,2,FALSE),IF(D46=OBJECTIFS!$C$46,VLOOKUP(F46,OBJECTIFS!$C$16:$D$18,2,FALSE),IF(D46=OBJECTIFS!$C$47,VLOOKUP(F46,OBJECTIFS!$C$23:$D$25,2,FALSE),IF(D46=OBJECTIFS!$C$48,VLOOKUP(F46,OBJECTIFS!$C$30:$D$32,2,FALSE),IF(D46=OBJECTIFS!$C$49,VLOOKUP(F46,OBJECTIFS!$C$37:$D$39,2,FALSE))))))))</f>
        <v/>
      </c>
      <c r="J46" s="138"/>
      <c r="K46" s="141" t="str">
        <f>IF(OR($A46="",$D46="",J46=""),"",SUMIFS(OBJECTIFS!E$9:E$39,OBJECTIFS!$A$9:$A$39,$D46,OBJECTIFS!$C$9:$C$39,$F46))</f>
        <v/>
      </c>
      <c r="L46" s="72" t="str">
        <f>IF(OR(AND($D46=OBJECTIFS!$B$6,OBJECTIFS!E$8="dmt"),AND($D46=OBJECTIFS!$B$13,OBJECTIFS!$E$15="dmt"),AND($D46=OBJECTIFS!$B$20,OBJECTIFS!$E$22="dmt"),AND($D46=OBJECTIFS!$B$27,OBJECTIFS!$E$29="dmt"),AND($D46=OBJECTIFS!$B$34,OBJECTIFS!$E$36="dmt"),AND($D46=OBJECTIFS!$B$6,OBJECTIFS!$E$8="taux de chute"),AND($D46=OBJECTIFS!$B$13,OBJECTIFS!$E$15="taux de chute"),AND($D46=OBJECTIFS!$B$20,OBJECTIFS!$E$22="taux de chute"),AND($D46=OBJECTIFS!$B$27,OBJECTIFS!$E$29="taux de chute"),AND($D46=OBJECTIFS!$B$34,OBJECTIFS!$E$36="taux de chute"),AND($D46=OBJECTIFS!$B$6,OBJECTIFS!E$8="tx mea"),AND($D46=OBJECTIFS!$B$13,OBJECTIFS!$E$15="tx mea"),AND($D46=OBJECTIFS!$B$20,OBJECTIFS!$E$22="tx mea"),AND($D46=OBJECTIFS!$B$27,OBJECTIFS!$E$29="tx mea"),AND($D46=OBJECTIFS!$B$34,OBJECTIFS!$E$36="tx mea")),IFERROR(K46/J46,""),IFERROR(J46/K46,""))</f>
        <v/>
      </c>
      <c r="M46" s="149">
        <f>IFERROR(IF(OR(J46="",K46="",L46=""),0,IF(L46&lt;OBJECTIFS!$E$56,0,IF(L46&lt;OBJECTIFS!$G$56,M$8*OBJECTIFS!$F$60,IF(L46&lt;OBJECTIFS!$I$56,M$8*OBJECTIFS!$H$60,M$8)))),0)</f>
        <v>0</v>
      </c>
      <c r="N46" s="144"/>
      <c r="O46" s="145" t="str">
        <f>IF(OR($A46="",$D46="",N46=""),"",SUMIFS(OBJECTIFS!F$9:F$39,OBJECTIFS!$A$9:$A$39,$D46,OBJECTIFS!$C$9:$C$39,$F46))</f>
        <v/>
      </c>
      <c r="P46" s="72" t="str">
        <f>IF(OR(AND($D46=OBJECTIFS!$B$6,OBJECTIFS!$F$8="dmt"),AND($D46=OBJECTIFS!$B$13,OBJECTIFS!$F$15="dmt"),AND($D46=OBJECTIFS!$B$20,OBJECTIFS!$F$22="dmt"),AND($D46=OBJECTIFS!$B$27,OBJECTIFS!$F$29="dmt"),AND($D46=OBJECTIFS!$B$34,OBJECTIFS!$F$36="dmt"),AND($D46=OBJECTIFS!$B$6,OBJECTIFS!$F$8="taux de chute"),AND($D46=OBJECTIFS!$B$13,OBJECTIFS!$F$15="taux de chute"),AND($D46=OBJECTIFS!$B$20,OBJECTIFS!$F$22="taux de chute"),AND($D46=OBJECTIFS!$B$27,OBJECTIFS!$F$29="taux de chute"),AND($D46=OBJECTIFS!$B$34,OBJECTIFS!$F$36="taux de chute"),AND($D46=OBJECTIFS!$B$6,OBJECTIFS!$F$8="tx mea"),AND($D46=OBJECTIFS!$B$13,OBJECTIFS!$F$15="tx mea"),AND($D46=OBJECTIFS!$B$20,OBJECTIFS!$F$22="tx mea"),AND($D46=OBJECTIFS!$B$27,OBJECTIFS!$F$29="tx mea"),AND($D46=OBJECTIFS!$B$34,OBJECTIFS!$F$36="tx mea")),IFERROR(O46/N46,""),IFERROR(N46/O46,""))</f>
        <v/>
      </c>
      <c r="Q46" s="149">
        <f>IFERROR(IF(OR(N46="",O46="",P46=""),0,IF(P46&lt;OBJECTIFS!$E$56,0,IF(P46&lt;OBJECTIFS!$G$56,Q$8*OBJECTIFS!$F$60,IF(P46&lt;OBJECTIFS!$I$56,Q$8*OBJECTIFS!$H$60,Q$8)))),0)</f>
        <v>0</v>
      </c>
      <c r="R46" s="121"/>
      <c r="S46" s="73" t="str">
        <f>IF(OR($A46="",$D46="",R46=""),"",SUMIFS(OBJECTIFS!G$9:G$39,OBJECTIFS!$A$9:$A$39,$D46,OBJECTIFS!$C$9:$C$39,$F46))</f>
        <v/>
      </c>
      <c r="T46" s="72" t="str">
        <f>IF(OR(AND($D46=OBJECTIFS!$B$6,OBJECTIFS!G$8="dmt"),AND($D46=OBJECTIFS!$B$13,OBJECTIFS!$G$15="dmt"),AND($D46=OBJECTIFS!$B$20,OBJECTIFS!$G$22="dmt"),AND($D46=OBJECTIFS!$B$27,OBJECTIFS!$G$29="dmt"),AND($D46=OBJECTIFS!$B$34,OBJECTIFS!$G$36="dmt"),AND($D46=OBJECTIFS!$B$6,OBJECTIFS!$G$8="taux de chute"),AND($D46=OBJECTIFS!$B$13,OBJECTIFS!$G$15="taux de chute"),AND($D46=OBJECTIFS!$B$20,OBJECTIFS!$G$22="taux de chute"),AND($D46=OBJECTIFS!$B$27,OBJECTIFS!$G$29="taux de chute"),AND($D46=OBJECTIFS!$B$34,OBJECTIFS!$G$36="taux de chute",AND($D46=OBJECTIFS!$B$6,OBJECTIFS!G$8="tx mea"),AND($D46=OBJECTIFS!$B$13,OBJECTIFS!$G$15="tx mea"),AND($D46=OBJECTIFS!$B$20,OBJECTIFS!$G$22="tx mea"),AND($D46=OBJECTIFS!$B$27,OBJECTIFS!$G$29="tx mea"),AND($D46=OBJECTIFS!$B$34,OBJECTIFS!$G$36="tx mea"))),IFERROR(S46/R46,""),IFERROR(R46/S46,""))</f>
        <v/>
      </c>
      <c r="U46" s="152">
        <f>IFERROR(IF(OR(R46="",S46="",T46=""),0,IF(T46&lt;OBJECTIFS!$E$56,0,IF(T46&lt;OBJECTIFS!$G$56,U$8*OBJECTIFS!$F$60,IF(T46&lt;OBJECTIFS!$I$56,U$8*OBJECTIFS!$H$60,U$8)))),0)</f>
        <v>0</v>
      </c>
      <c r="V46" s="20"/>
      <c r="W46" s="72" t="str">
        <f>IF(OR($A46="",$D46="",V46=""),"",SUMIFS(OBJECTIFS!H$9:H$39,OBJECTIFS!$A$9:$A$39,$D46,OBJECTIFS!$C$9:$C$39,$F46))</f>
        <v/>
      </c>
      <c r="X46" s="72" t="str">
        <f>IF(OR(AND($D46=OBJECTIFS!$B$6,OBJECTIFS!H$8="dmt"),AND($D46=OBJECTIFS!$B$13,OBJECTIFS!$H$15="dmt"),AND($D46=OBJECTIFS!$B$20,OBJECTIFS!$H$22="dmt"),AND($D46=OBJECTIFS!$B$27,OBJECTIFS!$H$29="dmt"),AND($D46=OBJECTIFS!$B$34,OBJECTIFS!$H$36="dmt"),AND($D46=OBJECTIFS!$B$6,OBJECTIFS!$H$8="taux de chute"),AND($D46=OBJECTIFS!$B$13,OBJECTIFS!$H$15="taux de chute"),AND($D46=OBJECTIFS!$B$20,OBJECTIFS!$H$22="taux de chute"),AND($D46=OBJECTIFS!$B$27,OBJECTIFS!$H$29="taux de chute"),AND($D46=OBJECTIFS!$B$34,OBJECTIFS!$H$36="taux de chute"),AND($D46=OBJECTIFS!$B$6,OBJECTIFS!H$8="tx mea"),AND($D46=OBJECTIFS!$B$13,OBJECTIFS!$H$15="tx mea"),AND($D46=OBJECTIFS!$B$20,OBJECTIFS!$H$22="tx mea"),AND($D46=OBJECTIFS!$B$27,OBJECTIFS!$H$29="tx mea"),AND($D46=OBJECTIFS!$B$34,OBJECTIFS!$H$36="tx mea")),IFERROR(W46/V46,""),IFERROR(V46/W46,""))</f>
        <v/>
      </c>
      <c r="Y46" s="149">
        <f>IFERROR(IF(OR(V46="",W46="",X46=""),0,IF(X46&lt;OBJECTIFS!$E$56,0,IF(X46&lt;OBJECTIFS!$G$56,Y$8*OBJECTIFS!$F$60,IF(X46&lt;OBJECTIFS!$I$56,Y$8*OBJECTIFS!$H$60,Y$8)))),0)</f>
        <v>0</v>
      </c>
      <c r="Z46" s="124"/>
      <c r="AA46" s="72" t="str">
        <f>IF(OR($A46="",$D46="",Z46=""),"",SUMIFS(OBJECTIFS!I$9:I$39,OBJECTIFS!$A$9:$A$39,$D46,OBJECTIFS!$C$9:$C$39,$F46))</f>
        <v/>
      </c>
      <c r="AB46" s="72" t="str">
        <f>IF(OR(AND($D46=OBJECTIFS!$B$6,OBJECTIFS!I$8="dmt"),AND($D46=OBJECTIFS!$B$13,OBJECTIFS!$I$15="dmt"),AND($D46=OBJECTIFS!$B$20,OBJECTIFS!$I$22="dmt"),AND($D46=OBJECTIFS!$B$27,OBJECTIFS!$I$29="dmt"),AND($D46=OBJECTIFS!$B$34,OBJECTIFS!$I$36="dmt"),AND($D46=OBJECTIFS!$B$6,OBJECTIFS!$I$8="taux de chute"),AND($D46=OBJECTIFS!$B$13,OBJECTIFS!$I$15="taux de chute"),AND($D46=OBJECTIFS!$B$20,OBJECTIFS!$I$22="taux de chute"),AND($D46=OBJECTIFS!$B$27,OBJECTIFS!$I$29="taux de chute"),AND($D46=OBJECTIFS!$B$34,OBJECTIFS!$I$36="taux de chute"),AND($D46=OBJECTIFS!$B$6,OBJECTIFS!I$8="tx mea"),AND($D46=OBJECTIFS!$B$13,OBJECTIFS!$I$15="tx mea"),AND($D46=OBJECTIFS!$B$20,OBJECTIFS!$I$22="tx mea"),AND($D46=OBJECTIFS!$B$27,OBJECTIFS!$I$29="tx mea"),AND($D46=OBJECTIFS!$B$34,OBJECTIFS!$I$36="tx mea")),IFERROR(AA46/Z46,""),IFERROR(Z46/AA46,""))</f>
        <v/>
      </c>
      <c r="AC46" s="155">
        <f>IFERROR(IF(OR(Z46="",AA46="",AB46=""),0,IF(AB46&lt;OBJECTIFS!$E$56,0,IF(AB46&lt;OBJECTIFS!$G$56,AC$8*OBJECTIFS!$F$60,IF(AB46&lt;OBJECTIFS!$I$56,AC$8*OBJECTIFS!$H$60,AC$8)))),0)</f>
        <v>0</v>
      </c>
      <c r="AD46" s="289"/>
      <c r="AE46" s="290"/>
      <c r="AF46" s="158">
        <f t="shared" ca="1" si="3"/>
        <v>0</v>
      </c>
      <c r="AG46" s="52"/>
      <c r="AH46" s="129"/>
      <c r="AI46" s="19"/>
      <c r="AJ46" s="19"/>
      <c r="AK46" s="19"/>
      <c r="AL46" s="19"/>
      <c r="AM46" s="63">
        <f t="shared" si="26"/>
        <v>0</v>
      </c>
      <c r="AN46" s="63">
        <f t="shared" si="8"/>
        <v>22</v>
      </c>
      <c r="AO46" s="64">
        <f t="shared" si="27"/>
        <v>0</v>
      </c>
      <c r="AP46" s="65" t="str">
        <f t="shared" ca="1" si="28"/>
        <v/>
      </c>
      <c r="AQ46" s="66"/>
      <c r="AR46" s="168">
        <f>IFERROR(VLOOKUP(B46,OBJECTIFS!$C$76:$E$137,2,FALSE),0)</f>
        <v>0</v>
      </c>
      <c r="AS46" s="173"/>
      <c r="AT46" s="170">
        <f>IFERROR(VLOOKUP(B46,OBJECTIFS!$H$76:$J$137,2,FALSE),0)</f>
        <v>0</v>
      </c>
      <c r="AU46" s="178">
        <f t="shared" si="6"/>
        <v>0</v>
      </c>
      <c r="AV46" s="173"/>
      <c r="AW46" s="74">
        <f>IFERROR(VLOOKUP(B46,OBJECTIFS!$C$142:$E$203,2,FALSE),0)</f>
        <v>0</v>
      </c>
      <c r="AX46" s="74">
        <f>IFERROR(VLOOKUP(B46,OBJECTIFS!$H$142:$J$203,2,FALSE),0)</f>
        <v>0</v>
      </c>
      <c r="AY46" s="174">
        <f>IFERROR(VLOOKUP(B46,OBJECTIFS!$F$208:$H$269,3,FALSE),0)</f>
        <v>0</v>
      </c>
      <c r="AZ46" s="66"/>
      <c r="BA46" s="75" t="str">
        <f t="shared" ca="1" si="7"/>
        <v/>
      </c>
      <c r="BB46" s="52"/>
      <c r="BC46" s="76">
        <f t="shared" ca="1" si="30"/>
        <v>0</v>
      </c>
      <c r="BD46" s="53" t="str">
        <f t="shared" ca="1" si="29"/>
        <v/>
      </c>
      <c r="BE46" s="77" t="str">
        <f t="shared" ca="1" si="31"/>
        <v/>
      </c>
    </row>
    <row r="47" spans="1:57" x14ac:dyDescent="0.2">
      <c r="A47" s="16"/>
      <c r="B47" s="17"/>
      <c r="C47" s="17"/>
      <c r="D47" s="18"/>
      <c r="E47" s="19"/>
      <c r="F47" s="27"/>
      <c r="H47" s="71" t="str">
        <f>IF(OR(D47="",F47="",A47=""),"",IF(E47="oui",0,IF(D47=OBJECTIFS!$C$45,VLOOKUP(F47,OBJECTIFS!$C$9:$D$11,2,FALSE),IF(D47=OBJECTIFS!$C$46,VLOOKUP(F47,OBJECTIFS!$C$16:$D$18,2,FALSE),IF(D47=OBJECTIFS!$C$47,VLOOKUP(F47,OBJECTIFS!$C$23:$D$25,2,FALSE),IF(D47=OBJECTIFS!$C$48,VLOOKUP(F47,OBJECTIFS!$C$30:$D$32,2,FALSE),IF(D47=OBJECTIFS!$C$49,VLOOKUP(F47,OBJECTIFS!$C$37:$D$39,2,FALSE))))))))</f>
        <v/>
      </c>
      <c r="J47" s="138"/>
      <c r="K47" s="141" t="str">
        <f>IF(OR($A47="",$D47="",J47=""),"",SUMIFS(OBJECTIFS!E$9:E$39,OBJECTIFS!$A$9:$A$39,$D47,OBJECTIFS!$C$9:$C$39,$F47))</f>
        <v/>
      </c>
      <c r="L47" s="72" t="str">
        <f>IF(OR(AND($D47=OBJECTIFS!$B$6,OBJECTIFS!E$8="dmt"),AND($D47=OBJECTIFS!$B$13,OBJECTIFS!$E$15="dmt"),AND($D47=OBJECTIFS!$B$20,OBJECTIFS!$E$22="dmt"),AND($D47=OBJECTIFS!$B$27,OBJECTIFS!$E$29="dmt"),AND($D47=OBJECTIFS!$B$34,OBJECTIFS!$E$36="dmt"),AND($D47=OBJECTIFS!$B$6,OBJECTIFS!$E$8="taux de chute"),AND($D47=OBJECTIFS!$B$13,OBJECTIFS!$E$15="taux de chute"),AND($D47=OBJECTIFS!$B$20,OBJECTIFS!$E$22="taux de chute"),AND($D47=OBJECTIFS!$B$27,OBJECTIFS!$E$29="taux de chute"),AND($D47=OBJECTIFS!$B$34,OBJECTIFS!$E$36="taux de chute"),AND($D47=OBJECTIFS!$B$6,OBJECTIFS!E$8="tx mea"),AND($D47=OBJECTIFS!$B$13,OBJECTIFS!$E$15="tx mea"),AND($D47=OBJECTIFS!$B$20,OBJECTIFS!$E$22="tx mea"),AND($D47=OBJECTIFS!$B$27,OBJECTIFS!$E$29="tx mea"),AND($D47=OBJECTIFS!$B$34,OBJECTIFS!$E$36="tx mea")),IFERROR(K47/J47,""),IFERROR(J47/K47,""))</f>
        <v/>
      </c>
      <c r="M47" s="149">
        <f>IFERROR(IF(OR(J47="",K47="",L47=""),0,IF(L47&lt;OBJECTIFS!$E$56,0,IF(L47&lt;OBJECTIFS!$G$56,M$8*OBJECTIFS!$F$60,IF(L47&lt;OBJECTIFS!$I$56,M$8*OBJECTIFS!$H$60,M$8)))),0)</f>
        <v>0</v>
      </c>
      <c r="N47" s="144"/>
      <c r="O47" s="145" t="str">
        <f>IF(OR($A47="",$D47="",N47=""),"",SUMIFS(OBJECTIFS!F$9:F$39,OBJECTIFS!$A$9:$A$39,$D47,OBJECTIFS!$C$9:$C$39,$F47))</f>
        <v/>
      </c>
      <c r="P47" s="72" t="str">
        <f>IF(OR(AND($D47=OBJECTIFS!$B$6,OBJECTIFS!$F$8="dmt"),AND($D47=OBJECTIFS!$B$13,OBJECTIFS!$F$15="dmt"),AND($D47=OBJECTIFS!$B$20,OBJECTIFS!$F$22="dmt"),AND($D47=OBJECTIFS!$B$27,OBJECTIFS!$F$29="dmt"),AND($D47=OBJECTIFS!$B$34,OBJECTIFS!$F$36="dmt"),AND($D47=OBJECTIFS!$B$6,OBJECTIFS!$F$8="taux de chute"),AND($D47=OBJECTIFS!$B$13,OBJECTIFS!$F$15="taux de chute"),AND($D47=OBJECTIFS!$B$20,OBJECTIFS!$F$22="taux de chute"),AND($D47=OBJECTIFS!$B$27,OBJECTIFS!$F$29="taux de chute"),AND($D47=OBJECTIFS!$B$34,OBJECTIFS!$F$36="taux de chute"),AND($D47=OBJECTIFS!$B$6,OBJECTIFS!$F$8="tx mea"),AND($D47=OBJECTIFS!$B$13,OBJECTIFS!$F$15="tx mea"),AND($D47=OBJECTIFS!$B$20,OBJECTIFS!$F$22="tx mea"),AND($D47=OBJECTIFS!$B$27,OBJECTIFS!$F$29="tx mea"),AND($D47=OBJECTIFS!$B$34,OBJECTIFS!$F$36="tx mea")),IFERROR(O47/N47,""),IFERROR(N47/O47,""))</f>
        <v/>
      </c>
      <c r="Q47" s="149">
        <f>IFERROR(IF(OR(N47="",O47="",P47=""),0,IF(P47&lt;OBJECTIFS!$E$56,0,IF(P47&lt;OBJECTIFS!$G$56,Q$8*OBJECTIFS!$F$60,IF(P47&lt;OBJECTIFS!$I$56,Q$8*OBJECTIFS!$H$60,Q$8)))),0)</f>
        <v>0</v>
      </c>
      <c r="R47" s="121"/>
      <c r="S47" s="73" t="str">
        <f>IF(OR($A47="",$D47="",R47=""),"",SUMIFS(OBJECTIFS!G$9:G$39,OBJECTIFS!$A$9:$A$39,$D47,OBJECTIFS!$C$9:$C$39,$F47))</f>
        <v/>
      </c>
      <c r="T47" s="72" t="str">
        <f>IF(OR(AND($D47=OBJECTIFS!$B$6,OBJECTIFS!G$8="dmt"),AND($D47=OBJECTIFS!$B$13,OBJECTIFS!$G$15="dmt"),AND($D47=OBJECTIFS!$B$20,OBJECTIFS!$G$22="dmt"),AND($D47=OBJECTIFS!$B$27,OBJECTIFS!$G$29="dmt"),AND($D47=OBJECTIFS!$B$34,OBJECTIFS!$G$36="dmt"),AND($D47=OBJECTIFS!$B$6,OBJECTIFS!$G$8="taux de chute"),AND($D47=OBJECTIFS!$B$13,OBJECTIFS!$G$15="taux de chute"),AND($D47=OBJECTIFS!$B$20,OBJECTIFS!$G$22="taux de chute"),AND($D47=OBJECTIFS!$B$27,OBJECTIFS!$G$29="taux de chute"),AND($D47=OBJECTIFS!$B$34,OBJECTIFS!$G$36="taux de chute",AND($D47=OBJECTIFS!$B$6,OBJECTIFS!G$8="tx mea"),AND($D47=OBJECTIFS!$B$13,OBJECTIFS!$G$15="tx mea"),AND($D47=OBJECTIFS!$B$20,OBJECTIFS!$G$22="tx mea"),AND($D47=OBJECTIFS!$B$27,OBJECTIFS!$G$29="tx mea"),AND($D47=OBJECTIFS!$B$34,OBJECTIFS!$G$36="tx mea"))),IFERROR(S47/R47,""),IFERROR(R47/S47,""))</f>
        <v/>
      </c>
      <c r="U47" s="152">
        <f>IFERROR(IF(OR(R47="",S47="",T47=""),0,IF(T47&lt;OBJECTIFS!$E$56,0,IF(T47&lt;OBJECTIFS!$G$56,U$8*OBJECTIFS!$F$60,IF(T47&lt;OBJECTIFS!$I$56,U$8*OBJECTIFS!$H$60,U$8)))),0)</f>
        <v>0</v>
      </c>
      <c r="V47" s="20"/>
      <c r="W47" s="72" t="str">
        <f>IF(OR($A47="",$D47="",V47=""),"",SUMIFS(OBJECTIFS!H$9:H$39,OBJECTIFS!$A$9:$A$39,$D47,OBJECTIFS!$C$9:$C$39,$F47))</f>
        <v/>
      </c>
      <c r="X47" s="72" t="str">
        <f>IF(OR(AND($D47=OBJECTIFS!$B$6,OBJECTIFS!H$8="dmt"),AND($D47=OBJECTIFS!$B$13,OBJECTIFS!$H$15="dmt"),AND($D47=OBJECTIFS!$B$20,OBJECTIFS!$H$22="dmt"),AND($D47=OBJECTIFS!$B$27,OBJECTIFS!$H$29="dmt"),AND($D47=OBJECTIFS!$B$34,OBJECTIFS!$H$36="dmt"),AND($D47=OBJECTIFS!$B$6,OBJECTIFS!$H$8="taux de chute"),AND($D47=OBJECTIFS!$B$13,OBJECTIFS!$H$15="taux de chute"),AND($D47=OBJECTIFS!$B$20,OBJECTIFS!$H$22="taux de chute"),AND($D47=OBJECTIFS!$B$27,OBJECTIFS!$H$29="taux de chute"),AND($D47=OBJECTIFS!$B$34,OBJECTIFS!$H$36="taux de chute"),AND($D47=OBJECTIFS!$B$6,OBJECTIFS!H$8="tx mea"),AND($D47=OBJECTIFS!$B$13,OBJECTIFS!$H$15="tx mea"),AND($D47=OBJECTIFS!$B$20,OBJECTIFS!$H$22="tx mea"),AND($D47=OBJECTIFS!$B$27,OBJECTIFS!$H$29="tx mea"),AND($D47=OBJECTIFS!$B$34,OBJECTIFS!$H$36="tx mea")),IFERROR(W47/V47,""),IFERROR(V47/W47,""))</f>
        <v/>
      </c>
      <c r="Y47" s="149">
        <f>IFERROR(IF(OR(V47="",W47="",X47=""),0,IF(X47&lt;OBJECTIFS!$E$56,0,IF(X47&lt;OBJECTIFS!$G$56,Y$8*OBJECTIFS!$F$60,IF(X47&lt;OBJECTIFS!$I$56,Y$8*OBJECTIFS!$H$60,Y$8)))),0)</f>
        <v>0</v>
      </c>
      <c r="Z47" s="124"/>
      <c r="AA47" s="72" t="str">
        <f>IF(OR($A47="",$D47="",Z47=""),"",SUMIFS(OBJECTIFS!I$9:I$39,OBJECTIFS!$A$9:$A$39,$D47,OBJECTIFS!$C$9:$C$39,$F47))</f>
        <v/>
      </c>
      <c r="AB47" s="72" t="str">
        <f>IF(OR(AND($D47=OBJECTIFS!$B$6,OBJECTIFS!I$8="dmt"),AND($D47=OBJECTIFS!$B$13,OBJECTIFS!$I$15="dmt"),AND($D47=OBJECTIFS!$B$20,OBJECTIFS!$I$22="dmt"),AND($D47=OBJECTIFS!$B$27,OBJECTIFS!$I$29="dmt"),AND($D47=OBJECTIFS!$B$34,OBJECTIFS!$I$36="dmt"),AND($D47=OBJECTIFS!$B$6,OBJECTIFS!$I$8="taux de chute"),AND($D47=OBJECTIFS!$B$13,OBJECTIFS!$I$15="taux de chute"),AND($D47=OBJECTIFS!$B$20,OBJECTIFS!$I$22="taux de chute"),AND($D47=OBJECTIFS!$B$27,OBJECTIFS!$I$29="taux de chute"),AND($D47=OBJECTIFS!$B$34,OBJECTIFS!$I$36="taux de chute"),AND($D47=OBJECTIFS!$B$6,OBJECTIFS!I$8="tx mea"),AND($D47=OBJECTIFS!$B$13,OBJECTIFS!$I$15="tx mea"),AND($D47=OBJECTIFS!$B$20,OBJECTIFS!$I$22="tx mea"),AND($D47=OBJECTIFS!$B$27,OBJECTIFS!$I$29="tx mea"),AND($D47=OBJECTIFS!$B$34,OBJECTIFS!$I$36="tx mea")),IFERROR(AA47/Z47,""),IFERROR(Z47/AA47,""))</f>
        <v/>
      </c>
      <c r="AC47" s="155">
        <f>IFERROR(IF(OR(Z47="",AA47="",AB47=""),0,IF(AB47&lt;OBJECTIFS!$E$56,0,IF(AB47&lt;OBJECTIFS!$G$56,AC$8*OBJECTIFS!$F$60,IF(AB47&lt;OBJECTIFS!$I$56,AC$8*OBJECTIFS!$H$60,AC$8)))),0)</f>
        <v>0</v>
      </c>
      <c r="AD47" s="289"/>
      <c r="AE47" s="290"/>
      <c r="AF47" s="158">
        <f t="shared" ca="1" si="3"/>
        <v>0</v>
      </c>
      <c r="AG47" s="52"/>
      <c r="AH47" s="129"/>
      <c r="AI47" s="19"/>
      <c r="AJ47" s="19"/>
      <c r="AK47" s="19"/>
      <c r="AL47" s="19"/>
      <c r="AM47" s="63">
        <f t="shared" si="26"/>
        <v>0</v>
      </c>
      <c r="AN47" s="63">
        <f t="shared" si="8"/>
        <v>22</v>
      </c>
      <c r="AO47" s="64">
        <f t="shared" si="27"/>
        <v>0</v>
      </c>
      <c r="AP47" s="65" t="str">
        <f t="shared" ca="1" si="28"/>
        <v/>
      </c>
      <c r="AQ47" s="66"/>
      <c r="AR47" s="168">
        <f>IFERROR(VLOOKUP(B47,OBJECTIFS!$C$76:$E$137,2,FALSE),0)</f>
        <v>0</v>
      </c>
      <c r="AS47" s="173"/>
      <c r="AT47" s="170">
        <f>IFERROR(VLOOKUP(B47,OBJECTIFS!$H$76:$J$137,2,FALSE),0)</f>
        <v>0</v>
      </c>
      <c r="AU47" s="178">
        <f t="shared" si="6"/>
        <v>0</v>
      </c>
      <c r="AV47" s="173"/>
      <c r="AW47" s="74">
        <f>IFERROR(VLOOKUP(B47,OBJECTIFS!$C$142:$E$203,2,FALSE),0)</f>
        <v>0</v>
      </c>
      <c r="AX47" s="74">
        <f>IFERROR(VLOOKUP(B47,OBJECTIFS!$H$142:$J$203,2,FALSE),0)</f>
        <v>0</v>
      </c>
      <c r="AY47" s="174">
        <f>IFERROR(VLOOKUP(B47,OBJECTIFS!$F$208:$H$269,3,FALSE),0)</f>
        <v>0</v>
      </c>
      <c r="AZ47" s="66"/>
      <c r="BA47" s="75" t="str">
        <f t="shared" ca="1" si="7"/>
        <v/>
      </c>
      <c r="BB47" s="52"/>
      <c r="BC47" s="76">
        <f t="shared" ca="1" si="30"/>
        <v>0</v>
      </c>
      <c r="BD47" s="53" t="str">
        <f t="shared" ca="1" si="29"/>
        <v/>
      </c>
      <c r="BE47" s="77" t="str">
        <f t="shared" ca="1" si="31"/>
        <v/>
      </c>
    </row>
    <row r="48" spans="1:57" x14ac:dyDescent="0.2">
      <c r="A48" s="16"/>
      <c r="B48" s="17"/>
      <c r="C48" s="17"/>
      <c r="D48" s="18"/>
      <c r="E48" s="19"/>
      <c r="F48" s="27"/>
      <c r="H48" s="71" t="str">
        <f>IF(OR(D48="",F48="",A48=""),"",IF(E48="oui",0,IF(D48=OBJECTIFS!$C$45,VLOOKUP(F48,OBJECTIFS!$C$9:$D$11,2,FALSE),IF(D48=OBJECTIFS!$C$46,VLOOKUP(F48,OBJECTIFS!$C$16:$D$18,2,FALSE),IF(D48=OBJECTIFS!$C$47,VLOOKUP(F48,OBJECTIFS!$C$23:$D$25,2,FALSE),IF(D48=OBJECTIFS!$C$48,VLOOKUP(F48,OBJECTIFS!$C$30:$D$32,2,FALSE),IF(D48=OBJECTIFS!$C$49,VLOOKUP(F48,OBJECTIFS!$C$37:$D$39,2,FALSE))))))))</f>
        <v/>
      </c>
      <c r="J48" s="138"/>
      <c r="K48" s="141" t="str">
        <f>IF(OR($A48="",$D48="",J48=""),"",SUMIFS(OBJECTIFS!E$9:E$39,OBJECTIFS!$A$9:$A$39,$D48,OBJECTIFS!$C$9:$C$39,$F48))</f>
        <v/>
      </c>
      <c r="L48" s="72" t="str">
        <f>IF(OR(AND($D48=OBJECTIFS!$B$6,OBJECTIFS!E$8="dmt"),AND($D48=OBJECTIFS!$B$13,OBJECTIFS!$E$15="dmt"),AND($D48=OBJECTIFS!$B$20,OBJECTIFS!$E$22="dmt"),AND($D48=OBJECTIFS!$B$27,OBJECTIFS!$E$29="dmt"),AND($D48=OBJECTIFS!$B$34,OBJECTIFS!$E$36="dmt"),AND($D48=OBJECTIFS!$B$6,OBJECTIFS!$E$8="taux de chute"),AND($D48=OBJECTIFS!$B$13,OBJECTIFS!$E$15="taux de chute"),AND($D48=OBJECTIFS!$B$20,OBJECTIFS!$E$22="taux de chute"),AND($D48=OBJECTIFS!$B$27,OBJECTIFS!$E$29="taux de chute"),AND($D48=OBJECTIFS!$B$34,OBJECTIFS!$E$36="taux de chute"),AND($D48=OBJECTIFS!$B$6,OBJECTIFS!E$8="tx mea"),AND($D48=OBJECTIFS!$B$13,OBJECTIFS!$E$15="tx mea"),AND($D48=OBJECTIFS!$B$20,OBJECTIFS!$E$22="tx mea"),AND($D48=OBJECTIFS!$B$27,OBJECTIFS!$E$29="tx mea"),AND($D48=OBJECTIFS!$B$34,OBJECTIFS!$E$36="tx mea")),IFERROR(K48/J48,""),IFERROR(J48/K48,""))</f>
        <v/>
      </c>
      <c r="M48" s="149">
        <f>IFERROR(IF(OR(J48="",K48="",L48=""),0,IF(L48&lt;OBJECTIFS!$E$56,0,IF(L48&lt;OBJECTIFS!$G$56,M$8*OBJECTIFS!$F$60,IF(L48&lt;OBJECTIFS!$I$56,M$8*OBJECTIFS!$H$60,M$8)))),0)</f>
        <v>0</v>
      </c>
      <c r="N48" s="144"/>
      <c r="O48" s="145" t="str">
        <f>IF(OR($A48="",$D48="",N48=""),"",SUMIFS(OBJECTIFS!F$9:F$39,OBJECTIFS!$A$9:$A$39,$D48,OBJECTIFS!$C$9:$C$39,$F48))</f>
        <v/>
      </c>
      <c r="P48" s="72" t="str">
        <f>IF(OR(AND($D48=OBJECTIFS!$B$6,OBJECTIFS!$F$8="dmt"),AND($D48=OBJECTIFS!$B$13,OBJECTIFS!$F$15="dmt"),AND($D48=OBJECTIFS!$B$20,OBJECTIFS!$F$22="dmt"),AND($D48=OBJECTIFS!$B$27,OBJECTIFS!$F$29="dmt"),AND($D48=OBJECTIFS!$B$34,OBJECTIFS!$F$36="dmt"),AND($D48=OBJECTIFS!$B$6,OBJECTIFS!$F$8="taux de chute"),AND($D48=OBJECTIFS!$B$13,OBJECTIFS!$F$15="taux de chute"),AND($D48=OBJECTIFS!$B$20,OBJECTIFS!$F$22="taux de chute"),AND($D48=OBJECTIFS!$B$27,OBJECTIFS!$F$29="taux de chute"),AND($D48=OBJECTIFS!$B$34,OBJECTIFS!$F$36="taux de chute"),AND($D48=OBJECTIFS!$B$6,OBJECTIFS!$F$8="tx mea"),AND($D48=OBJECTIFS!$B$13,OBJECTIFS!$F$15="tx mea"),AND($D48=OBJECTIFS!$B$20,OBJECTIFS!$F$22="tx mea"),AND($D48=OBJECTIFS!$B$27,OBJECTIFS!$F$29="tx mea"),AND($D48=OBJECTIFS!$B$34,OBJECTIFS!$F$36="tx mea")),IFERROR(O48/N48,""),IFERROR(N48/O48,""))</f>
        <v/>
      </c>
      <c r="Q48" s="149">
        <f>IFERROR(IF(OR(N48="",O48="",P48=""),0,IF(P48&lt;OBJECTIFS!$E$56,0,IF(P48&lt;OBJECTIFS!$G$56,Q$8*OBJECTIFS!$F$60,IF(P48&lt;OBJECTIFS!$I$56,Q$8*OBJECTIFS!$H$60,Q$8)))),0)</f>
        <v>0</v>
      </c>
      <c r="R48" s="121"/>
      <c r="S48" s="73" t="str">
        <f>IF(OR($A48="",$D48="",R48=""),"",SUMIFS(OBJECTIFS!G$9:G$39,OBJECTIFS!$A$9:$A$39,$D48,OBJECTIFS!$C$9:$C$39,$F48))</f>
        <v/>
      </c>
      <c r="T48" s="72" t="str">
        <f>IF(OR(AND($D48=OBJECTIFS!$B$6,OBJECTIFS!G$8="dmt"),AND($D48=OBJECTIFS!$B$13,OBJECTIFS!$G$15="dmt"),AND($D48=OBJECTIFS!$B$20,OBJECTIFS!$G$22="dmt"),AND($D48=OBJECTIFS!$B$27,OBJECTIFS!$G$29="dmt"),AND($D48=OBJECTIFS!$B$34,OBJECTIFS!$G$36="dmt"),AND($D48=OBJECTIFS!$B$6,OBJECTIFS!$G$8="taux de chute"),AND($D48=OBJECTIFS!$B$13,OBJECTIFS!$G$15="taux de chute"),AND($D48=OBJECTIFS!$B$20,OBJECTIFS!$G$22="taux de chute"),AND($D48=OBJECTIFS!$B$27,OBJECTIFS!$G$29="taux de chute"),AND($D48=OBJECTIFS!$B$34,OBJECTIFS!$G$36="taux de chute",AND($D48=OBJECTIFS!$B$6,OBJECTIFS!G$8="tx mea"),AND($D48=OBJECTIFS!$B$13,OBJECTIFS!$G$15="tx mea"),AND($D48=OBJECTIFS!$B$20,OBJECTIFS!$G$22="tx mea"),AND($D48=OBJECTIFS!$B$27,OBJECTIFS!$G$29="tx mea"),AND($D48=OBJECTIFS!$B$34,OBJECTIFS!$G$36="tx mea"))),IFERROR(S48/R48,""),IFERROR(R48/S48,""))</f>
        <v/>
      </c>
      <c r="U48" s="152">
        <f>IFERROR(IF(OR(R48="",S48="",T48=""),0,IF(T48&lt;OBJECTIFS!$E$56,0,IF(T48&lt;OBJECTIFS!$G$56,U$8*OBJECTIFS!$F$60,IF(T48&lt;OBJECTIFS!$I$56,U$8*OBJECTIFS!$H$60,U$8)))),0)</f>
        <v>0</v>
      </c>
      <c r="V48" s="20"/>
      <c r="W48" s="72" t="str">
        <f>IF(OR($A48="",$D48="",V48=""),"",SUMIFS(OBJECTIFS!H$9:H$39,OBJECTIFS!$A$9:$A$39,$D48,OBJECTIFS!$C$9:$C$39,$F48))</f>
        <v/>
      </c>
      <c r="X48" s="72" t="str">
        <f>IF(OR(AND($D48=OBJECTIFS!$B$6,OBJECTIFS!H$8="dmt"),AND($D48=OBJECTIFS!$B$13,OBJECTIFS!$H$15="dmt"),AND($D48=OBJECTIFS!$B$20,OBJECTIFS!$H$22="dmt"),AND($D48=OBJECTIFS!$B$27,OBJECTIFS!$H$29="dmt"),AND($D48=OBJECTIFS!$B$34,OBJECTIFS!$H$36="dmt"),AND($D48=OBJECTIFS!$B$6,OBJECTIFS!$H$8="taux de chute"),AND($D48=OBJECTIFS!$B$13,OBJECTIFS!$H$15="taux de chute"),AND($D48=OBJECTIFS!$B$20,OBJECTIFS!$H$22="taux de chute"),AND($D48=OBJECTIFS!$B$27,OBJECTIFS!$H$29="taux de chute"),AND($D48=OBJECTIFS!$B$34,OBJECTIFS!$H$36="taux de chute"),AND($D48=OBJECTIFS!$B$6,OBJECTIFS!H$8="tx mea"),AND($D48=OBJECTIFS!$B$13,OBJECTIFS!$H$15="tx mea"),AND($D48=OBJECTIFS!$B$20,OBJECTIFS!$H$22="tx mea"),AND($D48=OBJECTIFS!$B$27,OBJECTIFS!$H$29="tx mea"),AND($D48=OBJECTIFS!$B$34,OBJECTIFS!$H$36="tx mea")),IFERROR(W48/V48,""),IFERROR(V48/W48,""))</f>
        <v/>
      </c>
      <c r="Y48" s="149">
        <f>IFERROR(IF(OR(V48="",W48="",X48=""),0,IF(X48&lt;OBJECTIFS!$E$56,0,IF(X48&lt;OBJECTIFS!$G$56,Y$8*OBJECTIFS!$F$60,IF(X48&lt;OBJECTIFS!$I$56,Y$8*OBJECTIFS!$H$60,Y$8)))),0)</f>
        <v>0</v>
      </c>
      <c r="Z48" s="124"/>
      <c r="AA48" s="72" t="str">
        <f>IF(OR($A48="",$D48="",Z48=""),"",SUMIFS(OBJECTIFS!I$9:I$39,OBJECTIFS!$A$9:$A$39,$D48,OBJECTIFS!$C$9:$C$39,$F48))</f>
        <v/>
      </c>
      <c r="AB48" s="72" t="str">
        <f>IF(OR(AND($D48=OBJECTIFS!$B$6,OBJECTIFS!I$8="dmt"),AND($D48=OBJECTIFS!$B$13,OBJECTIFS!$I$15="dmt"),AND($D48=OBJECTIFS!$B$20,OBJECTIFS!$I$22="dmt"),AND($D48=OBJECTIFS!$B$27,OBJECTIFS!$I$29="dmt"),AND($D48=OBJECTIFS!$B$34,OBJECTIFS!$I$36="dmt"),AND($D48=OBJECTIFS!$B$6,OBJECTIFS!$I$8="taux de chute"),AND($D48=OBJECTIFS!$B$13,OBJECTIFS!$I$15="taux de chute"),AND($D48=OBJECTIFS!$B$20,OBJECTIFS!$I$22="taux de chute"),AND($D48=OBJECTIFS!$B$27,OBJECTIFS!$I$29="taux de chute"),AND($D48=OBJECTIFS!$B$34,OBJECTIFS!$I$36="taux de chute"),AND($D48=OBJECTIFS!$B$6,OBJECTIFS!I$8="tx mea"),AND($D48=OBJECTIFS!$B$13,OBJECTIFS!$I$15="tx mea"),AND($D48=OBJECTIFS!$B$20,OBJECTIFS!$I$22="tx mea"),AND($D48=OBJECTIFS!$B$27,OBJECTIFS!$I$29="tx mea"),AND($D48=OBJECTIFS!$B$34,OBJECTIFS!$I$36="tx mea")),IFERROR(AA48/Z48,""),IFERROR(Z48/AA48,""))</f>
        <v/>
      </c>
      <c r="AC48" s="155">
        <f>IFERROR(IF(OR(Z48="",AA48="",AB48=""),0,IF(AB48&lt;OBJECTIFS!$E$56,0,IF(AB48&lt;OBJECTIFS!$G$56,AC$8*OBJECTIFS!$F$60,IF(AB48&lt;OBJECTIFS!$I$56,AC$8*OBJECTIFS!$H$60,AC$8)))),0)</f>
        <v>0</v>
      </c>
      <c r="AD48" s="289"/>
      <c r="AE48" s="290"/>
      <c r="AF48" s="158">
        <f t="shared" ca="1" si="3"/>
        <v>0</v>
      </c>
      <c r="AG48" s="52"/>
      <c r="AH48" s="129"/>
      <c r="AI48" s="19"/>
      <c r="AJ48" s="19"/>
      <c r="AK48" s="19"/>
      <c r="AL48" s="19"/>
      <c r="AM48" s="63">
        <f t="shared" si="26"/>
        <v>0</v>
      </c>
      <c r="AN48" s="63">
        <f t="shared" si="8"/>
        <v>22</v>
      </c>
      <c r="AO48" s="64">
        <f t="shared" si="27"/>
        <v>0</v>
      </c>
      <c r="AP48" s="65" t="str">
        <f t="shared" ca="1" si="28"/>
        <v/>
      </c>
      <c r="AQ48" s="66"/>
      <c r="AR48" s="168">
        <f>IFERROR(VLOOKUP(B48,OBJECTIFS!$C$76:$E$137,2,FALSE),0)</f>
        <v>0</v>
      </c>
      <c r="AS48" s="173"/>
      <c r="AT48" s="170">
        <f>IFERROR(VLOOKUP(B48,OBJECTIFS!$H$76:$J$137,2,FALSE),0)</f>
        <v>0</v>
      </c>
      <c r="AU48" s="178">
        <f t="shared" si="6"/>
        <v>0</v>
      </c>
      <c r="AV48" s="173"/>
      <c r="AW48" s="74">
        <f>IFERROR(VLOOKUP(B48,OBJECTIFS!$C$142:$E$203,2,FALSE),0)</f>
        <v>0</v>
      </c>
      <c r="AX48" s="74">
        <f>IFERROR(VLOOKUP(B48,OBJECTIFS!$H$142:$J$203,2,FALSE),0)</f>
        <v>0</v>
      </c>
      <c r="AY48" s="174">
        <f>IFERROR(VLOOKUP(B48,OBJECTIFS!$F$208:$H$269,3,FALSE),0)</f>
        <v>0</v>
      </c>
      <c r="AZ48" s="66"/>
      <c r="BA48" s="75" t="str">
        <f t="shared" ca="1" si="7"/>
        <v/>
      </c>
      <c r="BB48" s="52"/>
      <c r="BC48" s="76">
        <f t="shared" ca="1" si="30"/>
        <v>0</v>
      </c>
      <c r="BD48" s="53" t="str">
        <f t="shared" ca="1" si="29"/>
        <v/>
      </c>
      <c r="BE48" s="77" t="str">
        <f t="shared" ca="1" si="31"/>
        <v/>
      </c>
    </row>
    <row r="49" spans="1:57" x14ac:dyDescent="0.2">
      <c r="A49" s="16"/>
      <c r="B49" s="17"/>
      <c r="C49" s="17"/>
      <c r="D49" s="18"/>
      <c r="E49" s="19"/>
      <c r="F49" s="27"/>
      <c r="H49" s="71" t="str">
        <f>IF(OR(D49="",F49="",A49=""),"",IF(E49="oui",0,IF(D49=OBJECTIFS!$C$45,VLOOKUP(F49,OBJECTIFS!$C$9:$D$11,2,FALSE),IF(D49=OBJECTIFS!$C$46,VLOOKUP(F49,OBJECTIFS!$C$16:$D$18,2,FALSE),IF(D49=OBJECTIFS!$C$47,VLOOKUP(F49,OBJECTIFS!$C$23:$D$25,2,FALSE),IF(D49=OBJECTIFS!$C$48,VLOOKUP(F49,OBJECTIFS!$C$30:$D$32,2,FALSE),IF(D49=OBJECTIFS!$C$49,VLOOKUP(F49,OBJECTIFS!$C$37:$D$39,2,FALSE))))))))</f>
        <v/>
      </c>
      <c r="J49" s="138"/>
      <c r="K49" s="141" t="str">
        <f>IF(OR($A49="",$D49="",J49=""),"",SUMIFS(OBJECTIFS!E$9:E$39,OBJECTIFS!$A$9:$A$39,$D49,OBJECTIFS!$C$9:$C$39,$F49))</f>
        <v/>
      </c>
      <c r="L49" s="72" t="str">
        <f>IF(OR(AND($D49=OBJECTIFS!$B$6,OBJECTIFS!E$8="dmt"),AND($D49=OBJECTIFS!$B$13,OBJECTIFS!$E$15="dmt"),AND($D49=OBJECTIFS!$B$20,OBJECTIFS!$E$22="dmt"),AND($D49=OBJECTIFS!$B$27,OBJECTIFS!$E$29="dmt"),AND($D49=OBJECTIFS!$B$34,OBJECTIFS!$E$36="dmt"),AND($D49=OBJECTIFS!$B$6,OBJECTIFS!$E$8="taux de chute"),AND($D49=OBJECTIFS!$B$13,OBJECTIFS!$E$15="taux de chute"),AND($D49=OBJECTIFS!$B$20,OBJECTIFS!$E$22="taux de chute"),AND($D49=OBJECTIFS!$B$27,OBJECTIFS!$E$29="taux de chute"),AND($D49=OBJECTIFS!$B$34,OBJECTIFS!$E$36="taux de chute"),AND($D49=OBJECTIFS!$B$6,OBJECTIFS!E$8="tx mea"),AND($D49=OBJECTIFS!$B$13,OBJECTIFS!$E$15="tx mea"),AND($D49=OBJECTIFS!$B$20,OBJECTIFS!$E$22="tx mea"),AND($D49=OBJECTIFS!$B$27,OBJECTIFS!$E$29="tx mea"),AND($D49=OBJECTIFS!$B$34,OBJECTIFS!$E$36="tx mea")),IFERROR(K49/J49,""),IFERROR(J49/K49,""))</f>
        <v/>
      </c>
      <c r="M49" s="149">
        <f>IFERROR(IF(OR(J49="",K49="",L49=""),0,IF(L49&lt;OBJECTIFS!$E$56,0,IF(L49&lt;OBJECTIFS!$G$56,M$8*OBJECTIFS!$F$60,IF(L49&lt;OBJECTIFS!$I$56,M$8*OBJECTIFS!$H$60,M$8)))),0)</f>
        <v>0</v>
      </c>
      <c r="N49" s="144"/>
      <c r="O49" s="145" t="str">
        <f>IF(OR($A49="",$D49="",N49=""),"",SUMIFS(OBJECTIFS!F$9:F$39,OBJECTIFS!$A$9:$A$39,$D49,OBJECTIFS!$C$9:$C$39,$F49))</f>
        <v/>
      </c>
      <c r="P49" s="72" t="str">
        <f>IF(OR(AND($D49=OBJECTIFS!$B$6,OBJECTIFS!$F$8="dmt"),AND($D49=OBJECTIFS!$B$13,OBJECTIFS!$F$15="dmt"),AND($D49=OBJECTIFS!$B$20,OBJECTIFS!$F$22="dmt"),AND($D49=OBJECTIFS!$B$27,OBJECTIFS!$F$29="dmt"),AND($D49=OBJECTIFS!$B$34,OBJECTIFS!$F$36="dmt"),AND($D49=OBJECTIFS!$B$6,OBJECTIFS!$F$8="taux de chute"),AND($D49=OBJECTIFS!$B$13,OBJECTIFS!$F$15="taux de chute"),AND($D49=OBJECTIFS!$B$20,OBJECTIFS!$F$22="taux de chute"),AND($D49=OBJECTIFS!$B$27,OBJECTIFS!$F$29="taux de chute"),AND($D49=OBJECTIFS!$B$34,OBJECTIFS!$F$36="taux de chute"),AND($D49=OBJECTIFS!$B$6,OBJECTIFS!$F$8="tx mea"),AND($D49=OBJECTIFS!$B$13,OBJECTIFS!$F$15="tx mea"),AND($D49=OBJECTIFS!$B$20,OBJECTIFS!$F$22="tx mea"),AND($D49=OBJECTIFS!$B$27,OBJECTIFS!$F$29="tx mea"),AND($D49=OBJECTIFS!$B$34,OBJECTIFS!$F$36="tx mea")),IFERROR(O49/N49,""),IFERROR(N49/O49,""))</f>
        <v/>
      </c>
      <c r="Q49" s="149">
        <f>IFERROR(IF(OR(N49="",O49="",P49=""),0,IF(P49&lt;OBJECTIFS!$E$56,0,IF(P49&lt;OBJECTIFS!$G$56,Q$8*OBJECTIFS!$F$60,IF(P49&lt;OBJECTIFS!$I$56,Q$8*OBJECTIFS!$H$60,Q$8)))),0)</f>
        <v>0</v>
      </c>
      <c r="R49" s="121"/>
      <c r="S49" s="73" t="str">
        <f>IF(OR($A49="",$D49="",R49=""),"",SUMIFS(OBJECTIFS!G$9:G$39,OBJECTIFS!$A$9:$A$39,$D49,OBJECTIFS!$C$9:$C$39,$F49))</f>
        <v/>
      </c>
      <c r="T49" s="72" t="str">
        <f>IF(OR(AND($D49=OBJECTIFS!$B$6,OBJECTIFS!G$8="dmt"),AND($D49=OBJECTIFS!$B$13,OBJECTIFS!$G$15="dmt"),AND($D49=OBJECTIFS!$B$20,OBJECTIFS!$G$22="dmt"),AND($D49=OBJECTIFS!$B$27,OBJECTIFS!$G$29="dmt"),AND($D49=OBJECTIFS!$B$34,OBJECTIFS!$G$36="dmt"),AND($D49=OBJECTIFS!$B$6,OBJECTIFS!$G$8="taux de chute"),AND($D49=OBJECTIFS!$B$13,OBJECTIFS!$G$15="taux de chute"),AND($D49=OBJECTIFS!$B$20,OBJECTIFS!$G$22="taux de chute"),AND($D49=OBJECTIFS!$B$27,OBJECTIFS!$G$29="taux de chute"),AND($D49=OBJECTIFS!$B$34,OBJECTIFS!$G$36="taux de chute",AND($D49=OBJECTIFS!$B$6,OBJECTIFS!G$8="tx mea"),AND($D49=OBJECTIFS!$B$13,OBJECTIFS!$G$15="tx mea"),AND($D49=OBJECTIFS!$B$20,OBJECTIFS!$G$22="tx mea"),AND($D49=OBJECTIFS!$B$27,OBJECTIFS!$G$29="tx mea"),AND($D49=OBJECTIFS!$B$34,OBJECTIFS!$G$36="tx mea"))),IFERROR(S49/R49,""),IFERROR(R49/S49,""))</f>
        <v/>
      </c>
      <c r="U49" s="152">
        <f>IFERROR(IF(OR(R49="",S49="",T49=""),0,IF(T49&lt;OBJECTIFS!$E$56,0,IF(T49&lt;OBJECTIFS!$G$56,U$8*OBJECTIFS!$F$60,IF(T49&lt;OBJECTIFS!$I$56,U$8*OBJECTIFS!$H$60,U$8)))),0)</f>
        <v>0</v>
      </c>
      <c r="V49" s="20"/>
      <c r="W49" s="72" t="str">
        <f>IF(OR($A49="",$D49="",V49=""),"",SUMIFS(OBJECTIFS!H$9:H$39,OBJECTIFS!$A$9:$A$39,$D49,OBJECTIFS!$C$9:$C$39,$F49))</f>
        <v/>
      </c>
      <c r="X49" s="72" t="str">
        <f>IF(OR(AND($D49=OBJECTIFS!$B$6,OBJECTIFS!H$8="dmt"),AND($D49=OBJECTIFS!$B$13,OBJECTIFS!$H$15="dmt"),AND($D49=OBJECTIFS!$B$20,OBJECTIFS!$H$22="dmt"),AND($D49=OBJECTIFS!$B$27,OBJECTIFS!$H$29="dmt"),AND($D49=OBJECTIFS!$B$34,OBJECTIFS!$H$36="dmt"),AND($D49=OBJECTIFS!$B$6,OBJECTIFS!$H$8="taux de chute"),AND($D49=OBJECTIFS!$B$13,OBJECTIFS!$H$15="taux de chute"),AND($D49=OBJECTIFS!$B$20,OBJECTIFS!$H$22="taux de chute"),AND($D49=OBJECTIFS!$B$27,OBJECTIFS!$H$29="taux de chute"),AND($D49=OBJECTIFS!$B$34,OBJECTIFS!$H$36="taux de chute"),AND($D49=OBJECTIFS!$B$6,OBJECTIFS!H$8="tx mea"),AND($D49=OBJECTIFS!$B$13,OBJECTIFS!$H$15="tx mea"),AND($D49=OBJECTIFS!$B$20,OBJECTIFS!$H$22="tx mea"),AND($D49=OBJECTIFS!$B$27,OBJECTIFS!$H$29="tx mea"),AND($D49=OBJECTIFS!$B$34,OBJECTIFS!$H$36="tx mea")),IFERROR(W49/V49,""),IFERROR(V49/W49,""))</f>
        <v/>
      </c>
      <c r="Y49" s="149">
        <f>IFERROR(IF(OR(V49="",W49="",X49=""),0,IF(X49&lt;OBJECTIFS!$E$56,0,IF(X49&lt;OBJECTIFS!$G$56,Y$8*OBJECTIFS!$F$60,IF(X49&lt;OBJECTIFS!$I$56,Y$8*OBJECTIFS!$H$60,Y$8)))),0)</f>
        <v>0</v>
      </c>
      <c r="Z49" s="124"/>
      <c r="AA49" s="72" t="str">
        <f>IF(OR($A49="",$D49="",Z49=""),"",SUMIFS(OBJECTIFS!I$9:I$39,OBJECTIFS!$A$9:$A$39,$D49,OBJECTIFS!$C$9:$C$39,$F49))</f>
        <v/>
      </c>
      <c r="AB49" s="72" t="str">
        <f>IF(OR(AND($D49=OBJECTIFS!$B$6,OBJECTIFS!I$8="dmt"),AND($D49=OBJECTIFS!$B$13,OBJECTIFS!$I$15="dmt"),AND($D49=OBJECTIFS!$B$20,OBJECTIFS!$I$22="dmt"),AND($D49=OBJECTIFS!$B$27,OBJECTIFS!$I$29="dmt"),AND($D49=OBJECTIFS!$B$34,OBJECTIFS!$I$36="dmt"),AND($D49=OBJECTIFS!$B$6,OBJECTIFS!$I$8="taux de chute"),AND($D49=OBJECTIFS!$B$13,OBJECTIFS!$I$15="taux de chute"),AND($D49=OBJECTIFS!$B$20,OBJECTIFS!$I$22="taux de chute"),AND($D49=OBJECTIFS!$B$27,OBJECTIFS!$I$29="taux de chute"),AND($D49=OBJECTIFS!$B$34,OBJECTIFS!$I$36="taux de chute"),AND($D49=OBJECTIFS!$B$6,OBJECTIFS!I$8="tx mea"),AND($D49=OBJECTIFS!$B$13,OBJECTIFS!$I$15="tx mea"),AND($D49=OBJECTIFS!$B$20,OBJECTIFS!$I$22="tx mea"),AND($D49=OBJECTIFS!$B$27,OBJECTIFS!$I$29="tx mea"),AND($D49=OBJECTIFS!$B$34,OBJECTIFS!$I$36="tx mea")),IFERROR(AA49/Z49,""),IFERROR(Z49/AA49,""))</f>
        <v/>
      </c>
      <c r="AC49" s="155">
        <f>IFERROR(IF(OR(Z49="",AA49="",AB49=""),0,IF(AB49&lt;OBJECTIFS!$E$56,0,IF(AB49&lt;OBJECTIFS!$G$56,AC$8*OBJECTIFS!$F$60,IF(AB49&lt;OBJECTIFS!$I$56,AC$8*OBJECTIFS!$H$60,AC$8)))),0)</f>
        <v>0</v>
      </c>
      <c r="AD49" s="289"/>
      <c r="AE49" s="290"/>
      <c r="AF49" s="158">
        <f t="shared" ca="1" si="3"/>
        <v>0</v>
      </c>
      <c r="AG49" s="52"/>
      <c r="AH49" s="129"/>
      <c r="AI49" s="19"/>
      <c r="AJ49" s="19"/>
      <c r="AK49" s="19"/>
      <c r="AL49" s="19"/>
      <c r="AM49" s="63">
        <f t="shared" si="26"/>
        <v>0</v>
      </c>
      <c r="AN49" s="63">
        <f t="shared" si="8"/>
        <v>22</v>
      </c>
      <c r="AO49" s="64">
        <f t="shared" si="27"/>
        <v>0</v>
      </c>
      <c r="AP49" s="65" t="str">
        <f t="shared" ca="1" si="28"/>
        <v/>
      </c>
      <c r="AQ49" s="66"/>
      <c r="AR49" s="168">
        <f>IFERROR(VLOOKUP(B49,OBJECTIFS!$C$76:$E$137,2,FALSE),0)</f>
        <v>0</v>
      </c>
      <c r="AS49" s="173"/>
      <c r="AT49" s="170">
        <f>IFERROR(VLOOKUP(B49,OBJECTIFS!$H$76:$J$137,2,FALSE),0)</f>
        <v>0</v>
      </c>
      <c r="AU49" s="178">
        <f t="shared" si="6"/>
        <v>0</v>
      </c>
      <c r="AV49" s="173"/>
      <c r="AW49" s="74">
        <f>IFERROR(VLOOKUP(B49,OBJECTIFS!$C$142:$E$203,2,FALSE),0)</f>
        <v>0</v>
      </c>
      <c r="AX49" s="74">
        <f>IFERROR(VLOOKUP(B49,OBJECTIFS!$H$142:$J$203,2,FALSE),0)</f>
        <v>0</v>
      </c>
      <c r="AY49" s="174">
        <f>IFERROR(VLOOKUP(B49,OBJECTIFS!$F$208:$H$269,3,FALSE),0)</f>
        <v>0</v>
      </c>
      <c r="AZ49" s="66"/>
      <c r="BA49" s="75" t="str">
        <f t="shared" ca="1" si="7"/>
        <v/>
      </c>
      <c r="BB49" s="52"/>
      <c r="BC49" s="76">
        <f t="shared" ca="1" si="30"/>
        <v>0</v>
      </c>
      <c r="BD49" s="53" t="str">
        <f t="shared" ca="1" si="29"/>
        <v/>
      </c>
      <c r="BE49" s="77" t="str">
        <f t="shared" ca="1" si="31"/>
        <v/>
      </c>
    </row>
    <row r="50" spans="1:57" x14ac:dyDescent="0.2">
      <c r="A50" s="16"/>
      <c r="B50" s="17"/>
      <c r="C50" s="17"/>
      <c r="D50" s="18"/>
      <c r="E50" s="19"/>
      <c r="F50" s="27"/>
      <c r="H50" s="71" t="str">
        <f>IF(OR(D50="",F50="",A50=""),"",IF(E50="oui",0,IF(D50=OBJECTIFS!$C$45,VLOOKUP(F50,OBJECTIFS!$C$9:$D$11,2,FALSE),IF(D50=OBJECTIFS!$C$46,VLOOKUP(F50,OBJECTIFS!$C$16:$D$18,2,FALSE),IF(D50=OBJECTIFS!$C$47,VLOOKUP(F50,OBJECTIFS!$C$23:$D$25,2,FALSE),IF(D50=OBJECTIFS!$C$48,VLOOKUP(F50,OBJECTIFS!$C$30:$D$32,2,FALSE),IF(D50=OBJECTIFS!$C$49,VLOOKUP(F50,OBJECTIFS!$C$37:$D$39,2,FALSE))))))))</f>
        <v/>
      </c>
      <c r="J50" s="138"/>
      <c r="K50" s="141" t="str">
        <f>IF(OR($A50="",$D50="",J50=""),"",SUMIFS(OBJECTIFS!E$9:E$39,OBJECTIFS!$A$9:$A$39,$D50,OBJECTIFS!$C$9:$C$39,$F50))</f>
        <v/>
      </c>
      <c r="L50" s="72" t="str">
        <f>IF(OR(AND($D50=OBJECTIFS!$B$6,OBJECTIFS!E$8="dmt"),AND($D50=OBJECTIFS!$B$13,OBJECTIFS!$E$15="dmt"),AND($D50=OBJECTIFS!$B$20,OBJECTIFS!$E$22="dmt"),AND($D50=OBJECTIFS!$B$27,OBJECTIFS!$E$29="dmt"),AND($D50=OBJECTIFS!$B$34,OBJECTIFS!$E$36="dmt"),AND($D50=OBJECTIFS!$B$6,OBJECTIFS!$E$8="taux de chute"),AND($D50=OBJECTIFS!$B$13,OBJECTIFS!$E$15="taux de chute"),AND($D50=OBJECTIFS!$B$20,OBJECTIFS!$E$22="taux de chute"),AND($D50=OBJECTIFS!$B$27,OBJECTIFS!$E$29="taux de chute"),AND($D50=OBJECTIFS!$B$34,OBJECTIFS!$E$36="taux de chute"),AND($D50=OBJECTIFS!$B$6,OBJECTIFS!E$8="tx mea"),AND($D50=OBJECTIFS!$B$13,OBJECTIFS!$E$15="tx mea"),AND($D50=OBJECTIFS!$B$20,OBJECTIFS!$E$22="tx mea"),AND($D50=OBJECTIFS!$B$27,OBJECTIFS!$E$29="tx mea"),AND($D50=OBJECTIFS!$B$34,OBJECTIFS!$E$36="tx mea")),IFERROR(K50/J50,""),IFERROR(J50/K50,""))</f>
        <v/>
      </c>
      <c r="M50" s="149">
        <f>IFERROR(IF(OR(J50="",K50="",L50=""),0,IF(L50&lt;OBJECTIFS!$E$56,0,IF(L50&lt;OBJECTIFS!$G$56,M$8*OBJECTIFS!$F$60,IF(L50&lt;OBJECTIFS!$I$56,M$8*OBJECTIFS!$H$60,M$8)))),0)</f>
        <v>0</v>
      </c>
      <c r="N50" s="144"/>
      <c r="O50" s="145" t="str">
        <f>IF(OR($A50="",$D50="",N50=""),"",SUMIFS(OBJECTIFS!F$9:F$39,OBJECTIFS!$A$9:$A$39,$D50,OBJECTIFS!$C$9:$C$39,$F50))</f>
        <v/>
      </c>
      <c r="P50" s="72" t="str">
        <f>IF(OR(AND($D50=OBJECTIFS!$B$6,OBJECTIFS!$F$8="dmt"),AND($D50=OBJECTIFS!$B$13,OBJECTIFS!$F$15="dmt"),AND($D50=OBJECTIFS!$B$20,OBJECTIFS!$F$22="dmt"),AND($D50=OBJECTIFS!$B$27,OBJECTIFS!$F$29="dmt"),AND($D50=OBJECTIFS!$B$34,OBJECTIFS!$F$36="dmt"),AND($D50=OBJECTIFS!$B$6,OBJECTIFS!$F$8="taux de chute"),AND($D50=OBJECTIFS!$B$13,OBJECTIFS!$F$15="taux de chute"),AND($D50=OBJECTIFS!$B$20,OBJECTIFS!$F$22="taux de chute"),AND($D50=OBJECTIFS!$B$27,OBJECTIFS!$F$29="taux de chute"),AND($D50=OBJECTIFS!$B$34,OBJECTIFS!$F$36="taux de chute"),AND($D50=OBJECTIFS!$B$6,OBJECTIFS!$F$8="tx mea"),AND($D50=OBJECTIFS!$B$13,OBJECTIFS!$F$15="tx mea"),AND($D50=OBJECTIFS!$B$20,OBJECTIFS!$F$22="tx mea"),AND($D50=OBJECTIFS!$B$27,OBJECTIFS!$F$29="tx mea"),AND($D50=OBJECTIFS!$B$34,OBJECTIFS!$F$36="tx mea")),IFERROR(O50/N50,""),IFERROR(N50/O50,""))</f>
        <v/>
      </c>
      <c r="Q50" s="149">
        <f>IFERROR(IF(OR(N50="",O50="",P50=""),0,IF(P50&lt;OBJECTIFS!$E$56,0,IF(P50&lt;OBJECTIFS!$G$56,Q$8*OBJECTIFS!$F$60,IF(P50&lt;OBJECTIFS!$I$56,Q$8*OBJECTIFS!$H$60,Q$8)))),0)</f>
        <v>0</v>
      </c>
      <c r="R50" s="121"/>
      <c r="S50" s="73" t="str">
        <f>IF(OR($A50="",$D50="",R50=""),"",SUMIFS(OBJECTIFS!G$9:G$39,OBJECTIFS!$A$9:$A$39,$D50,OBJECTIFS!$C$9:$C$39,$F50))</f>
        <v/>
      </c>
      <c r="T50" s="72" t="str">
        <f>IF(OR(AND($D50=OBJECTIFS!$B$6,OBJECTIFS!G$8="dmt"),AND($D50=OBJECTIFS!$B$13,OBJECTIFS!$G$15="dmt"),AND($D50=OBJECTIFS!$B$20,OBJECTIFS!$G$22="dmt"),AND($D50=OBJECTIFS!$B$27,OBJECTIFS!$G$29="dmt"),AND($D50=OBJECTIFS!$B$34,OBJECTIFS!$G$36="dmt"),AND($D50=OBJECTIFS!$B$6,OBJECTIFS!$G$8="taux de chute"),AND($D50=OBJECTIFS!$B$13,OBJECTIFS!$G$15="taux de chute"),AND($D50=OBJECTIFS!$B$20,OBJECTIFS!$G$22="taux de chute"),AND($D50=OBJECTIFS!$B$27,OBJECTIFS!$G$29="taux de chute"),AND($D50=OBJECTIFS!$B$34,OBJECTIFS!$G$36="taux de chute",AND($D50=OBJECTIFS!$B$6,OBJECTIFS!G$8="tx mea"),AND($D50=OBJECTIFS!$B$13,OBJECTIFS!$G$15="tx mea"),AND($D50=OBJECTIFS!$B$20,OBJECTIFS!$G$22="tx mea"),AND($D50=OBJECTIFS!$B$27,OBJECTIFS!$G$29="tx mea"),AND($D50=OBJECTIFS!$B$34,OBJECTIFS!$G$36="tx mea"))),IFERROR(S50/R50,""),IFERROR(R50/S50,""))</f>
        <v/>
      </c>
      <c r="U50" s="152">
        <f>IFERROR(IF(OR(R50="",S50="",T50=""),0,IF(T50&lt;OBJECTIFS!$E$56,0,IF(T50&lt;OBJECTIFS!$G$56,U$8*OBJECTIFS!$F$60,IF(T50&lt;OBJECTIFS!$I$56,U$8*OBJECTIFS!$H$60,U$8)))),0)</f>
        <v>0</v>
      </c>
      <c r="V50" s="20"/>
      <c r="W50" s="72" t="str">
        <f>IF(OR($A50="",$D50="",V50=""),"",SUMIFS(OBJECTIFS!H$9:H$39,OBJECTIFS!$A$9:$A$39,$D50,OBJECTIFS!$C$9:$C$39,$F50))</f>
        <v/>
      </c>
      <c r="X50" s="72" t="str">
        <f>IF(OR(AND($D50=OBJECTIFS!$B$6,OBJECTIFS!H$8="dmt"),AND($D50=OBJECTIFS!$B$13,OBJECTIFS!$H$15="dmt"),AND($D50=OBJECTIFS!$B$20,OBJECTIFS!$H$22="dmt"),AND($D50=OBJECTIFS!$B$27,OBJECTIFS!$H$29="dmt"),AND($D50=OBJECTIFS!$B$34,OBJECTIFS!$H$36="dmt"),AND($D50=OBJECTIFS!$B$6,OBJECTIFS!$H$8="taux de chute"),AND($D50=OBJECTIFS!$B$13,OBJECTIFS!$H$15="taux de chute"),AND($D50=OBJECTIFS!$B$20,OBJECTIFS!$H$22="taux de chute"),AND($D50=OBJECTIFS!$B$27,OBJECTIFS!$H$29="taux de chute"),AND($D50=OBJECTIFS!$B$34,OBJECTIFS!$H$36="taux de chute"),AND($D50=OBJECTIFS!$B$6,OBJECTIFS!H$8="tx mea"),AND($D50=OBJECTIFS!$B$13,OBJECTIFS!$H$15="tx mea"),AND($D50=OBJECTIFS!$B$20,OBJECTIFS!$H$22="tx mea"),AND($D50=OBJECTIFS!$B$27,OBJECTIFS!$H$29="tx mea"),AND($D50=OBJECTIFS!$B$34,OBJECTIFS!$H$36="tx mea")),IFERROR(W50/V50,""),IFERROR(V50/W50,""))</f>
        <v/>
      </c>
      <c r="Y50" s="149">
        <f>IFERROR(IF(OR(V50="",W50="",X50=""),0,IF(X50&lt;OBJECTIFS!$E$56,0,IF(X50&lt;OBJECTIFS!$G$56,Y$8*OBJECTIFS!$F$60,IF(X50&lt;OBJECTIFS!$I$56,Y$8*OBJECTIFS!$H$60,Y$8)))),0)</f>
        <v>0</v>
      </c>
      <c r="Z50" s="124"/>
      <c r="AA50" s="72" t="str">
        <f>IF(OR($A50="",$D50="",Z50=""),"",SUMIFS(OBJECTIFS!I$9:I$39,OBJECTIFS!$A$9:$A$39,$D50,OBJECTIFS!$C$9:$C$39,$F50))</f>
        <v/>
      </c>
      <c r="AB50" s="72" t="str">
        <f>IF(OR(AND($D50=OBJECTIFS!$B$6,OBJECTIFS!I$8="dmt"),AND($D50=OBJECTIFS!$B$13,OBJECTIFS!$I$15="dmt"),AND($D50=OBJECTIFS!$B$20,OBJECTIFS!$I$22="dmt"),AND($D50=OBJECTIFS!$B$27,OBJECTIFS!$I$29="dmt"),AND($D50=OBJECTIFS!$B$34,OBJECTIFS!$I$36="dmt"),AND($D50=OBJECTIFS!$B$6,OBJECTIFS!$I$8="taux de chute"),AND($D50=OBJECTIFS!$B$13,OBJECTIFS!$I$15="taux de chute"),AND($D50=OBJECTIFS!$B$20,OBJECTIFS!$I$22="taux de chute"),AND($D50=OBJECTIFS!$B$27,OBJECTIFS!$I$29="taux de chute"),AND($D50=OBJECTIFS!$B$34,OBJECTIFS!$I$36="taux de chute"),AND($D50=OBJECTIFS!$B$6,OBJECTIFS!I$8="tx mea"),AND($D50=OBJECTIFS!$B$13,OBJECTIFS!$I$15="tx mea"),AND($D50=OBJECTIFS!$B$20,OBJECTIFS!$I$22="tx mea"),AND($D50=OBJECTIFS!$B$27,OBJECTIFS!$I$29="tx mea"),AND($D50=OBJECTIFS!$B$34,OBJECTIFS!$I$36="tx mea")),IFERROR(AA50/Z50,""),IFERROR(Z50/AA50,""))</f>
        <v/>
      </c>
      <c r="AC50" s="155">
        <f>IFERROR(IF(OR(Z50="",AA50="",AB50=""),0,IF(AB50&lt;OBJECTIFS!$E$56,0,IF(AB50&lt;OBJECTIFS!$G$56,AC$8*OBJECTIFS!$F$60,IF(AB50&lt;OBJECTIFS!$I$56,AC$8*OBJECTIFS!$H$60,AC$8)))),0)</f>
        <v>0</v>
      </c>
      <c r="AD50" s="289"/>
      <c r="AE50" s="290"/>
      <c r="AF50" s="158">
        <f t="shared" ca="1" si="3"/>
        <v>0</v>
      </c>
      <c r="AG50" s="52"/>
      <c r="AH50" s="129"/>
      <c r="AI50" s="19"/>
      <c r="AJ50" s="19"/>
      <c r="AK50" s="19"/>
      <c r="AL50" s="19"/>
      <c r="AM50" s="63">
        <f t="shared" si="26"/>
        <v>0</v>
      </c>
      <c r="AN50" s="63">
        <f t="shared" si="8"/>
        <v>22</v>
      </c>
      <c r="AO50" s="64">
        <f t="shared" si="27"/>
        <v>0</v>
      </c>
      <c r="AP50" s="65" t="str">
        <f t="shared" ca="1" si="28"/>
        <v/>
      </c>
      <c r="AQ50" s="66"/>
      <c r="AR50" s="168">
        <f>IFERROR(VLOOKUP(B50,OBJECTIFS!$C$76:$E$137,2,FALSE),0)</f>
        <v>0</v>
      </c>
      <c r="AS50" s="173"/>
      <c r="AT50" s="170">
        <f>IFERROR(VLOOKUP(B50,OBJECTIFS!$H$76:$J$137,2,FALSE),0)</f>
        <v>0</v>
      </c>
      <c r="AU50" s="178">
        <f t="shared" si="6"/>
        <v>0</v>
      </c>
      <c r="AV50" s="173"/>
      <c r="AW50" s="74">
        <f>IFERROR(VLOOKUP(B50,OBJECTIFS!$C$142:$E$203,2,FALSE),0)</f>
        <v>0</v>
      </c>
      <c r="AX50" s="74">
        <f>IFERROR(VLOOKUP(B50,OBJECTIFS!$H$142:$J$203,2,FALSE),0)</f>
        <v>0</v>
      </c>
      <c r="AY50" s="174">
        <f>IFERROR(VLOOKUP(B50,OBJECTIFS!$F$208:$H$269,3,FALSE),0)</f>
        <v>0</v>
      </c>
      <c r="AZ50" s="66"/>
      <c r="BA50" s="75" t="str">
        <f t="shared" ca="1" si="7"/>
        <v/>
      </c>
      <c r="BB50" s="52"/>
      <c r="BC50" s="76">
        <f t="shared" ca="1" si="30"/>
        <v>0</v>
      </c>
      <c r="BD50" s="53" t="str">
        <f t="shared" ca="1" si="29"/>
        <v/>
      </c>
      <c r="BE50" s="77" t="str">
        <f t="shared" ca="1" si="31"/>
        <v/>
      </c>
    </row>
    <row r="51" spans="1:57" x14ac:dyDescent="0.2">
      <c r="A51" s="16"/>
      <c r="B51" s="17"/>
      <c r="C51" s="17"/>
      <c r="D51" s="18"/>
      <c r="E51" s="19"/>
      <c r="F51" s="27"/>
      <c r="H51" s="71" t="str">
        <f>IF(OR(D51="",F51="",A51=""),"",IF(E51="oui",0,IF(D51=OBJECTIFS!$C$45,VLOOKUP(F51,OBJECTIFS!$C$9:$D$11,2,FALSE),IF(D51=OBJECTIFS!$C$46,VLOOKUP(F51,OBJECTIFS!$C$16:$D$18,2,FALSE),IF(D51=OBJECTIFS!$C$47,VLOOKUP(F51,OBJECTIFS!$C$23:$D$25,2,FALSE),IF(D51=OBJECTIFS!$C$48,VLOOKUP(F51,OBJECTIFS!$C$30:$D$32,2,FALSE),IF(D51=OBJECTIFS!$C$49,VLOOKUP(F51,OBJECTIFS!$C$37:$D$39,2,FALSE))))))))</f>
        <v/>
      </c>
      <c r="J51" s="138"/>
      <c r="K51" s="141" t="str">
        <f>IF(OR($A51="",$D51="",J51=""),"",SUMIFS(OBJECTIFS!E$9:E$39,OBJECTIFS!$A$9:$A$39,$D51,OBJECTIFS!$C$9:$C$39,$F51))</f>
        <v/>
      </c>
      <c r="L51" s="72" t="str">
        <f>IF(OR(AND($D51=OBJECTIFS!$B$6,OBJECTIFS!E$8="dmt"),AND($D51=OBJECTIFS!$B$13,OBJECTIFS!$E$15="dmt"),AND($D51=OBJECTIFS!$B$20,OBJECTIFS!$E$22="dmt"),AND($D51=OBJECTIFS!$B$27,OBJECTIFS!$E$29="dmt"),AND($D51=OBJECTIFS!$B$34,OBJECTIFS!$E$36="dmt"),AND($D51=OBJECTIFS!$B$6,OBJECTIFS!$E$8="taux de chute"),AND($D51=OBJECTIFS!$B$13,OBJECTIFS!$E$15="taux de chute"),AND($D51=OBJECTIFS!$B$20,OBJECTIFS!$E$22="taux de chute"),AND($D51=OBJECTIFS!$B$27,OBJECTIFS!$E$29="taux de chute"),AND($D51=OBJECTIFS!$B$34,OBJECTIFS!$E$36="taux de chute"),AND($D51=OBJECTIFS!$B$6,OBJECTIFS!E$8="tx mea"),AND($D51=OBJECTIFS!$B$13,OBJECTIFS!$E$15="tx mea"),AND($D51=OBJECTIFS!$B$20,OBJECTIFS!$E$22="tx mea"),AND($D51=OBJECTIFS!$B$27,OBJECTIFS!$E$29="tx mea"),AND($D51=OBJECTIFS!$B$34,OBJECTIFS!$E$36="tx mea")),IFERROR(K51/J51,""),IFERROR(J51/K51,""))</f>
        <v/>
      </c>
      <c r="M51" s="149">
        <f>IFERROR(IF(OR(J51="",K51="",L51=""),0,IF(L51&lt;OBJECTIFS!$E$56,0,IF(L51&lt;OBJECTIFS!$G$56,M$8*OBJECTIFS!$F$60,IF(L51&lt;OBJECTIFS!$I$56,M$8*OBJECTIFS!$H$60,M$8)))),0)</f>
        <v>0</v>
      </c>
      <c r="N51" s="144"/>
      <c r="O51" s="145" t="str">
        <f>IF(OR($A51="",$D51="",N51=""),"",SUMIFS(OBJECTIFS!F$9:F$39,OBJECTIFS!$A$9:$A$39,$D51,OBJECTIFS!$C$9:$C$39,$F51))</f>
        <v/>
      </c>
      <c r="P51" s="72" t="str">
        <f>IF(OR(AND($D51=OBJECTIFS!$B$6,OBJECTIFS!$F$8="dmt"),AND($D51=OBJECTIFS!$B$13,OBJECTIFS!$F$15="dmt"),AND($D51=OBJECTIFS!$B$20,OBJECTIFS!$F$22="dmt"),AND($D51=OBJECTIFS!$B$27,OBJECTIFS!$F$29="dmt"),AND($D51=OBJECTIFS!$B$34,OBJECTIFS!$F$36="dmt"),AND($D51=OBJECTIFS!$B$6,OBJECTIFS!$F$8="taux de chute"),AND($D51=OBJECTIFS!$B$13,OBJECTIFS!$F$15="taux de chute"),AND($D51=OBJECTIFS!$B$20,OBJECTIFS!$F$22="taux de chute"),AND($D51=OBJECTIFS!$B$27,OBJECTIFS!$F$29="taux de chute"),AND($D51=OBJECTIFS!$B$34,OBJECTIFS!$F$36="taux de chute"),AND($D51=OBJECTIFS!$B$6,OBJECTIFS!$F$8="tx mea"),AND($D51=OBJECTIFS!$B$13,OBJECTIFS!$F$15="tx mea"),AND($D51=OBJECTIFS!$B$20,OBJECTIFS!$F$22="tx mea"),AND($D51=OBJECTIFS!$B$27,OBJECTIFS!$F$29="tx mea"),AND($D51=OBJECTIFS!$B$34,OBJECTIFS!$F$36="tx mea")),IFERROR(O51/N51,""),IFERROR(N51/O51,""))</f>
        <v/>
      </c>
      <c r="Q51" s="149">
        <f>IFERROR(IF(OR(N51="",O51="",P51=""),0,IF(P51&lt;OBJECTIFS!$E$56,0,IF(P51&lt;OBJECTIFS!$G$56,Q$8*OBJECTIFS!$F$60,IF(P51&lt;OBJECTIFS!$I$56,Q$8*OBJECTIFS!$H$60,Q$8)))),0)</f>
        <v>0</v>
      </c>
      <c r="R51" s="121"/>
      <c r="S51" s="73" t="str">
        <f>IF(OR($A51="",$D51="",R51=""),"",SUMIFS(OBJECTIFS!G$9:G$39,OBJECTIFS!$A$9:$A$39,$D51,OBJECTIFS!$C$9:$C$39,$F51))</f>
        <v/>
      </c>
      <c r="T51" s="72" t="str">
        <f>IF(OR(AND($D51=OBJECTIFS!$B$6,OBJECTIFS!G$8="dmt"),AND($D51=OBJECTIFS!$B$13,OBJECTIFS!$G$15="dmt"),AND($D51=OBJECTIFS!$B$20,OBJECTIFS!$G$22="dmt"),AND($D51=OBJECTIFS!$B$27,OBJECTIFS!$G$29="dmt"),AND($D51=OBJECTIFS!$B$34,OBJECTIFS!$G$36="dmt"),AND($D51=OBJECTIFS!$B$6,OBJECTIFS!$G$8="taux de chute"),AND($D51=OBJECTIFS!$B$13,OBJECTIFS!$G$15="taux de chute"),AND($D51=OBJECTIFS!$B$20,OBJECTIFS!$G$22="taux de chute"),AND($D51=OBJECTIFS!$B$27,OBJECTIFS!$G$29="taux de chute"),AND($D51=OBJECTIFS!$B$34,OBJECTIFS!$G$36="taux de chute",AND($D51=OBJECTIFS!$B$6,OBJECTIFS!G$8="tx mea"),AND($D51=OBJECTIFS!$B$13,OBJECTIFS!$G$15="tx mea"),AND($D51=OBJECTIFS!$B$20,OBJECTIFS!$G$22="tx mea"),AND($D51=OBJECTIFS!$B$27,OBJECTIFS!$G$29="tx mea"),AND($D51=OBJECTIFS!$B$34,OBJECTIFS!$G$36="tx mea"))),IFERROR(S51/R51,""),IFERROR(R51/S51,""))</f>
        <v/>
      </c>
      <c r="U51" s="152">
        <f>IFERROR(IF(OR(R51="",S51="",T51=""),0,IF(T51&lt;OBJECTIFS!$E$56,0,IF(T51&lt;OBJECTIFS!$G$56,U$8*OBJECTIFS!$F$60,IF(T51&lt;OBJECTIFS!$I$56,U$8*OBJECTIFS!$H$60,U$8)))),0)</f>
        <v>0</v>
      </c>
      <c r="V51" s="20"/>
      <c r="W51" s="72" t="str">
        <f>IF(OR($A51="",$D51="",V51=""),"",SUMIFS(OBJECTIFS!H$9:H$39,OBJECTIFS!$A$9:$A$39,$D51,OBJECTIFS!$C$9:$C$39,$F51))</f>
        <v/>
      </c>
      <c r="X51" s="72" t="str">
        <f>IF(OR(AND($D51=OBJECTIFS!$B$6,OBJECTIFS!H$8="dmt"),AND($D51=OBJECTIFS!$B$13,OBJECTIFS!$H$15="dmt"),AND($D51=OBJECTIFS!$B$20,OBJECTIFS!$H$22="dmt"),AND($D51=OBJECTIFS!$B$27,OBJECTIFS!$H$29="dmt"),AND($D51=OBJECTIFS!$B$34,OBJECTIFS!$H$36="dmt"),AND($D51=OBJECTIFS!$B$6,OBJECTIFS!$H$8="taux de chute"),AND($D51=OBJECTIFS!$B$13,OBJECTIFS!$H$15="taux de chute"),AND($D51=OBJECTIFS!$B$20,OBJECTIFS!$H$22="taux de chute"),AND($D51=OBJECTIFS!$B$27,OBJECTIFS!$H$29="taux de chute"),AND($D51=OBJECTIFS!$B$34,OBJECTIFS!$H$36="taux de chute"),AND($D51=OBJECTIFS!$B$6,OBJECTIFS!H$8="tx mea"),AND($D51=OBJECTIFS!$B$13,OBJECTIFS!$H$15="tx mea"),AND($D51=OBJECTIFS!$B$20,OBJECTIFS!$H$22="tx mea"),AND($D51=OBJECTIFS!$B$27,OBJECTIFS!$H$29="tx mea"),AND($D51=OBJECTIFS!$B$34,OBJECTIFS!$H$36="tx mea")),IFERROR(W51/V51,""),IFERROR(V51/W51,""))</f>
        <v/>
      </c>
      <c r="Y51" s="149">
        <f>IFERROR(IF(OR(V51="",W51="",X51=""),0,IF(X51&lt;OBJECTIFS!$E$56,0,IF(X51&lt;OBJECTIFS!$G$56,Y$8*OBJECTIFS!$F$60,IF(X51&lt;OBJECTIFS!$I$56,Y$8*OBJECTIFS!$H$60,Y$8)))),0)</f>
        <v>0</v>
      </c>
      <c r="Z51" s="124"/>
      <c r="AA51" s="72" t="str">
        <f>IF(OR($A51="",$D51="",Z51=""),"",SUMIFS(OBJECTIFS!I$9:I$39,OBJECTIFS!$A$9:$A$39,$D51,OBJECTIFS!$C$9:$C$39,$F51))</f>
        <v/>
      </c>
      <c r="AB51" s="72" t="str">
        <f>IF(OR(AND($D51=OBJECTIFS!$B$6,OBJECTIFS!I$8="dmt"),AND($D51=OBJECTIFS!$B$13,OBJECTIFS!$I$15="dmt"),AND($D51=OBJECTIFS!$B$20,OBJECTIFS!$I$22="dmt"),AND($D51=OBJECTIFS!$B$27,OBJECTIFS!$I$29="dmt"),AND($D51=OBJECTIFS!$B$34,OBJECTIFS!$I$36="dmt"),AND($D51=OBJECTIFS!$B$6,OBJECTIFS!$I$8="taux de chute"),AND($D51=OBJECTIFS!$B$13,OBJECTIFS!$I$15="taux de chute"),AND($D51=OBJECTIFS!$B$20,OBJECTIFS!$I$22="taux de chute"),AND($D51=OBJECTIFS!$B$27,OBJECTIFS!$I$29="taux de chute"),AND($D51=OBJECTIFS!$B$34,OBJECTIFS!$I$36="taux de chute"),AND($D51=OBJECTIFS!$B$6,OBJECTIFS!I$8="tx mea"),AND($D51=OBJECTIFS!$B$13,OBJECTIFS!$I$15="tx mea"),AND($D51=OBJECTIFS!$B$20,OBJECTIFS!$I$22="tx mea"),AND($D51=OBJECTIFS!$B$27,OBJECTIFS!$I$29="tx mea"),AND($D51=OBJECTIFS!$B$34,OBJECTIFS!$I$36="tx mea")),IFERROR(AA51/Z51,""),IFERROR(Z51/AA51,""))</f>
        <v/>
      </c>
      <c r="AC51" s="155">
        <f>IFERROR(IF(OR(Z51="",AA51="",AB51=""),0,IF(AB51&lt;OBJECTIFS!$E$56,0,IF(AB51&lt;OBJECTIFS!$G$56,AC$8*OBJECTIFS!$F$60,IF(AB51&lt;OBJECTIFS!$I$56,AC$8*OBJECTIFS!$H$60,AC$8)))),0)</f>
        <v>0</v>
      </c>
      <c r="AD51" s="289"/>
      <c r="AE51" s="290"/>
      <c r="AF51" s="158">
        <f t="shared" ca="1" si="3"/>
        <v>0</v>
      </c>
      <c r="AG51" s="52"/>
      <c r="AH51" s="129"/>
      <c r="AI51" s="19"/>
      <c r="AJ51" s="19"/>
      <c r="AK51" s="19"/>
      <c r="AL51" s="19"/>
      <c r="AM51" s="63">
        <f t="shared" si="26"/>
        <v>0</v>
      </c>
      <c r="AN51" s="63">
        <f t="shared" si="8"/>
        <v>22</v>
      </c>
      <c r="AO51" s="64">
        <f t="shared" si="27"/>
        <v>0</v>
      </c>
      <c r="AP51" s="65" t="str">
        <f t="shared" ca="1" si="28"/>
        <v/>
      </c>
      <c r="AQ51" s="66"/>
      <c r="AR51" s="168">
        <f>IFERROR(VLOOKUP(B51,OBJECTIFS!$C$76:$E$137,2,FALSE),0)</f>
        <v>0</v>
      </c>
      <c r="AS51" s="173"/>
      <c r="AT51" s="170">
        <f>IFERROR(VLOOKUP(B51,OBJECTIFS!$H$76:$J$137,2,FALSE),0)</f>
        <v>0</v>
      </c>
      <c r="AU51" s="178">
        <f t="shared" si="6"/>
        <v>0</v>
      </c>
      <c r="AV51" s="173"/>
      <c r="AW51" s="74">
        <f>IFERROR(VLOOKUP(B51,OBJECTIFS!$C$142:$E$203,2,FALSE),0)</f>
        <v>0</v>
      </c>
      <c r="AX51" s="74">
        <f>IFERROR(VLOOKUP(B51,OBJECTIFS!$H$142:$J$203,2,FALSE),0)</f>
        <v>0</v>
      </c>
      <c r="AY51" s="174">
        <f>IFERROR(VLOOKUP(B51,OBJECTIFS!$F$208:$H$269,3,FALSE),0)</f>
        <v>0</v>
      </c>
      <c r="AZ51" s="66"/>
      <c r="BA51" s="75" t="str">
        <f t="shared" ca="1" si="7"/>
        <v/>
      </c>
      <c r="BB51" s="52"/>
      <c r="BC51" s="76">
        <f t="shared" ca="1" si="30"/>
        <v>0</v>
      </c>
      <c r="BD51" s="53" t="str">
        <f t="shared" ca="1" si="29"/>
        <v/>
      </c>
      <c r="BE51" s="77" t="str">
        <f t="shared" ca="1" si="31"/>
        <v/>
      </c>
    </row>
    <row r="52" spans="1:57" x14ac:dyDescent="0.2">
      <c r="A52" s="16"/>
      <c r="B52" s="17"/>
      <c r="C52" s="17"/>
      <c r="D52" s="18"/>
      <c r="E52" s="19"/>
      <c r="F52" s="27"/>
      <c r="H52" s="71" t="str">
        <f>IF(OR(D52="",F52="",A52=""),"",IF(E52="oui",0,IF(D52=OBJECTIFS!$C$45,VLOOKUP(F52,OBJECTIFS!$C$9:$D$11,2,FALSE),IF(D52=OBJECTIFS!$C$46,VLOOKUP(F52,OBJECTIFS!$C$16:$D$18,2,FALSE),IF(D52=OBJECTIFS!$C$47,VLOOKUP(F52,OBJECTIFS!$C$23:$D$25,2,FALSE),IF(D52=OBJECTIFS!$C$48,VLOOKUP(F52,OBJECTIFS!$C$30:$D$32,2,FALSE),IF(D52=OBJECTIFS!$C$49,VLOOKUP(F52,OBJECTIFS!$C$37:$D$39,2,FALSE))))))))</f>
        <v/>
      </c>
      <c r="J52" s="138"/>
      <c r="K52" s="141" t="str">
        <f>IF(OR($A52="",$D52="",J52=""),"",SUMIFS(OBJECTIFS!E$9:E$39,OBJECTIFS!$A$9:$A$39,$D52,OBJECTIFS!$C$9:$C$39,$F52))</f>
        <v/>
      </c>
      <c r="L52" s="72" t="str">
        <f>IF(OR(AND($D52=OBJECTIFS!$B$6,OBJECTIFS!E$8="dmt"),AND($D52=OBJECTIFS!$B$13,OBJECTIFS!$E$15="dmt"),AND($D52=OBJECTIFS!$B$20,OBJECTIFS!$E$22="dmt"),AND($D52=OBJECTIFS!$B$27,OBJECTIFS!$E$29="dmt"),AND($D52=OBJECTIFS!$B$34,OBJECTIFS!$E$36="dmt"),AND($D52=OBJECTIFS!$B$6,OBJECTIFS!$E$8="taux de chute"),AND($D52=OBJECTIFS!$B$13,OBJECTIFS!$E$15="taux de chute"),AND($D52=OBJECTIFS!$B$20,OBJECTIFS!$E$22="taux de chute"),AND($D52=OBJECTIFS!$B$27,OBJECTIFS!$E$29="taux de chute"),AND($D52=OBJECTIFS!$B$34,OBJECTIFS!$E$36="taux de chute"),AND($D52=OBJECTIFS!$B$6,OBJECTIFS!E$8="tx mea"),AND($D52=OBJECTIFS!$B$13,OBJECTIFS!$E$15="tx mea"),AND($D52=OBJECTIFS!$B$20,OBJECTIFS!$E$22="tx mea"),AND($D52=OBJECTIFS!$B$27,OBJECTIFS!$E$29="tx mea"),AND($D52=OBJECTIFS!$B$34,OBJECTIFS!$E$36="tx mea")),IFERROR(K52/J52,""),IFERROR(J52/K52,""))</f>
        <v/>
      </c>
      <c r="M52" s="149">
        <f>IFERROR(IF(OR(J52="",K52="",L52=""),0,IF(L52&lt;OBJECTIFS!$E$56,0,IF(L52&lt;OBJECTIFS!$G$56,M$8*OBJECTIFS!$F$60,IF(L52&lt;OBJECTIFS!$I$56,M$8*OBJECTIFS!$H$60,M$8)))),0)</f>
        <v>0</v>
      </c>
      <c r="N52" s="144"/>
      <c r="O52" s="145" t="str">
        <f>IF(OR($A52="",$D52="",N52=""),"",SUMIFS(OBJECTIFS!F$9:F$39,OBJECTIFS!$A$9:$A$39,$D52,OBJECTIFS!$C$9:$C$39,$F52))</f>
        <v/>
      </c>
      <c r="P52" s="72" t="str">
        <f>IF(OR(AND($D52=OBJECTIFS!$B$6,OBJECTIFS!$F$8="dmt"),AND($D52=OBJECTIFS!$B$13,OBJECTIFS!$F$15="dmt"),AND($D52=OBJECTIFS!$B$20,OBJECTIFS!$F$22="dmt"),AND($D52=OBJECTIFS!$B$27,OBJECTIFS!$F$29="dmt"),AND($D52=OBJECTIFS!$B$34,OBJECTIFS!$F$36="dmt"),AND($D52=OBJECTIFS!$B$6,OBJECTIFS!$F$8="taux de chute"),AND($D52=OBJECTIFS!$B$13,OBJECTIFS!$F$15="taux de chute"),AND($D52=OBJECTIFS!$B$20,OBJECTIFS!$F$22="taux de chute"),AND($D52=OBJECTIFS!$B$27,OBJECTIFS!$F$29="taux de chute"),AND($D52=OBJECTIFS!$B$34,OBJECTIFS!$F$36="taux de chute"),AND($D52=OBJECTIFS!$B$6,OBJECTIFS!$F$8="tx mea"),AND($D52=OBJECTIFS!$B$13,OBJECTIFS!$F$15="tx mea"),AND($D52=OBJECTIFS!$B$20,OBJECTIFS!$F$22="tx mea"),AND($D52=OBJECTIFS!$B$27,OBJECTIFS!$F$29="tx mea"),AND($D52=OBJECTIFS!$B$34,OBJECTIFS!$F$36="tx mea")),IFERROR(O52/N52,""),IFERROR(N52/O52,""))</f>
        <v/>
      </c>
      <c r="Q52" s="149">
        <f>IFERROR(IF(OR(N52="",O52="",P52=""),0,IF(P52&lt;OBJECTIFS!$E$56,0,IF(P52&lt;OBJECTIFS!$G$56,Q$8*OBJECTIFS!$F$60,IF(P52&lt;OBJECTIFS!$I$56,Q$8*OBJECTIFS!$H$60,Q$8)))),0)</f>
        <v>0</v>
      </c>
      <c r="R52" s="121"/>
      <c r="S52" s="73" t="str">
        <f>IF(OR($A52="",$D52="",R52=""),"",SUMIFS(OBJECTIFS!G$9:G$39,OBJECTIFS!$A$9:$A$39,$D52,OBJECTIFS!$C$9:$C$39,$F52))</f>
        <v/>
      </c>
      <c r="T52" s="72" t="str">
        <f>IF(OR(AND($D52=OBJECTIFS!$B$6,OBJECTIFS!G$8="dmt"),AND($D52=OBJECTIFS!$B$13,OBJECTIFS!$G$15="dmt"),AND($D52=OBJECTIFS!$B$20,OBJECTIFS!$G$22="dmt"),AND($D52=OBJECTIFS!$B$27,OBJECTIFS!$G$29="dmt"),AND($D52=OBJECTIFS!$B$34,OBJECTIFS!$G$36="dmt"),AND($D52=OBJECTIFS!$B$6,OBJECTIFS!$G$8="taux de chute"),AND($D52=OBJECTIFS!$B$13,OBJECTIFS!$G$15="taux de chute"),AND($D52=OBJECTIFS!$B$20,OBJECTIFS!$G$22="taux de chute"),AND($D52=OBJECTIFS!$B$27,OBJECTIFS!$G$29="taux de chute"),AND($D52=OBJECTIFS!$B$34,OBJECTIFS!$G$36="taux de chute",AND($D52=OBJECTIFS!$B$6,OBJECTIFS!G$8="tx mea"),AND($D52=OBJECTIFS!$B$13,OBJECTIFS!$G$15="tx mea"),AND($D52=OBJECTIFS!$B$20,OBJECTIFS!$G$22="tx mea"),AND($D52=OBJECTIFS!$B$27,OBJECTIFS!$G$29="tx mea"),AND($D52=OBJECTIFS!$B$34,OBJECTIFS!$G$36="tx mea"))),IFERROR(S52/R52,""),IFERROR(R52/S52,""))</f>
        <v/>
      </c>
      <c r="U52" s="152">
        <f>IFERROR(IF(OR(R52="",S52="",T52=""),0,IF(T52&lt;OBJECTIFS!$E$56,0,IF(T52&lt;OBJECTIFS!$G$56,U$8*OBJECTIFS!$F$60,IF(T52&lt;OBJECTIFS!$I$56,U$8*OBJECTIFS!$H$60,U$8)))),0)</f>
        <v>0</v>
      </c>
      <c r="V52" s="20"/>
      <c r="W52" s="72" t="str">
        <f>IF(OR($A52="",$D52="",V52=""),"",SUMIFS(OBJECTIFS!H$9:H$39,OBJECTIFS!$A$9:$A$39,$D52,OBJECTIFS!$C$9:$C$39,$F52))</f>
        <v/>
      </c>
      <c r="X52" s="72" t="str">
        <f>IF(OR(AND($D52=OBJECTIFS!$B$6,OBJECTIFS!H$8="dmt"),AND($D52=OBJECTIFS!$B$13,OBJECTIFS!$H$15="dmt"),AND($D52=OBJECTIFS!$B$20,OBJECTIFS!$H$22="dmt"),AND($D52=OBJECTIFS!$B$27,OBJECTIFS!$H$29="dmt"),AND($D52=OBJECTIFS!$B$34,OBJECTIFS!$H$36="dmt"),AND($D52=OBJECTIFS!$B$6,OBJECTIFS!$H$8="taux de chute"),AND($D52=OBJECTIFS!$B$13,OBJECTIFS!$H$15="taux de chute"),AND($D52=OBJECTIFS!$B$20,OBJECTIFS!$H$22="taux de chute"),AND($D52=OBJECTIFS!$B$27,OBJECTIFS!$H$29="taux de chute"),AND($D52=OBJECTIFS!$B$34,OBJECTIFS!$H$36="taux de chute"),AND($D52=OBJECTIFS!$B$6,OBJECTIFS!H$8="tx mea"),AND($D52=OBJECTIFS!$B$13,OBJECTIFS!$H$15="tx mea"),AND($D52=OBJECTIFS!$B$20,OBJECTIFS!$H$22="tx mea"),AND($D52=OBJECTIFS!$B$27,OBJECTIFS!$H$29="tx mea"),AND($D52=OBJECTIFS!$B$34,OBJECTIFS!$H$36="tx mea")),IFERROR(W52/V52,""),IFERROR(V52/W52,""))</f>
        <v/>
      </c>
      <c r="Y52" s="149">
        <f>IFERROR(IF(OR(V52="",W52="",X52=""),0,IF(X52&lt;OBJECTIFS!$E$56,0,IF(X52&lt;OBJECTIFS!$G$56,Y$8*OBJECTIFS!$F$60,IF(X52&lt;OBJECTIFS!$I$56,Y$8*OBJECTIFS!$H$60,Y$8)))),0)</f>
        <v>0</v>
      </c>
      <c r="Z52" s="124"/>
      <c r="AA52" s="72" t="str">
        <f>IF(OR($A52="",$D52="",Z52=""),"",SUMIFS(OBJECTIFS!I$9:I$39,OBJECTIFS!$A$9:$A$39,$D52,OBJECTIFS!$C$9:$C$39,$F52))</f>
        <v/>
      </c>
      <c r="AB52" s="72" t="str">
        <f>IF(OR(AND($D52=OBJECTIFS!$B$6,OBJECTIFS!I$8="dmt"),AND($D52=OBJECTIFS!$B$13,OBJECTIFS!$I$15="dmt"),AND($D52=OBJECTIFS!$B$20,OBJECTIFS!$I$22="dmt"),AND($D52=OBJECTIFS!$B$27,OBJECTIFS!$I$29="dmt"),AND($D52=OBJECTIFS!$B$34,OBJECTIFS!$I$36="dmt"),AND($D52=OBJECTIFS!$B$6,OBJECTIFS!$I$8="taux de chute"),AND($D52=OBJECTIFS!$B$13,OBJECTIFS!$I$15="taux de chute"),AND($D52=OBJECTIFS!$B$20,OBJECTIFS!$I$22="taux de chute"),AND($D52=OBJECTIFS!$B$27,OBJECTIFS!$I$29="taux de chute"),AND($D52=OBJECTIFS!$B$34,OBJECTIFS!$I$36="taux de chute"),AND($D52=OBJECTIFS!$B$6,OBJECTIFS!I$8="tx mea"),AND($D52=OBJECTIFS!$B$13,OBJECTIFS!$I$15="tx mea"),AND($D52=OBJECTIFS!$B$20,OBJECTIFS!$I$22="tx mea"),AND($D52=OBJECTIFS!$B$27,OBJECTIFS!$I$29="tx mea"),AND($D52=OBJECTIFS!$B$34,OBJECTIFS!$I$36="tx mea")),IFERROR(AA52/Z52,""),IFERROR(Z52/AA52,""))</f>
        <v/>
      </c>
      <c r="AC52" s="155">
        <f>IFERROR(IF(OR(Z52="",AA52="",AB52=""),0,IF(AB52&lt;OBJECTIFS!$E$56,0,IF(AB52&lt;OBJECTIFS!$G$56,AC$8*OBJECTIFS!$F$60,IF(AB52&lt;OBJECTIFS!$I$56,AC$8*OBJECTIFS!$H$60,AC$8)))),0)</f>
        <v>0</v>
      </c>
      <c r="AD52" s="289"/>
      <c r="AE52" s="290"/>
      <c r="AF52" s="158">
        <f t="shared" ca="1" si="3"/>
        <v>0</v>
      </c>
      <c r="AG52" s="52"/>
      <c r="AH52" s="129"/>
      <c r="AI52" s="19"/>
      <c r="AJ52" s="19"/>
      <c r="AK52" s="19"/>
      <c r="AL52" s="19"/>
      <c r="AM52" s="63">
        <f t="shared" si="26"/>
        <v>0</v>
      </c>
      <c r="AN52" s="63">
        <f t="shared" si="8"/>
        <v>22</v>
      </c>
      <c r="AO52" s="64">
        <f t="shared" si="27"/>
        <v>0</v>
      </c>
      <c r="AP52" s="65" t="str">
        <f t="shared" ca="1" si="28"/>
        <v/>
      </c>
      <c r="AQ52" s="66"/>
      <c r="AR52" s="168">
        <f>IFERROR(VLOOKUP(B52,OBJECTIFS!$C$76:$E$137,2,FALSE),0)</f>
        <v>0</v>
      </c>
      <c r="AS52" s="173"/>
      <c r="AT52" s="170">
        <f>IFERROR(VLOOKUP(B52,OBJECTIFS!$H$76:$J$137,2,FALSE),0)</f>
        <v>0</v>
      </c>
      <c r="AU52" s="178">
        <f t="shared" si="6"/>
        <v>0</v>
      </c>
      <c r="AV52" s="173"/>
      <c r="AW52" s="74">
        <f>IFERROR(VLOOKUP(B52,OBJECTIFS!$C$142:$E$203,2,FALSE),0)</f>
        <v>0</v>
      </c>
      <c r="AX52" s="74">
        <f>IFERROR(VLOOKUP(B52,OBJECTIFS!$H$142:$J$203,2,FALSE),0)</f>
        <v>0</v>
      </c>
      <c r="AY52" s="174">
        <f>IFERROR(VLOOKUP(B52,OBJECTIFS!$F$208:$H$269,3,FALSE),0)</f>
        <v>0</v>
      </c>
      <c r="AZ52" s="66"/>
      <c r="BA52" s="75" t="str">
        <f t="shared" ca="1" si="7"/>
        <v/>
      </c>
      <c r="BB52" s="52"/>
      <c r="BC52" s="76">
        <f t="shared" ca="1" si="30"/>
        <v>0</v>
      </c>
      <c r="BD52" s="53" t="str">
        <f t="shared" ca="1" si="29"/>
        <v/>
      </c>
      <c r="BE52" s="77" t="str">
        <f t="shared" ca="1" si="31"/>
        <v/>
      </c>
    </row>
    <row r="53" spans="1:57" x14ac:dyDescent="0.2">
      <c r="A53" s="16"/>
      <c r="B53" s="17"/>
      <c r="C53" s="17"/>
      <c r="D53" s="18"/>
      <c r="E53" s="19"/>
      <c r="F53" s="27"/>
      <c r="H53" s="71" t="str">
        <f>IF(OR(D53="",F53="",A53=""),"",IF(E53="oui",0,IF(D53=OBJECTIFS!$C$45,VLOOKUP(F53,OBJECTIFS!$C$9:$D$11,2,FALSE),IF(D53=OBJECTIFS!$C$46,VLOOKUP(F53,OBJECTIFS!$C$16:$D$18,2,FALSE),IF(D53=OBJECTIFS!$C$47,VLOOKUP(F53,OBJECTIFS!$C$23:$D$25,2,FALSE),IF(D53=OBJECTIFS!$C$48,VLOOKUP(F53,OBJECTIFS!$C$30:$D$32,2,FALSE),IF(D53=OBJECTIFS!$C$49,VLOOKUP(F53,OBJECTIFS!$C$37:$D$39,2,FALSE))))))))</f>
        <v/>
      </c>
      <c r="J53" s="138"/>
      <c r="K53" s="141" t="str">
        <f>IF(OR($A53="",$D53="",J53=""),"",SUMIFS(OBJECTIFS!E$9:E$39,OBJECTIFS!$A$9:$A$39,$D53,OBJECTIFS!$C$9:$C$39,$F53))</f>
        <v/>
      </c>
      <c r="L53" s="72" t="str">
        <f>IF(OR(AND($D53=OBJECTIFS!$B$6,OBJECTIFS!E$8="dmt"),AND($D53=OBJECTIFS!$B$13,OBJECTIFS!$E$15="dmt"),AND($D53=OBJECTIFS!$B$20,OBJECTIFS!$E$22="dmt"),AND($D53=OBJECTIFS!$B$27,OBJECTIFS!$E$29="dmt"),AND($D53=OBJECTIFS!$B$34,OBJECTIFS!$E$36="dmt"),AND($D53=OBJECTIFS!$B$6,OBJECTIFS!$E$8="taux de chute"),AND($D53=OBJECTIFS!$B$13,OBJECTIFS!$E$15="taux de chute"),AND($D53=OBJECTIFS!$B$20,OBJECTIFS!$E$22="taux de chute"),AND($D53=OBJECTIFS!$B$27,OBJECTIFS!$E$29="taux de chute"),AND($D53=OBJECTIFS!$B$34,OBJECTIFS!$E$36="taux de chute"),AND($D53=OBJECTIFS!$B$6,OBJECTIFS!E$8="tx mea"),AND($D53=OBJECTIFS!$B$13,OBJECTIFS!$E$15="tx mea"),AND($D53=OBJECTIFS!$B$20,OBJECTIFS!$E$22="tx mea"),AND($D53=OBJECTIFS!$B$27,OBJECTIFS!$E$29="tx mea"),AND($D53=OBJECTIFS!$B$34,OBJECTIFS!$E$36="tx mea")),IFERROR(K53/J53,""),IFERROR(J53/K53,""))</f>
        <v/>
      </c>
      <c r="M53" s="149">
        <f>IFERROR(IF(OR(J53="",K53="",L53=""),0,IF(L53&lt;OBJECTIFS!$E$56,0,IF(L53&lt;OBJECTIFS!$G$56,M$8*OBJECTIFS!$F$60,IF(L53&lt;OBJECTIFS!$I$56,M$8*OBJECTIFS!$H$60,M$8)))),0)</f>
        <v>0</v>
      </c>
      <c r="N53" s="144"/>
      <c r="O53" s="145" t="str">
        <f>IF(OR($A53="",$D53="",N53=""),"",SUMIFS(OBJECTIFS!F$9:F$39,OBJECTIFS!$A$9:$A$39,$D53,OBJECTIFS!$C$9:$C$39,$F53))</f>
        <v/>
      </c>
      <c r="P53" s="72" t="str">
        <f>IF(OR(AND($D53=OBJECTIFS!$B$6,OBJECTIFS!$F$8="dmt"),AND($D53=OBJECTIFS!$B$13,OBJECTIFS!$F$15="dmt"),AND($D53=OBJECTIFS!$B$20,OBJECTIFS!$F$22="dmt"),AND($D53=OBJECTIFS!$B$27,OBJECTIFS!$F$29="dmt"),AND($D53=OBJECTIFS!$B$34,OBJECTIFS!$F$36="dmt"),AND($D53=OBJECTIFS!$B$6,OBJECTIFS!$F$8="taux de chute"),AND($D53=OBJECTIFS!$B$13,OBJECTIFS!$F$15="taux de chute"),AND($D53=OBJECTIFS!$B$20,OBJECTIFS!$F$22="taux de chute"),AND($D53=OBJECTIFS!$B$27,OBJECTIFS!$F$29="taux de chute"),AND($D53=OBJECTIFS!$B$34,OBJECTIFS!$F$36="taux de chute"),AND($D53=OBJECTIFS!$B$6,OBJECTIFS!$F$8="tx mea"),AND($D53=OBJECTIFS!$B$13,OBJECTIFS!$F$15="tx mea"),AND($D53=OBJECTIFS!$B$20,OBJECTIFS!$F$22="tx mea"),AND($D53=OBJECTIFS!$B$27,OBJECTIFS!$F$29="tx mea"),AND($D53=OBJECTIFS!$B$34,OBJECTIFS!$F$36="tx mea")),IFERROR(O53/N53,""),IFERROR(N53/O53,""))</f>
        <v/>
      </c>
      <c r="Q53" s="149">
        <f>IFERROR(IF(OR(N53="",O53="",P53=""),0,IF(P53&lt;OBJECTIFS!$E$56,0,IF(P53&lt;OBJECTIFS!$G$56,Q$8*OBJECTIFS!$F$60,IF(P53&lt;OBJECTIFS!$I$56,Q$8*OBJECTIFS!$H$60,Q$8)))),0)</f>
        <v>0</v>
      </c>
      <c r="R53" s="121"/>
      <c r="S53" s="73" t="str">
        <f>IF(OR($A53="",$D53="",R53=""),"",SUMIFS(OBJECTIFS!G$9:G$39,OBJECTIFS!$A$9:$A$39,$D53,OBJECTIFS!$C$9:$C$39,$F53))</f>
        <v/>
      </c>
      <c r="T53" s="72" t="str">
        <f>IF(OR(AND($D53=OBJECTIFS!$B$6,OBJECTIFS!G$8="dmt"),AND($D53=OBJECTIFS!$B$13,OBJECTIFS!$G$15="dmt"),AND($D53=OBJECTIFS!$B$20,OBJECTIFS!$G$22="dmt"),AND($D53=OBJECTIFS!$B$27,OBJECTIFS!$G$29="dmt"),AND($D53=OBJECTIFS!$B$34,OBJECTIFS!$G$36="dmt"),AND($D53=OBJECTIFS!$B$6,OBJECTIFS!$G$8="taux de chute"),AND($D53=OBJECTIFS!$B$13,OBJECTIFS!$G$15="taux de chute"),AND($D53=OBJECTIFS!$B$20,OBJECTIFS!$G$22="taux de chute"),AND($D53=OBJECTIFS!$B$27,OBJECTIFS!$G$29="taux de chute"),AND($D53=OBJECTIFS!$B$34,OBJECTIFS!$G$36="taux de chute",AND($D53=OBJECTIFS!$B$6,OBJECTIFS!G$8="tx mea"),AND($D53=OBJECTIFS!$B$13,OBJECTIFS!$G$15="tx mea"),AND($D53=OBJECTIFS!$B$20,OBJECTIFS!$G$22="tx mea"),AND($D53=OBJECTIFS!$B$27,OBJECTIFS!$G$29="tx mea"),AND($D53=OBJECTIFS!$B$34,OBJECTIFS!$G$36="tx mea"))),IFERROR(S53/R53,""),IFERROR(R53/S53,""))</f>
        <v/>
      </c>
      <c r="U53" s="152">
        <f>IFERROR(IF(OR(R53="",S53="",T53=""),0,IF(T53&lt;OBJECTIFS!$E$56,0,IF(T53&lt;OBJECTIFS!$G$56,U$8*OBJECTIFS!$F$60,IF(T53&lt;OBJECTIFS!$I$56,U$8*OBJECTIFS!$H$60,U$8)))),0)</f>
        <v>0</v>
      </c>
      <c r="V53" s="20"/>
      <c r="W53" s="72" t="str">
        <f>IF(OR($A53="",$D53="",V53=""),"",SUMIFS(OBJECTIFS!H$9:H$39,OBJECTIFS!$A$9:$A$39,$D53,OBJECTIFS!$C$9:$C$39,$F53))</f>
        <v/>
      </c>
      <c r="X53" s="72" t="str">
        <f>IF(OR(AND($D53=OBJECTIFS!$B$6,OBJECTIFS!H$8="dmt"),AND($D53=OBJECTIFS!$B$13,OBJECTIFS!$H$15="dmt"),AND($D53=OBJECTIFS!$B$20,OBJECTIFS!$H$22="dmt"),AND($D53=OBJECTIFS!$B$27,OBJECTIFS!$H$29="dmt"),AND($D53=OBJECTIFS!$B$34,OBJECTIFS!$H$36="dmt"),AND($D53=OBJECTIFS!$B$6,OBJECTIFS!$H$8="taux de chute"),AND($D53=OBJECTIFS!$B$13,OBJECTIFS!$H$15="taux de chute"),AND($D53=OBJECTIFS!$B$20,OBJECTIFS!$H$22="taux de chute"),AND($D53=OBJECTIFS!$B$27,OBJECTIFS!$H$29="taux de chute"),AND($D53=OBJECTIFS!$B$34,OBJECTIFS!$H$36="taux de chute"),AND($D53=OBJECTIFS!$B$6,OBJECTIFS!H$8="tx mea"),AND($D53=OBJECTIFS!$B$13,OBJECTIFS!$H$15="tx mea"),AND($D53=OBJECTIFS!$B$20,OBJECTIFS!$H$22="tx mea"),AND($D53=OBJECTIFS!$B$27,OBJECTIFS!$H$29="tx mea"),AND($D53=OBJECTIFS!$B$34,OBJECTIFS!$H$36="tx mea")),IFERROR(W53/V53,""),IFERROR(V53/W53,""))</f>
        <v/>
      </c>
      <c r="Y53" s="149">
        <f>IFERROR(IF(OR(V53="",W53="",X53=""),0,IF(X53&lt;OBJECTIFS!$E$56,0,IF(X53&lt;OBJECTIFS!$G$56,Y$8*OBJECTIFS!$F$60,IF(X53&lt;OBJECTIFS!$I$56,Y$8*OBJECTIFS!$H$60,Y$8)))),0)</f>
        <v>0</v>
      </c>
      <c r="Z53" s="124"/>
      <c r="AA53" s="72" t="str">
        <f>IF(OR($A53="",$D53="",Z53=""),"",SUMIFS(OBJECTIFS!I$9:I$39,OBJECTIFS!$A$9:$A$39,$D53,OBJECTIFS!$C$9:$C$39,$F53))</f>
        <v/>
      </c>
      <c r="AB53" s="72" t="str">
        <f>IF(OR(AND($D53=OBJECTIFS!$B$6,OBJECTIFS!I$8="dmt"),AND($D53=OBJECTIFS!$B$13,OBJECTIFS!$I$15="dmt"),AND($D53=OBJECTIFS!$B$20,OBJECTIFS!$I$22="dmt"),AND($D53=OBJECTIFS!$B$27,OBJECTIFS!$I$29="dmt"),AND($D53=OBJECTIFS!$B$34,OBJECTIFS!$I$36="dmt"),AND($D53=OBJECTIFS!$B$6,OBJECTIFS!$I$8="taux de chute"),AND($D53=OBJECTIFS!$B$13,OBJECTIFS!$I$15="taux de chute"),AND($D53=OBJECTIFS!$B$20,OBJECTIFS!$I$22="taux de chute"),AND($D53=OBJECTIFS!$B$27,OBJECTIFS!$I$29="taux de chute"),AND($D53=OBJECTIFS!$B$34,OBJECTIFS!$I$36="taux de chute"),AND($D53=OBJECTIFS!$B$6,OBJECTIFS!I$8="tx mea"),AND($D53=OBJECTIFS!$B$13,OBJECTIFS!$I$15="tx mea"),AND($D53=OBJECTIFS!$B$20,OBJECTIFS!$I$22="tx mea"),AND($D53=OBJECTIFS!$B$27,OBJECTIFS!$I$29="tx mea"),AND($D53=OBJECTIFS!$B$34,OBJECTIFS!$I$36="tx mea")),IFERROR(AA53/Z53,""),IFERROR(Z53/AA53,""))</f>
        <v/>
      </c>
      <c r="AC53" s="155">
        <f>IFERROR(IF(OR(Z53="",AA53="",AB53=""),0,IF(AB53&lt;OBJECTIFS!$E$56,0,IF(AB53&lt;OBJECTIFS!$G$56,AC$8*OBJECTIFS!$F$60,IF(AB53&lt;OBJECTIFS!$I$56,AC$8*OBJECTIFS!$H$60,AC$8)))),0)</f>
        <v>0</v>
      </c>
      <c r="AD53" s="289"/>
      <c r="AE53" s="290"/>
      <c r="AF53" s="158">
        <f t="shared" ca="1" si="3"/>
        <v>0</v>
      </c>
      <c r="AG53" s="52"/>
      <c r="AH53" s="129"/>
      <c r="AI53" s="19"/>
      <c r="AJ53" s="19"/>
      <c r="AK53" s="19"/>
      <c r="AL53" s="19"/>
      <c r="AM53" s="63">
        <f t="shared" si="26"/>
        <v>0</v>
      </c>
      <c r="AN53" s="63">
        <f t="shared" si="8"/>
        <v>22</v>
      </c>
      <c r="AO53" s="64">
        <f t="shared" si="27"/>
        <v>0</v>
      </c>
      <c r="AP53" s="65" t="str">
        <f t="shared" ca="1" si="28"/>
        <v/>
      </c>
      <c r="AQ53" s="66"/>
      <c r="AR53" s="168">
        <f>IFERROR(VLOOKUP(B53,OBJECTIFS!$C$76:$E$137,2,FALSE),0)</f>
        <v>0</v>
      </c>
      <c r="AS53" s="173"/>
      <c r="AT53" s="170">
        <f>IFERROR(VLOOKUP(B53,OBJECTIFS!$H$76:$J$137,2,FALSE),0)</f>
        <v>0</v>
      </c>
      <c r="AU53" s="178">
        <f t="shared" si="6"/>
        <v>0</v>
      </c>
      <c r="AV53" s="173"/>
      <c r="AW53" s="74">
        <f>IFERROR(VLOOKUP(B53,OBJECTIFS!$C$142:$E$203,2,FALSE),0)</f>
        <v>0</v>
      </c>
      <c r="AX53" s="74">
        <f>IFERROR(VLOOKUP(B53,OBJECTIFS!$H$142:$J$203,2,FALSE),0)</f>
        <v>0</v>
      </c>
      <c r="AY53" s="174">
        <f>IFERROR(VLOOKUP(B53,OBJECTIFS!$F$208:$H$269,3,FALSE),0)</f>
        <v>0</v>
      </c>
      <c r="AZ53" s="66"/>
      <c r="BA53" s="75" t="str">
        <f t="shared" ca="1" si="7"/>
        <v/>
      </c>
      <c r="BB53" s="52"/>
      <c r="BC53" s="76">
        <f t="shared" ca="1" si="30"/>
        <v>0</v>
      </c>
      <c r="BD53" s="53" t="str">
        <f t="shared" ca="1" si="29"/>
        <v/>
      </c>
      <c r="BE53" s="77" t="str">
        <f t="shared" ca="1" si="31"/>
        <v/>
      </c>
    </row>
    <row r="54" spans="1:57" x14ac:dyDescent="0.2">
      <c r="A54" s="16"/>
      <c r="B54" s="17"/>
      <c r="C54" s="17"/>
      <c r="D54" s="18"/>
      <c r="E54" s="19"/>
      <c r="F54" s="27"/>
      <c r="H54" s="71" t="str">
        <f>IF(OR(D54="",F54="",A54=""),"",IF(E54="oui",0,IF(D54=OBJECTIFS!$C$45,VLOOKUP(F54,OBJECTIFS!$C$9:$D$11,2,FALSE),IF(D54=OBJECTIFS!$C$46,VLOOKUP(F54,OBJECTIFS!$C$16:$D$18,2,FALSE),IF(D54=OBJECTIFS!$C$47,VLOOKUP(F54,OBJECTIFS!$C$23:$D$25,2,FALSE),IF(D54=OBJECTIFS!$C$48,VLOOKUP(F54,OBJECTIFS!$C$30:$D$32,2,FALSE),IF(D54=OBJECTIFS!$C$49,VLOOKUP(F54,OBJECTIFS!$C$37:$D$39,2,FALSE))))))))</f>
        <v/>
      </c>
      <c r="J54" s="138"/>
      <c r="K54" s="141" t="str">
        <f>IF(OR($A54="",$D54="",J54=""),"",SUMIFS(OBJECTIFS!E$9:E$39,OBJECTIFS!$A$9:$A$39,$D54,OBJECTIFS!$C$9:$C$39,$F54))</f>
        <v/>
      </c>
      <c r="L54" s="72" t="str">
        <f>IF(OR(AND($D54=OBJECTIFS!$B$6,OBJECTIFS!E$8="dmt"),AND($D54=OBJECTIFS!$B$13,OBJECTIFS!$E$15="dmt"),AND($D54=OBJECTIFS!$B$20,OBJECTIFS!$E$22="dmt"),AND($D54=OBJECTIFS!$B$27,OBJECTIFS!$E$29="dmt"),AND($D54=OBJECTIFS!$B$34,OBJECTIFS!$E$36="dmt"),AND($D54=OBJECTIFS!$B$6,OBJECTIFS!$E$8="taux de chute"),AND($D54=OBJECTIFS!$B$13,OBJECTIFS!$E$15="taux de chute"),AND($D54=OBJECTIFS!$B$20,OBJECTIFS!$E$22="taux de chute"),AND($D54=OBJECTIFS!$B$27,OBJECTIFS!$E$29="taux de chute"),AND($D54=OBJECTIFS!$B$34,OBJECTIFS!$E$36="taux de chute"),AND($D54=OBJECTIFS!$B$6,OBJECTIFS!E$8="tx mea"),AND($D54=OBJECTIFS!$B$13,OBJECTIFS!$E$15="tx mea"),AND($D54=OBJECTIFS!$B$20,OBJECTIFS!$E$22="tx mea"),AND($D54=OBJECTIFS!$B$27,OBJECTIFS!$E$29="tx mea"),AND($D54=OBJECTIFS!$B$34,OBJECTIFS!$E$36="tx mea")),IFERROR(K54/J54,""),IFERROR(J54/K54,""))</f>
        <v/>
      </c>
      <c r="M54" s="149">
        <f>IFERROR(IF(OR(J54="",K54="",L54=""),0,IF(L54&lt;OBJECTIFS!$E$56,0,IF(L54&lt;OBJECTIFS!$G$56,M$8*OBJECTIFS!$F$60,IF(L54&lt;OBJECTIFS!$I$56,M$8*OBJECTIFS!$H$60,M$8)))),0)</f>
        <v>0</v>
      </c>
      <c r="N54" s="144"/>
      <c r="O54" s="145" t="str">
        <f>IF(OR($A54="",$D54="",N54=""),"",SUMIFS(OBJECTIFS!F$9:F$39,OBJECTIFS!$A$9:$A$39,$D54,OBJECTIFS!$C$9:$C$39,$F54))</f>
        <v/>
      </c>
      <c r="P54" s="72" t="str">
        <f>IF(OR(AND($D54=OBJECTIFS!$B$6,OBJECTIFS!$F$8="dmt"),AND($D54=OBJECTIFS!$B$13,OBJECTIFS!$F$15="dmt"),AND($D54=OBJECTIFS!$B$20,OBJECTIFS!$F$22="dmt"),AND($D54=OBJECTIFS!$B$27,OBJECTIFS!$F$29="dmt"),AND($D54=OBJECTIFS!$B$34,OBJECTIFS!$F$36="dmt"),AND($D54=OBJECTIFS!$B$6,OBJECTIFS!$F$8="taux de chute"),AND($D54=OBJECTIFS!$B$13,OBJECTIFS!$F$15="taux de chute"),AND($D54=OBJECTIFS!$B$20,OBJECTIFS!$F$22="taux de chute"),AND($D54=OBJECTIFS!$B$27,OBJECTIFS!$F$29="taux de chute"),AND($D54=OBJECTIFS!$B$34,OBJECTIFS!$F$36="taux de chute"),AND($D54=OBJECTIFS!$B$6,OBJECTIFS!$F$8="tx mea"),AND($D54=OBJECTIFS!$B$13,OBJECTIFS!$F$15="tx mea"),AND($D54=OBJECTIFS!$B$20,OBJECTIFS!$F$22="tx mea"),AND($D54=OBJECTIFS!$B$27,OBJECTIFS!$F$29="tx mea"),AND($D54=OBJECTIFS!$B$34,OBJECTIFS!$F$36="tx mea")),IFERROR(O54/N54,""),IFERROR(N54/O54,""))</f>
        <v/>
      </c>
      <c r="Q54" s="149">
        <f>IFERROR(IF(OR(N54="",O54="",P54=""),0,IF(P54&lt;OBJECTIFS!$E$56,0,IF(P54&lt;OBJECTIFS!$G$56,Q$8*OBJECTIFS!$F$60,IF(P54&lt;OBJECTIFS!$I$56,Q$8*OBJECTIFS!$H$60,Q$8)))),0)</f>
        <v>0</v>
      </c>
      <c r="R54" s="121"/>
      <c r="S54" s="73" t="str">
        <f>IF(OR($A54="",$D54="",R54=""),"",SUMIFS(OBJECTIFS!G$9:G$39,OBJECTIFS!$A$9:$A$39,$D54,OBJECTIFS!$C$9:$C$39,$F54))</f>
        <v/>
      </c>
      <c r="T54" s="72" t="str">
        <f>IF(OR(AND($D54=OBJECTIFS!$B$6,OBJECTIFS!G$8="dmt"),AND($D54=OBJECTIFS!$B$13,OBJECTIFS!$G$15="dmt"),AND($D54=OBJECTIFS!$B$20,OBJECTIFS!$G$22="dmt"),AND($D54=OBJECTIFS!$B$27,OBJECTIFS!$G$29="dmt"),AND($D54=OBJECTIFS!$B$34,OBJECTIFS!$G$36="dmt"),AND($D54=OBJECTIFS!$B$6,OBJECTIFS!$G$8="taux de chute"),AND($D54=OBJECTIFS!$B$13,OBJECTIFS!$G$15="taux de chute"),AND($D54=OBJECTIFS!$B$20,OBJECTIFS!$G$22="taux de chute"),AND($D54=OBJECTIFS!$B$27,OBJECTIFS!$G$29="taux de chute"),AND($D54=OBJECTIFS!$B$34,OBJECTIFS!$G$36="taux de chute",AND($D54=OBJECTIFS!$B$6,OBJECTIFS!G$8="tx mea"),AND($D54=OBJECTIFS!$B$13,OBJECTIFS!$G$15="tx mea"),AND($D54=OBJECTIFS!$B$20,OBJECTIFS!$G$22="tx mea"),AND($D54=OBJECTIFS!$B$27,OBJECTIFS!$G$29="tx mea"),AND($D54=OBJECTIFS!$B$34,OBJECTIFS!$G$36="tx mea"))),IFERROR(S54/R54,""),IFERROR(R54/S54,""))</f>
        <v/>
      </c>
      <c r="U54" s="152">
        <f>IFERROR(IF(OR(R54="",S54="",T54=""),0,IF(T54&lt;OBJECTIFS!$E$56,0,IF(T54&lt;OBJECTIFS!$G$56,U$8*OBJECTIFS!$F$60,IF(T54&lt;OBJECTIFS!$I$56,U$8*OBJECTIFS!$H$60,U$8)))),0)</f>
        <v>0</v>
      </c>
      <c r="V54" s="20"/>
      <c r="W54" s="72" t="str">
        <f>IF(OR($A54="",$D54="",V54=""),"",SUMIFS(OBJECTIFS!H$9:H$39,OBJECTIFS!$A$9:$A$39,$D54,OBJECTIFS!$C$9:$C$39,$F54))</f>
        <v/>
      </c>
      <c r="X54" s="72" t="str">
        <f>IF(OR(AND($D54=OBJECTIFS!$B$6,OBJECTIFS!H$8="dmt"),AND($D54=OBJECTIFS!$B$13,OBJECTIFS!$H$15="dmt"),AND($D54=OBJECTIFS!$B$20,OBJECTIFS!$H$22="dmt"),AND($D54=OBJECTIFS!$B$27,OBJECTIFS!$H$29="dmt"),AND($D54=OBJECTIFS!$B$34,OBJECTIFS!$H$36="dmt"),AND($D54=OBJECTIFS!$B$6,OBJECTIFS!$H$8="taux de chute"),AND($D54=OBJECTIFS!$B$13,OBJECTIFS!$H$15="taux de chute"),AND($D54=OBJECTIFS!$B$20,OBJECTIFS!$H$22="taux de chute"),AND($D54=OBJECTIFS!$B$27,OBJECTIFS!$H$29="taux de chute"),AND($D54=OBJECTIFS!$B$34,OBJECTIFS!$H$36="taux de chute"),AND($D54=OBJECTIFS!$B$6,OBJECTIFS!H$8="tx mea"),AND($D54=OBJECTIFS!$B$13,OBJECTIFS!$H$15="tx mea"),AND($D54=OBJECTIFS!$B$20,OBJECTIFS!$H$22="tx mea"),AND($D54=OBJECTIFS!$B$27,OBJECTIFS!$H$29="tx mea"),AND($D54=OBJECTIFS!$B$34,OBJECTIFS!$H$36="tx mea")),IFERROR(W54/V54,""),IFERROR(V54/W54,""))</f>
        <v/>
      </c>
      <c r="Y54" s="149">
        <f>IFERROR(IF(OR(V54="",W54="",X54=""),0,IF(X54&lt;OBJECTIFS!$E$56,0,IF(X54&lt;OBJECTIFS!$G$56,Y$8*OBJECTIFS!$F$60,IF(X54&lt;OBJECTIFS!$I$56,Y$8*OBJECTIFS!$H$60,Y$8)))),0)</f>
        <v>0</v>
      </c>
      <c r="Z54" s="124"/>
      <c r="AA54" s="72" t="str">
        <f>IF(OR($A54="",$D54="",Z54=""),"",SUMIFS(OBJECTIFS!I$9:I$39,OBJECTIFS!$A$9:$A$39,$D54,OBJECTIFS!$C$9:$C$39,$F54))</f>
        <v/>
      </c>
      <c r="AB54" s="72" t="str">
        <f>IF(OR(AND($D54=OBJECTIFS!$B$6,OBJECTIFS!I$8="dmt"),AND($D54=OBJECTIFS!$B$13,OBJECTIFS!$I$15="dmt"),AND($D54=OBJECTIFS!$B$20,OBJECTIFS!$I$22="dmt"),AND($D54=OBJECTIFS!$B$27,OBJECTIFS!$I$29="dmt"),AND($D54=OBJECTIFS!$B$34,OBJECTIFS!$I$36="dmt"),AND($D54=OBJECTIFS!$B$6,OBJECTIFS!$I$8="taux de chute"),AND($D54=OBJECTIFS!$B$13,OBJECTIFS!$I$15="taux de chute"),AND($D54=OBJECTIFS!$B$20,OBJECTIFS!$I$22="taux de chute"),AND($D54=OBJECTIFS!$B$27,OBJECTIFS!$I$29="taux de chute"),AND($D54=OBJECTIFS!$B$34,OBJECTIFS!$I$36="taux de chute"),AND($D54=OBJECTIFS!$B$6,OBJECTIFS!I$8="tx mea"),AND($D54=OBJECTIFS!$B$13,OBJECTIFS!$I$15="tx mea"),AND($D54=OBJECTIFS!$B$20,OBJECTIFS!$I$22="tx mea"),AND($D54=OBJECTIFS!$B$27,OBJECTIFS!$I$29="tx mea"),AND($D54=OBJECTIFS!$B$34,OBJECTIFS!$I$36="tx mea")),IFERROR(AA54/Z54,""),IFERROR(Z54/AA54,""))</f>
        <v/>
      </c>
      <c r="AC54" s="155">
        <f>IFERROR(IF(OR(Z54="",AA54="",AB54=""),0,IF(AB54&lt;OBJECTIFS!$E$56,0,IF(AB54&lt;OBJECTIFS!$G$56,AC$8*OBJECTIFS!$F$60,IF(AB54&lt;OBJECTIFS!$I$56,AC$8*OBJECTIFS!$H$60,AC$8)))),0)</f>
        <v>0</v>
      </c>
      <c r="AD54" s="289"/>
      <c r="AE54" s="290"/>
      <c r="AF54" s="158">
        <f t="shared" ca="1" si="3"/>
        <v>0</v>
      </c>
      <c r="AG54" s="52"/>
      <c r="AH54" s="129"/>
      <c r="AI54" s="19"/>
      <c r="AJ54" s="19"/>
      <c r="AK54" s="19"/>
      <c r="AL54" s="19"/>
      <c r="AM54" s="63">
        <f t="shared" si="26"/>
        <v>0</v>
      </c>
      <c r="AN54" s="63">
        <f t="shared" si="8"/>
        <v>22</v>
      </c>
      <c r="AO54" s="64">
        <f t="shared" si="27"/>
        <v>0</v>
      </c>
      <c r="AP54" s="65" t="str">
        <f t="shared" ca="1" si="28"/>
        <v/>
      </c>
      <c r="AQ54" s="66"/>
      <c r="AR54" s="168">
        <f>IFERROR(VLOOKUP(B54,OBJECTIFS!$C$76:$E$137,2,FALSE),0)</f>
        <v>0</v>
      </c>
      <c r="AS54" s="173"/>
      <c r="AT54" s="170">
        <f>IFERROR(VLOOKUP(B54,OBJECTIFS!$H$76:$J$137,2,FALSE),0)</f>
        <v>0</v>
      </c>
      <c r="AU54" s="178">
        <f t="shared" si="6"/>
        <v>0</v>
      </c>
      <c r="AV54" s="173"/>
      <c r="AW54" s="74">
        <f>IFERROR(VLOOKUP(B54,OBJECTIFS!$C$142:$E$203,2,FALSE),0)</f>
        <v>0</v>
      </c>
      <c r="AX54" s="74">
        <f>IFERROR(VLOOKUP(B54,OBJECTIFS!$H$142:$J$203,2,FALSE),0)</f>
        <v>0</v>
      </c>
      <c r="AY54" s="174">
        <f>IFERROR(VLOOKUP(B54,OBJECTIFS!$F$208:$H$269,3,FALSE),0)</f>
        <v>0</v>
      </c>
      <c r="AZ54" s="66"/>
      <c r="BA54" s="75" t="str">
        <f t="shared" ca="1" si="7"/>
        <v/>
      </c>
      <c r="BB54" s="52"/>
      <c r="BC54" s="76">
        <f t="shared" ca="1" si="30"/>
        <v>0</v>
      </c>
      <c r="BD54" s="53" t="str">
        <f t="shared" ca="1" si="29"/>
        <v/>
      </c>
      <c r="BE54" s="77" t="str">
        <f t="shared" ca="1" si="31"/>
        <v/>
      </c>
    </row>
    <row r="55" spans="1:57" x14ac:dyDescent="0.2">
      <c r="A55" s="16"/>
      <c r="B55" s="17"/>
      <c r="C55" s="17"/>
      <c r="D55" s="18"/>
      <c r="E55" s="19"/>
      <c r="F55" s="27"/>
      <c r="H55" s="71" t="str">
        <f>IF(OR(D55="",F55="",A55=""),"",IF(E55="oui",0,IF(D55=OBJECTIFS!$C$45,VLOOKUP(F55,OBJECTIFS!$C$9:$D$11,2,FALSE),IF(D55=OBJECTIFS!$C$46,VLOOKUP(F55,OBJECTIFS!$C$16:$D$18,2,FALSE),IF(D55=OBJECTIFS!$C$47,VLOOKUP(F55,OBJECTIFS!$C$23:$D$25,2,FALSE),IF(D55=OBJECTIFS!$C$48,VLOOKUP(F55,OBJECTIFS!$C$30:$D$32,2,FALSE),IF(D55=OBJECTIFS!$C$49,VLOOKUP(F55,OBJECTIFS!$C$37:$D$39,2,FALSE))))))))</f>
        <v/>
      </c>
      <c r="J55" s="138"/>
      <c r="K55" s="141" t="str">
        <f>IF(OR($A55="",$D55="",J55=""),"",SUMIFS(OBJECTIFS!E$9:E$39,OBJECTIFS!$A$9:$A$39,$D55,OBJECTIFS!$C$9:$C$39,$F55))</f>
        <v/>
      </c>
      <c r="L55" s="72" t="str">
        <f>IF(OR(AND($D55=OBJECTIFS!$B$6,OBJECTIFS!E$8="dmt"),AND($D55=OBJECTIFS!$B$13,OBJECTIFS!$E$15="dmt"),AND($D55=OBJECTIFS!$B$20,OBJECTIFS!$E$22="dmt"),AND($D55=OBJECTIFS!$B$27,OBJECTIFS!$E$29="dmt"),AND($D55=OBJECTIFS!$B$34,OBJECTIFS!$E$36="dmt"),AND($D55=OBJECTIFS!$B$6,OBJECTIFS!$E$8="taux de chute"),AND($D55=OBJECTIFS!$B$13,OBJECTIFS!$E$15="taux de chute"),AND($D55=OBJECTIFS!$B$20,OBJECTIFS!$E$22="taux de chute"),AND($D55=OBJECTIFS!$B$27,OBJECTIFS!$E$29="taux de chute"),AND($D55=OBJECTIFS!$B$34,OBJECTIFS!$E$36="taux de chute"),AND($D55=OBJECTIFS!$B$6,OBJECTIFS!E$8="tx mea"),AND($D55=OBJECTIFS!$B$13,OBJECTIFS!$E$15="tx mea"),AND($D55=OBJECTIFS!$B$20,OBJECTIFS!$E$22="tx mea"),AND($D55=OBJECTIFS!$B$27,OBJECTIFS!$E$29="tx mea"),AND($D55=OBJECTIFS!$B$34,OBJECTIFS!$E$36="tx mea")),IFERROR(K55/J55,""),IFERROR(J55/K55,""))</f>
        <v/>
      </c>
      <c r="M55" s="149">
        <f>IFERROR(IF(OR(J55="",K55="",L55=""),0,IF(L55&lt;OBJECTIFS!$E$56,0,IF(L55&lt;OBJECTIFS!$G$56,M$8*OBJECTIFS!$F$60,IF(L55&lt;OBJECTIFS!$I$56,M$8*OBJECTIFS!$H$60,M$8)))),0)</f>
        <v>0</v>
      </c>
      <c r="N55" s="144"/>
      <c r="O55" s="145" t="str">
        <f>IF(OR($A55="",$D55="",N55=""),"",SUMIFS(OBJECTIFS!F$9:F$39,OBJECTIFS!$A$9:$A$39,$D55,OBJECTIFS!$C$9:$C$39,$F55))</f>
        <v/>
      </c>
      <c r="P55" s="72" t="str">
        <f>IF(OR(AND($D55=OBJECTIFS!$B$6,OBJECTIFS!$F$8="dmt"),AND($D55=OBJECTIFS!$B$13,OBJECTIFS!$F$15="dmt"),AND($D55=OBJECTIFS!$B$20,OBJECTIFS!$F$22="dmt"),AND($D55=OBJECTIFS!$B$27,OBJECTIFS!$F$29="dmt"),AND($D55=OBJECTIFS!$B$34,OBJECTIFS!$F$36="dmt"),AND($D55=OBJECTIFS!$B$6,OBJECTIFS!$F$8="taux de chute"),AND($D55=OBJECTIFS!$B$13,OBJECTIFS!$F$15="taux de chute"),AND($D55=OBJECTIFS!$B$20,OBJECTIFS!$F$22="taux de chute"),AND($D55=OBJECTIFS!$B$27,OBJECTIFS!$F$29="taux de chute"),AND($D55=OBJECTIFS!$B$34,OBJECTIFS!$F$36="taux de chute"),AND($D55=OBJECTIFS!$B$6,OBJECTIFS!$F$8="tx mea"),AND($D55=OBJECTIFS!$B$13,OBJECTIFS!$F$15="tx mea"),AND($D55=OBJECTIFS!$B$20,OBJECTIFS!$F$22="tx mea"),AND($D55=OBJECTIFS!$B$27,OBJECTIFS!$F$29="tx mea"),AND($D55=OBJECTIFS!$B$34,OBJECTIFS!$F$36="tx mea")),IFERROR(O55/N55,""),IFERROR(N55/O55,""))</f>
        <v/>
      </c>
      <c r="Q55" s="149">
        <f>IFERROR(IF(OR(N55="",O55="",P55=""),0,IF(P55&lt;OBJECTIFS!$E$56,0,IF(P55&lt;OBJECTIFS!$G$56,Q$8*OBJECTIFS!$F$60,IF(P55&lt;OBJECTIFS!$I$56,Q$8*OBJECTIFS!$H$60,Q$8)))),0)</f>
        <v>0</v>
      </c>
      <c r="R55" s="121"/>
      <c r="S55" s="73" t="str">
        <f>IF(OR($A55="",$D55="",R55=""),"",SUMIFS(OBJECTIFS!G$9:G$39,OBJECTIFS!$A$9:$A$39,$D55,OBJECTIFS!$C$9:$C$39,$F55))</f>
        <v/>
      </c>
      <c r="T55" s="72" t="str">
        <f>IF(OR(AND($D55=OBJECTIFS!$B$6,OBJECTIFS!G$8="dmt"),AND($D55=OBJECTIFS!$B$13,OBJECTIFS!$G$15="dmt"),AND($D55=OBJECTIFS!$B$20,OBJECTIFS!$G$22="dmt"),AND($D55=OBJECTIFS!$B$27,OBJECTIFS!$G$29="dmt"),AND($D55=OBJECTIFS!$B$34,OBJECTIFS!$G$36="dmt"),AND($D55=OBJECTIFS!$B$6,OBJECTIFS!$G$8="taux de chute"),AND($D55=OBJECTIFS!$B$13,OBJECTIFS!$G$15="taux de chute"),AND($D55=OBJECTIFS!$B$20,OBJECTIFS!$G$22="taux de chute"),AND($D55=OBJECTIFS!$B$27,OBJECTIFS!$G$29="taux de chute"),AND($D55=OBJECTIFS!$B$34,OBJECTIFS!$G$36="taux de chute",AND($D55=OBJECTIFS!$B$6,OBJECTIFS!G$8="tx mea"),AND($D55=OBJECTIFS!$B$13,OBJECTIFS!$G$15="tx mea"),AND($D55=OBJECTIFS!$B$20,OBJECTIFS!$G$22="tx mea"),AND($D55=OBJECTIFS!$B$27,OBJECTIFS!$G$29="tx mea"),AND($D55=OBJECTIFS!$B$34,OBJECTIFS!$G$36="tx mea"))),IFERROR(S55/R55,""),IFERROR(R55/S55,""))</f>
        <v/>
      </c>
      <c r="U55" s="152">
        <f>IFERROR(IF(OR(R55="",S55="",T55=""),0,IF(T55&lt;OBJECTIFS!$E$56,0,IF(T55&lt;OBJECTIFS!$G$56,U$8*OBJECTIFS!$F$60,IF(T55&lt;OBJECTIFS!$I$56,U$8*OBJECTIFS!$H$60,U$8)))),0)</f>
        <v>0</v>
      </c>
      <c r="V55" s="20"/>
      <c r="W55" s="72" t="str">
        <f>IF(OR($A55="",$D55="",V55=""),"",SUMIFS(OBJECTIFS!H$9:H$39,OBJECTIFS!$A$9:$A$39,$D55,OBJECTIFS!$C$9:$C$39,$F55))</f>
        <v/>
      </c>
      <c r="X55" s="72" t="str">
        <f>IF(OR(AND($D55=OBJECTIFS!$B$6,OBJECTIFS!H$8="dmt"),AND($D55=OBJECTIFS!$B$13,OBJECTIFS!$H$15="dmt"),AND($D55=OBJECTIFS!$B$20,OBJECTIFS!$H$22="dmt"),AND($D55=OBJECTIFS!$B$27,OBJECTIFS!$H$29="dmt"),AND($D55=OBJECTIFS!$B$34,OBJECTIFS!$H$36="dmt"),AND($D55=OBJECTIFS!$B$6,OBJECTIFS!$H$8="taux de chute"),AND($D55=OBJECTIFS!$B$13,OBJECTIFS!$H$15="taux de chute"),AND($D55=OBJECTIFS!$B$20,OBJECTIFS!$H$22="taux de chute"),AND($D55=OBJECTIFS!$B$27,OBJECTIFS!$H$29="taux de chute"),AND($D55=OBJECTIFS!$B$34,OBJECTIFS!$H$36="taux de chute"),AND($D55=OBJECTIFS!$B$6,OBJECTIFS!H$8="tx mea"),AND($D55=OBJECTIFS!$B$13,OBJECTIFS!$H$15="tx mea"),AND($D55=OBJECTIFS!$B$20,OBJECTIFS!$H$22="tx mea"),AND($D55=OBJECTIFS!$B$27,OBJECTIFS!$H$29="tx mea"),AND($D55=OBJECTIFS!$B$34,OBJECTIFS!$H$36="tx mea")),IFERROR(W55/V55,""),IFERROR(V55/W55,""))</f>
        <v/>
      </c>
      <c r="Y55" s="149">
        <f>IFERROR(IF(OR(V55="",W55="",X55=""),0,IF(X55&lt;OBJECTIFS!$E$56,0,IF(X55&lt;OBJECTIFS!$G$56,Y$8*OBJECTIFS!$F$60,IF(X55&lt;OBJECTIFS!$I$56,Y$8*OBJECTIFS!$H$60,Y$8)))),0)</f>
        <v>0</v>
      </c>
      <c r="Z55" s="124"/>
      <c r="AA55" s="72" t="str">
        <f>IF(OR($A55="",$D55="",Z55=""),"",SUMIFS(OBJECTIFS!I$9:I$39,OBJECTIFS!$A$9:$A$39,$D55,OBJECTIFS!$C$9:$C$39,$F55))</f>
        <v/>
      </c>
      <c r="AB55" s="72" t="str">
        <f>IF(OR(AND($D55=OBJECTIFS!$B$6,OBJECTIFS!I$8="dmt"),AND($D55=OBJECTIFS!$B$13,OBJECTIFS!$I$15="dmt"),AND($D55=OBJECTIFS!$B$20,OBJECTIFS!$I$22="dmt"),AND($D55=OBJECTIFS!$B$27,OBJECTIFS!$I$29="dmt"),AND($D55=OBJECTIFS!$B$34,OBJECTIFS!$I$36="dmt"),AND($D55=OBJECTIFS!$B$6,OBJECTIFS!$I$8="taux de chute"),AND($D55=OBJECTIFS!$B$13,OBJECTIFS!$I$15="taux de chute"),AND($D55=OBJECTIFS!$B$20,OBJECTIFS!$I$22="taux de chute"),AND($D55=OBJECTIFS!$B$27,OBJECTIFS!$I$29="taux de chute"),AND($D55=OBJECTIFS!$B$34,OBJECTIFS!$I$36="taux de chute"),AND($D55=OBJECTIFS!$B$6,OBJECTIFS!I$8="tx mea"),AND($D55=OBJECTIFS!$B$13,OBJECTIFS!$I$15="tx mea"),AND($D55=OBJECTIFS!$B$20,OBJECTIFS!$I$22="tx mea"),AND($D55=OBJECTIFS!$B$27,OBJECTIFS!$I$29="tx mea"),AND($D55=OBJECTIFS!$B$34,OBJECTIFS!$I$36="tx mea")),IFERROR(AA55/Z55,""),IFERROR(Z55/AA55,""))</f>
        <v/>
      </c>
      <c r="AC55" s="155">
        <f>IFERROR(IF(OR(Z55="",AA55="",AB55=""),0,IF(AB55&lt;OBJECTIFS!$E$56,0,IF(AB55&lt;OBJECTIFS!$G$56,AC$8*OBJECTIFS!$F$60,IF(AB55&lt;OBJECTIFS!$I$56,AC$8*OBJECTIFS!$H$60,AC$8)))),0)</f>
        <v>0</v>
      </c>
      <c r="AD55" s="289"/>
      <c r="AE55" s="290"/>
      <c r="AF55" s="158">
        <f t="shared" ca="1" si="3"/>
        <v>0</v>
      </c>
      <c r="AG55" s="52"/>
      <c r="AH55" s="129"/>
      <c r="AI55" s="19"/>
      <c r="AJ55" s="19"/>
      <c r="AK55" s="19"/>
      <c r="AL55" s="19"/>
      <c r="AM55" s="63">
        <f t="shared" si="26"/>
        <v>0</v>
      </c>
      <c r="AN55" s="63">
        <f t="shared" si="8"/>
        <v>22</v>
      </c>
      <c r="AO55" s="64">
        <f t="shared" si="27"/>
        <v>0</v>
      </c>
      <c r="AP55" s="65" t="str">
        <f t="shared" ca="1" si="28"/>
        <v/>
      </c>
      <c r="AQ55" s="66"/>
      <c r="AR55" s="168">
        <f>IFERROR(VLOOKUP(B55,OBJECTIFS!$C$76:$E$137,2,FALSE),0)</f>
        <v>0</v>
      </c>
      <c r="AS55" s="173"/>
      <c r="AT55" s="170">
        <f>IFERROR(VLOOKUP(B55,OBJECTIFS!$H$76:$J$137,2,FALSE),0)</f>
        <v>0</v>
      </c>
      <c r="AU55" s="178">
        <f t="shared" si="6"/>
        <v>0</v>
      </c>
      <c r="AV55" s="173"/>
      <c r="AW55" s="74">
        <f>IFERROR(VLOOKUP(B55,OBJECTIFS!$C$142:$E$203,2,FALSE),0)</f>
        <v>0</v>
      </c>
      <c r="AX55" s="74">
        <f>IFERROR(VLOOKUP(B55,OBJECTIFS!$H$142:$J$203,2,FALSE),0)</f>
        <v>0</v>
      </c>
      <c r="AY55" s="174">
        <f>IFERROR(VLOOKUP(B55,OBJECTIFS!$F$208:$H$269,3,FALSE),0)</f>
        <v>0</v>
      </c>
      <c r="AZ55" s="66"/>
      <c r="BA55" s="75" t="str">
        <f t="shared" ca="1" si="7"/>
        <v/>
      </c>
      <c r="BB55" s="52"/>
      <c r="BC55" s="76">
        <f t="shared" ca="1" si="30"/>
        <v>0</v>
      </c>
      <c r="BD55" s="53" t="str">
        <f t="shared" ca="1" si="29"/>
        <v/>
      </c>
      <c r="BE55" s="77" t="str">
        <f t="shared" ca="1" si="31"/>
        <v/>
      </c>
    </row>
    <row r="56" spans="1:57" x14ac:dyDescent="0.2">
      <c r="A56" s="16"/>
      <c r="B56" s="17"/>
      <c r="C56" s="17"/>
      <c r="D56" s="18"/>
      <c r="E56" s="19"/>
      <c r="F56" s="27"/>
      <c r="H56" s="71" t="str">
        <f>IF(OR(D56="",F56="",A56=""),"",IF(E56="oui",0,IF(D56=OBJECTIFS!$C$45,VLOOKUP(F56,OBJECTIFS!$C$9:$D$11,2,FALSE),IF(D56=OBJECTIFS!$C$46,VLOOKUP(F56,OBJECTIFS!$C$16:$D$18,2,FALSE),IF(D56=OBJECTIFS!$C$47,VLOOKUP(F56,OBJECTIFS!$C$23:$D$25,2,FALSE),IF(D56=OBJECTIFS!$C$48,VLOOKUP(F56,OBJECTIFS!$C$30:$D$32,2,FALSE),IF(D56=OBJECTIFS!$C$49,VLOOKUP(F56,OBJECTIFS!$C$37:$D$39,2,FALSE))))))))</f>
        <v/>
      </c>
      <c r="J56" s="138"/>
      <c r="K56" s="141" t="str">
        <f>IF(OR($A56="",$D56="",J56=""),"",SUMIFS(OBJECTIFS!E$9:E$39,OBJECTIFS!$A$9:$A$39,$D56,OBJECTIFS!$C$9:$C$39,$F56))</f>
        <v/>
      </c>
      <c r="L56" s="72" t="str">
        <f>IF(OR(AND($D56=OBJECTIFS!$B$6,OBJECTIFS!E$8="dmt"),AND($D56=OBJECTIFS!$B$13,OBJECTIFS!$E$15="dmt"),AND($D56=OBJECTIFS!$B$20,OBJECTIFS!$E$22="dmt"),AND($D56=OBJECTIFS!$B$27,OBJECTIFS!$E$29="dmt"),AND($D56=OBJECTIFS!$B$34,OBJECTIFS!$E$36="dmt"),AND($D56=OBJECTIFS!$B$6,OBJECTIFS!$E$8="taux de chute"),AND($D56=OBJECTIFS!$B$13,OBJECTIFS!$E$15="taux de chute"),AND($D56=OBJECTIFS!$B$20,OBJECTIFS!$E$22="taux de chute"),AND($D56=OBJECTIFS!$B$27,OBJECTIFS!$E$29="taux de chute"),AND($D56=OBJECTIFS!$B$34,OBJECTIFS!$E$36="taux de chute"),AND($D56=OBJECTIFS!$B$6,OBJECTIFS!E$8="tx mea"),AND($D56=OBJECTIFS!$B$13,OBJECTIFS!$E$15="tx mea"),AND($D56=OBJECTIFS!$B$20,OBJECTIFS!$E$22="tx mea"),AND($D56=OBJECTIFS!$B$27,OBJECTIFS!$E$29="tx mea"),AND($D56=OBJECTIFS!$B$34,OBJECTIFS!$E$36="tx mea")),IFERROR(K56/J56,""),IFERROR(J56/K56,""))</f>
        <v/>
      </c>
      <c r="M56" s="149">
        <f>IFERROR(IF(OR(J56="",K56="",L56=""),0,IF(L56&lt;OBJECTIFS!$E$56,0,IF(L56&lt;OBJECTIFS!$G$56,M$8*OBJECTIFS!$F$60,IF(L56&lt;OBJECTIFS!$I$56,M$8*OBJECTIFS!$H$60,M$8)))),0)</f>
        <v>0</v>
      </c>
      <c r="N56" s="144"/>
      <c r="O56" s="145" t="str">
        <f>IF(OR($A56="",$D56="",N56=""),"",SUMIFS(OBJECTIFS!F$9:F$39,OBJECTIFS!$A$9:$A$39,$D56,OBJECTIFS!$C$9:$C$39,$F56))</f>
        <v/>
      </c>
      <c r="P56" s="72" t="str">
        <f>IF(OR(AND($D56=OBJECTIFS!$B$6,OBJECTIFS!$F$8="dmt"),AND($D56=OBJECTIFS!$B$13,OBJECTIFS!$F$15="dmt"),AND($D56=OBJECTIFS!$B$20,OBJECTIFS!$F$22="dmt"),AND($D56=OBJECTIFS!$B$27,OBJECTIFS!$F$29="dmt"),AND($D56=OBJECTIFS!$B$34,OBJECTIFS!$F$36="dmt"),AND($D56=OBJECTIFS!$B$6,OBJECTIFS!$F$8="taux de chute"),AND($D56=OBJECTIFS!$B$13,OBJECTIFS!$F$15="taux de chute"),AND($D56=OBJECTIFS!$B$20,OBJECTIFS!$F$22="taux de chute"),AND($D56=OBJECTIFS!$B$27,OBJECTIFS!$F$29="taux de chute"),AND($D56=OBJECTIFS!$B$34,OBJECTIFS!$F$36="taux de chute"),AND($D56=OBJECTIFS!$B$6,OBJECTIFS!$F$8="tx mea"),AND($D56=OBJECTIFS!$B$13,OBJECTIFS!$F$15="tx mea"),AND($D56=OBJECTIFS!$B$20,OBJECTIFS!$F$22="tx mea"),AND($D56=OBJECTIFS!$B$27,OBJECTIFS!$F$29="tx mea"),AND($D56=OBJECTIFS!$B$34,OBJECTIFS!$F$36="tx mea")),IFERROR(O56/N56,""),IFERROR(N56/O56,""))</f>
        <v/>
      </c>
      <c r="Q56" s="149">
        <f>IFERROR(IF(OR(N56="",O56="",P56=""),0,IF(P56&lt;OBJECTIFS!$E$56,0,IF(P56&lt;OBJECTIFS!$G$56,Q$8*OBJECTIFS!$F$60,IF(P56&lt;OBJECTIFS!$I$56,Q$8*OBJECTIFS!$H$60,Q$8)))),0)</f>
        <v>0</v>
      </c>
      <c r="R56" s="121"/>
      <c r="S56" s="73" t="str">
        <f>IF(OR($A56="",$D56="",R56=""),"",SUMIFS(OBJECTIFS!G$9:G$39,OBJECTIFS!$A$9:$A$39,$D56,OBJECTIFS!$C$9:$C$39,$F56))</f>
        <v/>
      </c>
      <c r="T56" s="72" t="str">
        <f>IF(OR(AND($D56=OBJECTIFS!$B$6,OBJECTIFS!G$8="dmt"),AND($D56=OBJECTIFS!$B$13,OBJECTIFS!$G$15="dmt"),AND($D56=OBJECTIFS!$B$20,OBJECTIFS!$G$22="dmt"),AND($D56=OBJECTIFS!$B$27,OBJECTIFS!$G$29="dmt"),AND($D56=OBJECTIFS!$B$34,OBJECTIFS!$G$36="dmt"),AND($D56=OBJECTIFS!$B$6,OBJECTIFS!$G$8="taux de chute"),AND($D56=OBJECTIFS!$B$13,OBJECTIFS!$G$15="taux de chute"),AND($D56=OBJECTIFS!$B$20,OBJECTIFS!$G$22="taux de chute"),AND($D56=OBJECTIFS!$B$27,OBJECTIFS!$G$29="taux de chute"),AND($D56=OBJECTIFS!$B$34,OBJECTIFS!$G$36="taux de chute",AND($D56=OBJECTIFS!$B$6,OBJECTIFS!G$8="tx mea"),AND($D56=OBJECTIFS!$B$13,OBJECTIFS!$G$15="tx mea"),AND($D56=OBJECTIFS!$B$20,OBJECTIFS!$G$22="tx mea"),AND($D56=OBJECTIFS!$B$27,OBJECTIFS!$G$29="tx mea"),AND($D56=OBJECTIFS!$B$34,OBJECTIFS!$G$36="tx mea"))),IFERROR(S56/R56,""),IFERROR(R56/S56,""))</f>
        <v/>
      </c>
      <c r="U56" s="152">
        <f>IFERROR(IF(OR(R56="",S56="",T56=""),0,IF(T56&lt;OBJECTIFS!$E$56,0,IF(T56&lt;OBJECTIFS!$G$56,U$8*OBJECTIFS!$F$60,IF(T56&lt;OBJECTIFS!$I$56,U$8*OBJECTIFS!$H$60,U$8)))),0)</f>
        <v>0</v>
      </c>
      <c r="V56" s="20"/>
      <c r="W56" s="72" t="str">
        <f>IF(OR($A56="",$D56="",V56=""),"",SUMIFS(OBJECTIFS!H$9:H$39,OBJECTIFS!$A$9:$A$39,$D56,OBJECTIFS!$C$9:$C$39,$F56))</f>
        <v/>
      </c>
      <c r="X56" s="72" t="str">
        <f>IF(OR(AND($D56=OBJECTIFS!$B$6,OBJECTIFS!H$8="dmt"),AND($D56=OBJECTIFS!$B$13,OBJECTIFS!$H$15="dmt"),AND($D56=OBJECTIFS!$B$20,OBJECTIFS!$H$22="dmt"),AND($D56=OBJECTIFS!$B$27,OBJECTIFS!$H$29="dmt"),AND($D56=OBJECTIFS!$B$34,OBJECTIFS!$H$36="dmt"),AND($D56=OBJECTIFS!$B$6,OBJECTIFS!$H$8="taux de chute"),AND($D56=OBJECTIFS!$B$13,OBJECTIFS!$H$15="taux de chute"),AND($D56=OBJECTIFS!$B$20,OBJECTIFS!$H$22="taux de chute"),AND($D56=OBJECTIFS!$B$27,OBJECTIFS!$H$29="taux de chute"),AND($D56=OBJECTIFS!$B$34,OBJECTIFS!$H$36="taux de chute"),AND($D56=OBJECTIFS!$B$6,OBJECTIFS!H$8="tx mea"),AND($D56=OBJECTIFS!$B$13,OBJECTIFS!$H$15="tx mea"),AND($D56=OBJECTIFS!$B$20,OBJECTIFS!$H$22="tx mea"),AND($D56=OBJECTIFS!$B$27,OBJECTIFS!$H$29="tx mea"),AND($D56=OBJECTIFS!$B$34,OBJECTIFS!$H$36="tx mea")),IFERROR(W56/V56,""),IFERROR(V56/W56,""))</f>
        <v/>
      </c>
      <c r="Y56" s="149">
        <f>IFERROR(IF(OR(V56="",W56="",X56=""),0,IF(X56&lt;OBJECTIFS!$E$56,0,IF(X56&lt;OBJECTIFS!$G$56,Y$8*OBJECTIFS!$F$60,IF(X56&lt;OBJECTIFS!$I$56,Y$8*OBJECTIFS!$H$60,Y$8)))),0)</f>
        <v>0</v>
      </c>
      <c r="Z56" s="124"/>
      <c r="AA56" s="72" t="str">
        <f>IF(OR($A56="",$D56="",Z56=""),"",SUMIFS(OBJECTIFS!I$9:I$39,OBJECTIFS!$A$9:$A$39,$D56,OBJECTIFS!$C$9:$C$39,$F56))</f>
        <v/>
      </c>
      <c r="AB56" s="72" t="str">
        <f>IF(OR(AND($D56=OBJECTIFS!$B$6,OBJECTIFS!I$8="dmt"),AND($D56=OBJECTIFS!$B$13,OBJECTIFS!$I$15="dmt"),AND($D56=OBJECTIFS!$B$20,OBJECTIFS!$I$22="dmt"),AND($D56=OBJECTIFS!$B$27,OBJECTIFS!$I$29="dmt"),AND($D56=OBJECTIFS!$B$34,OBJECTIFS!$I$36="dmt"),AND($D56=OBJECTIFS!$B$6,OBJECTIFS!$I$8="taux de chute"),AND($D56=OBJECTIFS!$B$13,OBJECTIFS!$I$15="taux de chute"),AND($D56=OBJECTIFS!$B$20,OBJECTIFS!$I$22="taux de chute"),AND($D56=OBJECTIFS!$B$27,OBJECTIFS!$I$29="taux de chute"),AND($D56=OBJECTIFS!$B$34,OBJECTIFS!$I$36="taux de chute"),AND($D56=OBJECTIFS!$B$6,OBJECTIFS!I$8="tx mea"),AND($D56=OBJECTIFS!$B$13,OBJECTIFS!$I$15="tx mea"),AND($D56=OBJECTIFS!$B$20,OBJECTIFS!$I$22="tx mea"),AND($D56=OBJECTIFS!$B$27,OBJECTIFS!$I$29="tx mea"),AND($D56=OBJECTIFS!$B$34,OBJECTIFS!$I$36="tx mea")),IFERROR(AA56/Z56,""),IFERROR(Z56/AA56,""))</f>
        <v/>
      </c>
      <c r="AC56" s="155">
        <f>IFERROR(IF(OR(Z56="",AA56="",AB56=""),0,IF(AB56&lt;OBJECTIFS!$E$56,0,IF(AB56&lt;OBJECTIFS!$G$56,AC$8*OBJECTIFS!$F$60,IF(AB56&lt;OBJECTIFS!$I$56,AC$8*OBJECTIFS!$H$60,AC$8)))),0)</f>
        <v>0</v>
      </c>
      <c r="AD56" s="289"/>
      <c r="AE56" s="290"/>
      <c r="AF56" s="158">
        <f t="shared" ca="1" si="3"/>
        <v>0</v>
      </c>
      <c r="AG56" s="52"/>
      <c r="AH56" s="129"/>
      <c r="AI56" s="19"/>
      <c r="AJ56" s="19"/>
      <c r="AK56" s="19"/>
      <c r="AL56" s="19"/>
      <c r="AM56" s="63">
        <f t="shared" si="26"/>
        <v>0</v>
      </c>
      <c r="AN56" s="63">
        <f t="shared" si="8"/>
        <v>22</v>
      </c>
      <c r="AO56" s="64">
        <f t="shared" si="27"/>
        <v>0</v>
      </c>
      <c r="AP56" s="65" t="str">
        <f t="shared" ca="1" si="28"/>
        <v/>
      </c>
      <c r="AQ56" s="66"/>
      <c r="AR56" s="168">
        <f>IFERROR(VLOOKUP(B56,OBJECTIFS!$C$76:$E$137,2,FALSE),0)</f>
        <v>0</v>
      </c>
      <c r="AS56" s="173"/>
      <c r="AT56" s="170">
        <f>IFERROR(VLOOKUP(B56,OBJECTIFS!$H$76:$J$137,2,FALSE),0)</f>
        <v>0</v>
      </c>
      <c r="AU56" s="178">
        <f t="shared" si="6"/>
        <v>0</v>
      </c>
      <c r="AV56" s="173"/>
      <c r="AW56" s="74">
        <f>IFERROR(VLOOKUP(B56,OBJECTIFS!$C$142:$E$203,2,FALSE),0)</f>
        <v>0</v>
      </c>
      <c r="AX56" s="74">
        <f>IFERROR(VLOOKUP(B56,OBJECTIFS!$H$142:$J$203,2,FALSE),0)</f>
        <v>0</v>
      </c>
      <c r="AY56" s="174">
        <f>IFERROR(VLOOKUP(B56,OBJECTIFS!$F$208:$H$269,3,FALSE),0)</f>
        <v>0</v>
      </c>
      <c r="AZ56" s="66"/>
      <c r="BA56" s="75" t="str">
        <f t="shared" ca="1" si="7"/>
        <v/>
      </c>
      <c r="BB56" s="52"/>
      <c r="BC56" s="76">
        <f t="shared" ca="1" si="30"/>
        <v>0</v>
      </c>
      <c r="BD56" s="53" t="str">
        <f t="shared" ca="1" si="29"/>
        <v/>
      </c>
      <c r="BE56" s="77" t="str">
        <f t="shared" ca="1" si="31"/>
        <v/>
      </c>
    </row>
    <row r="57" spans="1:57" x14ac:dyDescent="0.2">
      <c r="A57" s="16"/>
      <c r="B57" s="17"/>
      <c r="C57" s="17"/>
      <c r="D57" s="18"/>
      <c r="E57" s="19"/>
      <c r="F57" s="27"/>
      <c r="H57" s="71" t="str">
        <f>IF(OR(D57="",F57="",A57=""),"",IF(E57="oui",0,IF(D57=OBJECTIFS!$C$45,VLOOKUP(F57,OBJECTIFS!$C$9:$D$11,2,FALSE),IF(D57=OBJECTIFS!$C$46,VLOOKUP(F57,OBJECTIFS!$C$16:$D$18,2,FALSE),IF(D57=OBJECTIFS!$C$47,VLOOKUP(F57,OBJECTIFS!$C$23:$D$25,2,FALSE),IF(D57=OBJECTIFS!$C$48,VLOOKUP(F57,OBJECTIFS!$C$30:$D$32,2,FALSE),IF(D57=OBJECTIFS!$C$49,VLOOKUP(F57,OBJECTIFS!$C$37:$D$39,2,FALSE))))))))</f>
        <v/>
      </c>
      <c r="J57" s="138"/>
      <c r="K57" s="141" t="str">
        <f>IF(OR($A57="",$D57="",J57=""),"",SUMIFS(OBJECTIFS!E$9:E$39,OBJECTIFS!$A$9:$A$39,$D57,OBJECTIFS!$C$9:$C$39,$F57))</f>
        <v/>
      </c>
      <c r="L57" s="72" t="str">
        <f>IF(OR(AND($D57=OBJECTIFS!$B$6,OBJECTIFS!E$8="dmt"),AND($D57=OBJECTIFS!$B$13,OBJECTIFS!$E$15="dmt"),AND($D57=OBJECTIFS!$B$20,OBJECTIFS!$E$22="dmt"),AND($D57=OBJECTIFS!$B$27,OBJECTIFS!$E$29="dmt"),AND($D57=OBJECTIFS!$B$34,OBJECTIFS!$E$36="dmt"),AND($D57=OBJECTIFS!$B$6,OBJECTIFS!$E$8="taux de chute"),AND($D57=OBJECTIFS!$B$13,OBJECTIFS!$E$15="taux de chute"),AND($D57=OBJECTIFS!$B$20,OBJECTIFS!$E$22="taux de chute"),AND($D57=OBJECTIFS!$B$27,OBJECTIFS!$E$29="taux de chute"),AND($D57=OBJECTIFS!$B$34,OBJECTIFS!$E$36="taux de chute"),AND($D57=OBJECTIFS!$B$6,OBJECTIFS!E$8="tx mea"),AND($D57=OBJECTIFS!$B$13,OBJECTIFS!$E$15="tx mea"),AND($D57=OBJECTIFS!$B$20,OBJECTIFS!$E$22="tx mea"),AND($D57=OBJECTIFS!$B$27,OBJECTIFS!$E$29="tx mea"),AND($D57=OBJECTIFS!$B$34,OBJECTIFS!$E$36="tx mea")),IFERROR(K57/J57,""),IFERROR(J57/K57,""))</f>
        <v/>
      </c>
      <c r="M57" s="149">
        <f>IFERROR(IF(OR(J57="",K57="",L57=""),0,IF(L57&lt;OBJECTIFS!$E$56,0,IF(L57&lt;OBJECTIFS!$G$56,M$8*OBJECTIFS!$F$60,IF(L57&lt;OBJECTIFS!$I$56,M$8*OBJECTIFS!$H$60,M$8)))),0)</f>
        <v>0</v>
      </c>
      <c r="N57" s="144"/>
      <c r="O57" s="145" t="str">
        <f>IF(OR($A57="",$D57="",N57=""),"",SUMIFS(OBJECTIFS!F$9:F$39,OBJECTIFS!$A$9:$A$39,$D57,OBJECTIFS!$C$9:$C$39,$F57))</f>
        <v/>
      </c>
      <c r="P57" s="72" t="str">
        <f>IF(OR(AND($D57=OBJECTIFS!$B$6,OBJECTIFS!$F$8="dmt"),AND($D57=OBJECTIFS!$B$13,OBJECTIFS!$F$15="dmt"),AND($D57=OBJECTIFS!$B$20,OBJECTIFS!$F$22="dmt"),AND($D57=OBJECTIFS!$B$27,OBJECTIFS!$F$29="dmt"),AND($D57=OBJECTIFS!$B$34,OBJECTIFS!$F$36="dmt"),AND($D57=OBJECTIFS!$B$6,OBJECTIFS!$F$8="taux de chute"),AND($D57=OBJECTIFS!$B$13,OBJECTIFS!$F$15="taux de chute"),AND($D57=OBJECTIFS!$B$20,OBJECTIFS!$F$22="taux de chute"),AND($D57=OBJECTIFS!$B$27,OBJECTIFS!$F$29="taux de chute"),AND($D57=OBJECTIFS!$B$34,OBJECTIFS!$F$36="taux de chute"),AND($D57=OBJECTIFS!$B$6,OBJECTIFS!$F$8="tx mea"),AND($D57=OBJECTIFS!$B$13,OBJECTIFS!$F$15="tx mea"),AND($D57=OBJECTIFS!$B$20,OBJECTIFS!$F$22="tx mea"),AND($D57=OBJECTIFS!$B$27,OBJECTIFS!$F$29="tx mea"),AND($D57=OBJECTIFS!$B$34,OBJECTIFS!$F$36="tx mea")),IFERROR(O57/N57,""),IFERROR(N57/O57,""))</f>
        <v/>
      </c>
      <c r="Q57" s="149">
        <f>IFERROR(IF(OR(N57="",O57="",P57=""),0,IF(P57&lt;OBJECTIFS!$E$56,0,IF(P57&lt;OBJECTIFS!$G$56,Q$8*OBJECTIFS!$F$60,IF(P57&lt;OBJECTIFS!$I$56,Q$8*OBJECTIFS!$H$60,Q$8)))),0)</f>
        <v>0</v>
      </c>
      <c r="R57" s="121"/>
      <c r="S57" s="73" t="str">
        <f>IF(OR($A57="",$D57="",R57=""),"",SUMIFS(OBJECTIFS!G$9:G$39,OBJECTIFS!$A$9:$A$39,$D57,OBJECTIFS!$C$9:$C$39,$F57))</f>
        <v/>
      </c>
      <c r="T57" s="72" t="str">
        <f>IF(OR(AND($D57=OBJECTIFS!$B$6,OBJECTIFS!G$8="dmt"),AND($D57=OBJECTIFS!$B$13,OBJECTIFS!$G$15="dmt"),AND($D57=OBJECTIFS!$B$20,OBJECTIFS!$G$22="dmt"),AND($D57=OBJECTIFS!$B$27,OBJECTIFS!$G$29="dmt"),AND($D57=OBJECTIFS!$B$34,OBJECTIFS!$G$36="dmt"),AND($D57=OBJECTIFS!$B$6,OBJECTIFS!$G$8="taux de chute"),AND($D57=OBJECTIFS!$B$13,OBJECTIFS!$G$15="taux de chute"),AND($D57=OBJECTIFS!$B$20,OBJECTIFS!$G$22="taux de chute"),AND($D57=OBJECTIFS!$B$27,OBJECTIFS!$G$29="taux de chute"),AND($D57=OBJECTIFS!$B$34,OBJECTIFS!$G$36="taux de chute",AND($D57=OBJECTIFS!$B$6,OBJECTIFS!G$8="tx mea"),AND($D57=OBJECTIFS!$B$13,OBJECTIFS!$G$15="tx mea"),AND($D57=OBJECTIFS!$B$20,OBJECTIFS!$G$22="tx mea"),AND($D57=OBJECTIFS!$B$27,OBJECTIFS!$G$29="tx mea"),AND($D57=OBJECTIFS!$B$34,OBJECTIFS!$G$36="tx mea"))),IFERROR(S57/R57,""),IFERROR(R57/S57,""))</f>
        <v/>
      </c>
      <c r="U57" s="152">
        <f>IFERROR(IF(OR(R57="",S57="",T57=""),0,IF(T57&lt;OBJECTIFS!$E$56,0,IF(T57&lt;OBJECTIFS!$G$56,U$8*OBJECTIFS!$F$60,IF(T57&lt;OBJECTIFS!$I$56,U$8*OBJECTIFS!$H$60,U$8)))),0)</f>
        <v>0</v>
      </c>
      <c r="V57" s="20"/>
      <c r="W57" s="72" t="str">
        <f>IF(OR($A57="",$D57="",V57=""),"",SUMIFS(OBJECTIFS!H$9:H$39,OBJECTIFS!$A$9:$A$39,$D57,OBJECTIFS!$C$9:$C$39,$F57))</f>
        <v/>
      </c>
      <c r="X57" s="72" t="str">
        <f>IF(OR(AND($D57=OBJECTIFS!$B$6,OBJECTIFS!H$8="dmt"),AND($D57=OBJECTIFS!$B$13,OBJECTIFS!$H$15="dmt"),AND($D57=OBJECTIFS!$B$20,OBJECTIFS!$H$22="dmt"),AND($D57=OBJECTIFS!$B$27,OBJECTIFS!$H$29="dmt"),AND($D57=OBJECTIFS!$B$34,OBJECTIFS!$H$36="dmt"),AND($D57=OBJECTIFS!$B$6,OBJECTIFS!$H$8="taux de chute"),AND($D57=OBJECTIFS!$B$13,OBJECTIFS!$H$15="taux de chute"),AND($D57=OBJECTIFS!$B$20,OBJECTIFS!$H$22="taux de chute"),AND($D57=OBJECTIFS!$B$27,OBJECTIFS!$H$29="taux de chute"),AND($D57=OBJECTIFS!$B$34,OBJECTIFS!$H$36="taux de chute"),AND($D57=OBJECTIFS!$B$6,OBJECTIFS!H$8="tx mea"),AND($D57=OBJECTIFS!$B$13,OBJECTIFS!$H$15="tx mea"),AND($D57=OBJECTIFS!$B$20,OBJECTIFS!$H$22="tx mea"),AND($D57=OBJECTIFS!$B$27,OBJECTIFS!$H$29="tx mea"),AND($D57=OBJECTIFS!$B$34,OBJECTIFS!$H$36="tx mea")),IFERROR(W57/V57,""),IFERROR(V57/W57,""))</f>
        <v/>
      </c>
      <c r="Y57" s="149">
        <f>IFERROR(IF(OR(V57="",W57="",X57=""),0,IF(X57&lt;OBJECTIFS!$E$56,0,IF(X57&lt;OBJECTIFS!$G$56,Y$8*OBJECTIFS!$F$60,IF(X57&lt;OBJECTIFS!$I$56,Y$8*OBJECTIFS!$H$60,Y$8)))),0)</f>
        <v>0</v>
      </c>
      <c r="Z57" s="124"/>
      <c r="AA57" s="72" t="str">
        <f>IF(OR($A57="",$D57="",Z57=""),"",SUMIFS(OBJECTIFS!I$9:I$39,OBJECTIFS!$A$9:$A$39,$D57,OBJECTIFS!$C$9:$C$39,$F57))</f>
        <v/>
      </c>
      <c r="AB57" s="72" t="str">
        <f>IF(OR(AND($D57=OBJECTIFS!$B$6,OBJECTIFS!I$8="dmt"),AND($D57=OBJECTIFS!$B$13,OBJECTIFS!$I$15="dmt"),AND($D57=OBJECTIFS!$B$20,OBJECTIFS!$I$22="dmt"),AND($D57=OBJECTIFS!$B$27,OBJECTIFS!$I$29="dmt"),AND($D57=OBJECTIFS!$B$34,OBJECTIFS!$I$36="dmt"),AND($D57=OBJECTIFS!$B$6,OBJECTIFS!$I$8="taux de chute"),AND($D57=OBJECTIFS!$B$13,OBJECTIFS!$I$15="taux de chute"),AND($D57=OBJECTIFS!$B$20,OBJECTIFS!$I$22="taux de chute"),AND($D57=OBJECTIFS!$B$27,OBJECTIFS!$I$29="taux de chute"),AND($D57=OBJECTIFS!$B$34,OBJECTIFS!$I$36="taux de chute"),AND($D57=OBJECTIFS!$B$6,OBJECTIFS!I$8="tx mea"),AND($D57=OBJECTIFS!$B$13,OBJECTIFS!$I$15="tx mea"),AND($D57=OBJECTIFS!$B$20,OBJECTIFS!$I$22="tx mea"),AND($D57=OBJECTIFS!$B$27,OBJECTIFS!$I$29="tx mea"),AND($D57=OBJECTIFS!$B$34,OBJECTIFS!$I$36="tx mea")),IFERROR(AA57/Z57,""),IFERROR(Z57/AA57,""))</f>
        <v/>
      </c>
      <c r="AC57" s="155">
        <f>IFERROR(IF(OR(Z57="",AA57="",AB57=""),0,IF(AB57&lt;OBJECTIFS!$E$56,0,IF(AB57&lt;OBJECTIFS!$G$56,AC$8*OBJECTIFS!$F$60,IF(AB57&lt;OBJECTIFS!$I$56,AC$8*OBJECTIFS!$H$60,AC$8)))),0)</f>
        <v>0</v>
      </c>
      <c r="AD57" s="289"/>
      <c r="AE57" s="290"/>
      <c r="AF57" s="158">
        <f t="shared" ca="1" si="3"/>
        <v>0</v>
      </c>
      <c r="AG57" s="52"/>
      <c r="AH57" s="129"/>
      <c r="AI57" s="19"/>
      <c r="AJ57" s="19"/>
      <c r="AK57" s="19"/>
      <c r="AL57" s="19"/>
      <c r="AM57" s="63">
        <f t="shared" si="26"/>
        <v>0</v>
      </c>
      <c r="AN57" s="63">
        <f t="shared" si="8"/>
        <v>22</v>
      </c>
      <c r="AO57" s="64">
        <f t="shared" si="27"/>
        <v>0</v>
      </c>
      <c r="AP57" s="65" t="str">
        <f t="shared" ca="1" si="28"/>
        <v/>
      </c>
      <c r="AQ57" s="66"/>
      <c r="AR57" s="168">
        <f>IFERROR(VLOOKUP(B57,OBJECTIFS!$C$76:$E$137,2,FALSE),0)</f>
        <v>0</v>
      </c>
      <c r="AS57" s="173"/>
      <c r="AT57" s="170">
        <f>IFERROR(VLOOKUP(B57,OBJECTIFS!$H$76:$J$137,2,FALSE),0)</f>
        <v>0</v>
      </c>
      <c r="AU57" s="178">
        <f t="shared" si="6"/>
        <v>0</v>
      </c>
      <c r="AV57" s="173"/>
      <c r="AW57" s="74">
        <f>IFERROR(VLOOKUP(B57,OBJECTIFS!$C$142:$E$203,2,FALSE),0)</f>
        <v>0</v>
      </c>
      <c r="AX57" s="74">
        <f>IFERROR(VLOOKUP(B57,OBJECTIFS!$H$142:$J$203,2,FALSE),0)</f>
        <v>0</v>
      </c>
      <c r="AY57" s="174">
        <f>IFERROR(VLOOKUP(B57,OBJECTIFS!$F$208:$H$269,3,FALSE),0)</f>
        <v>0</v>
      </c>
      <c r="AZ57" s="66"/>
      <c r="BA57" s="75" t="str">
        <f t="shared" ca="1" si="7"/>
        <v/>
      </c>
      <c r="BB57" s="52"/>
      <c r="BC57" s="76">
        <f t="shared" ca="1" si="30"/>
        <v>0</v>
      </c>
      <c r="BD57" s="53" t="str">
        <f t="shared" ca="1" si="29"/>
        <v/>
      </c>
      <c r="BE57" s="77" t="str">
        <f t="shared" ca="1" si="31"/>
        <v/>
      </c>
    </row>
    <row r="58" spans="1:57" x14ac:dyDescent="0.2">
      <c r="A58" s="16"/>
      <c r="B58" s="17"/>
      <c r="C58" s="17"/>
      <c r="D58" s="18"/>
      <c r="E58" s="19"/>
      <c r="F58" s="27"/>
      <c r="H58" s="71" t="str">
        <f>IF(OR(D58="",F58="",A58=""),"",IF(E58="oui",0,IF(D58=OBJECTIFS!$C$45,VLOOKUP(F58,OBJECTIFS!$C$9:$D$11,2,FALSE),IF(D58=OBJECTIFS!$C$46,VLOOKUP(F58,OBJECTIFS!$C$16:$D$18,2,FALSE),IF(D58=OBJECTIFS!$C$47,VLOOKUP(F58,OBJECTIFS!$C$23:$D$25,2,FALSE),IF(D58=OBJECTIFS!$C$48,VLOOKUP(F58,OBJECTIFS!$C$30:$D$32,2,FALSE),IF(D58=OBJECTIFS!$C$49,VLOOKUP(F58,OBJECTIFS!$C$37:$D$39,2,FALSE))))))))</f>
        <v/>
      </c>
      <c r="J58" s="138"/>
      <c r="K58" s="141" t="str">
        <f>IF(OR($A58="",$D58="",J58=""),"",SUMIFS(OBJECTIFS!E$9:E$39,OBJECTIFS!$A$9:$A$39,$D58,OBJECTIFS!$C$9:$C$39,$F58))</f>
        <v/>
      </c>
      <c r="L58" s="72" t="str">
        <f>IF(OR(AND($D58=OBJECTIFS!$B$6,OBJECTIFS!E$8="dmt"),AND($D58=OBJECTIFS!$B$13,OBJECTIFS!$E$15="dmt"),AND($D58=OBJECTIFS!$B$20,OBJECTIFS!$E$22="dmt"),AND($D58=OBJECTIFS!$B$27,OBJECTIFS!$E$29="dmt"),AND($D58=OBJECTIFS!$B$34,OBJECTIFS!$E$36="dmt"),AND($D58=OBJECTIFS!$B$6,OBJECTIFS!$E$8="taux de chute"),AND($D58=OBJECTIFS!$B$13,OBJECTIFS!$E$15="taux de chute"),AND($D58=OBJECTIFS!$B$20,OBJECTIFS!$E$22="taux de chute"),AND($D58=OBJECTIFS!$B$27,OBJECTIFS!$E$29="taux de chute"),AND($D58=OBJECTIFS!$B$34,OBJECTIFS!$E$36="taux de chute"),AND($D58=OBJECTIFS!$B$6,OBJECTIFS!E$8="tx mea"),AND($D58=OBJECTIFS!$B$13,OBJECTIFS!$E$15="tx mea"),AND($D58=OBJECTIFS!$B$20,OBJECTIFS!$E$22="tx mea"),AND($D58=OBJECTIFS!$B$27,OBJECTIFS!$E$29="tx mea"),AND($D58=OBJECTIFS!$B$34,OBJECTIFS!$E$36="tx mea")),IFERROR(K58/J58,""),IFERROR(J58/K58,""))</f>
        <v/>
      </c>
      <c r="M58" s="149">
        <f>IFERROR(IF(OR(J58="",K58="",L58=""),0,IF(L58&lt;OBJECTIFS!$E$56,0,IF(L58&lt;OBJECTIFS!$G$56,M$8*OBJECTIFS!$F$60,IF(L58&lt;OBJECTIFS!$I$56,M$8*OBJECTIFS!$H$60,M$8)))),0)</f>
        <v>0</v>
      </c>
      <c r="N58" s="144"/>
      <c r="O58" s="145" t="str">
        <f>IF(OR($A58="",$D58="",N58=""),"",SUMIFS(OBJECTIFS!F$9:F$39,OBJECTIFS!$A$9:$A$39,$D58,OBJECTIFS!$C$9:$C$39,$F58))</f>
        <v/>
      </c>
      <c r="P58" s="72" t="str">
        <f>IF(OR(AND($D58=OBJECTIFS!$B$6,OBJECTIFS!$F$8="dmt"),AND($D58=OBJECTIFS!$B$13,OBJECTIFS!$F$15="dmt"),AND($D58=OBJECTIFS!$B$20,OBJECTIFS!$F$22="dmt"),AND($D58=OBJECTIFS!$B$27,OBJECTIFS!$F$29="dmt"),AND($D58=OBJECTIFS!$B$34,OBJECTIFS!$F$36="dmt"),AND($D58=OBJECTIFS!$B$6,OBJECTIFS!$F$8="taux de chute"),AND($D58=OBJECTIFS!$B$13,OBJECTIFS!$F$15="taux de chute"),AND($D58=OBJECTIFS!$B$20,OBJECTIFS!$F$22="taux de chute"),AND($D58=OBJECTIFS!$B$27,OBJECTIFS!$F$29="taux de chute"),AND($D58=OBJECTIFS!$B$34,OBJECTIFS!$F$36="taux de chute"),AND($D58=OBJECTIFS!$B$6,OBJECTIFS!$F$8="tx mea"),AND($D58=OBJECTIFS!$B$13,OBJECTIFS!$F$15="tx mea"),AND($D58=OBJECTIFS!$B$20,OBJECTIFS!$F$22="tx mea"),AND($D58=OBJECTIFS!$B$27,OBJECTIFS!$F$29="tx mea"),AND($D58=OBJECTIFS!$B$34,OBJECTIFS!$F$36="tx mea")),IFERROR(O58/N58,""),IFERROR(N58/O58,""))</f>
        <v/>
      </c>
      <c r="Q58" s="149">
        <f>IFERROR(IF(OR(N58="",O58="",P58=""),0,IF(P58&lt;OBJECTIFS!$E$56,0,IF(P58&lt;OBJECTIFS!$G$56,Q$8*OBJECTIFS!$F$60,IF(P58&lt;OBJECTIFS!$I$56,Q$8*OBJECTIFS!$H$60,Q$8)))),0)</f>
        <v>0</v>
      </c>
      <c r="R58" s="121"/>
      <c r="S58" s="73" t="str">
        <f>IF(OR($A58="",$D58="",R58=""),"",SUMIFS(OBJECTIFS!G$9:G$39,OBJECTIFS!$A$9:$A$39,$D58,OBJECTIFS!$C$9:$C$39,$F58))</f>
        <v/>
      </c>
      <c r="T58" s="72" t="str">
        <f>IF(OR(AND($D58=OBJECTIFS!$B$6,OBJECTIFS!G$8="dmt"),AND($D58=OBJECTIFS!$B$13,OBJECTIFS!$G$15="dmt"),AND($D58=OBJECTIFS!$B$20,OBJECTIFS!$G$22="dmt"),AND($D58=OBJECTIFS!$B$27,OBJECTIFS!$G$29="dmt"),AND($D58=OBJECTIFS!$B$34,OBJECTIFS!$G$36="dmt"),AND($D58=OBJECTIFS!$B$6,OBJECTIFS!$G$8="taux de chute"),AND($D58=OBJECTIFS!$B$13,OBJECTIFS!$G$15="taux de chute"),AND($D58=OBJECTIFS!$B$20,OBJECTIFS!$G$22="taux de chute"),AND($D58=OBJECTIFS!$B$27,OBJECTIFS!$G$29="taux de chute"),AND($D58=OBJECTIFS!$B$34,OBJECTIFS!$G$36="taux de chute",AND($D58=OBJECTIFS!$B$6,OBJECTIFS!G$8="tx mea"),AND($D58=OBJECTIFS!$B$13,OBJECTIFS!$G$15="tx mea"),AND($D58=OBJECTIFS!$B$20,OBJECTIFS!$G$22="tx mea"),AND($D58=OBJECTIFS!$B$27,OBJECTIFS!$G$29="tx mea"),AND($D58=OBJECTIFS!$B$34,OBJECTIFS!$G$36="tx mea"))),IFERROR(S58/R58,""),IFERROR(R58/S58,""))</f>
        <v/>
      </c>
      <c r="U58" s="152">
        <f>IFERROR(IF(OR(R58="",S58="",T58=""),0,IF(T58&lt;OBJECTIFS!$E$56,0,IF(T58&lt;OBJECTIFS!$G$56,U$8*OBJECTIFS!$F$60,IF(T58&lt;OBJECTIFS!$I$56,U$8*OBJECTIFS!$H$60,U$8)))),0)</f>
        <v>0</v>
      </c>
      <c r="V58" s="20"/>
      <c r="W58" s="72" t="str">
        <f>IF(OR($A58="",$D58="",V58=""),"",SUMIFS(OBJECTIFS!H$9:H$39,OBJECTIFS!$A$9:$A$39,$D58,OBJECTIFS!$C$9:$C$39,$F58))</f>
        <v/>
      </c>
      <c r="X58" s="72" t="str">
        <f>IF(OR(AND($D58=OBJECTIFS!$B$6,OBJECTIFS!H$8="dmt"),AND($D58=OBJECTIFS!$B$13,OBJECTIFS!$H$15="dmt"),AND($D58=OBJECTIFS!$B$20,OBJECTIFS!$H$22="dmt"),AND($D58=OBJECTIFS!$B$27,OBJECTIFS!$H$29="dmt"),AND($D58=OBJECTIFS!$B$34,OBJECTIFS!$H$36="dmt"),AND($D58=OBJECTIFS!$B$6,OBJECTIFS!$H$8="taux de chute"),AND($D58=OBJECTIFS!$B$13,OBJECTIFS!$H$15="taux de chute"),AND($D58=OBJECTIFS!$B$20,OBJECTIFS!$H$22="taux de chute"),AND($D58=OBJECTIFS!$B$27,OBJECTIFS!$H$29="taux de chute"),AND($D58=OBJECTIFS!$B$34,OBJECTIFS!$H$36="taux de chute"),AND($D58=OBJECTIFS!$B$6,OBJECTIFS!H$8="tx mea"),AND($D58=OBJECTIFS!$B$13,OBJECTIFS!$H$15="tx mea"),AND($D58=OBJECTIFS!$B$20,OBJECTIFS!$H$22="tx mea"),AND($D58=OBJECTIFS!$B$27,OBJECTIFS!$H$29="tx mea"),AND($D58=OBJECTIFS!$B$34,OBJECTIFS!$H$36="tx mea")),IFERROR(W58/V58,""),IFERROR(V58/W58,""))</f>
        <v/>
      </c>
      <c r="Y58" s="149">
        <f>IFERROR(IF(OR(V58="",W58="",X58=""),0,IF(X58&lt;OBJECTIFS!$E$56,0,IF(X58&lt;OBJECTIFS!$G$56,Y$8*OBJECTIFS!$F$60,IF(X58&lt;OBJECTIFS!$I$56,Y$8*OBJECTIFS!$H$60,Y$8)))),0)</f>
        <v>0</v>
      </c>
      <c r="Z58" s="124"/>
      <c r="AA58" s="72" t="str">
        <f>IF(OR($A58="",$D58="",Z58=""),"",SUMIFS(OBJECTIFS!I$9:I$39,OBJECTIFS!$A$9:$A$39,$D58,OBJECTIFS!$C$9:$C$39,$F58))</f>
        <v/>
      </c>
      <c r="AB58" s="72" t="str">
        <f>IF(OR(AND($D58=OBJECTIFS!$B$6,OBJECTIFS!I$8="dmt"),AND($D58=OBJECTIFS!$B$13,OBJECTIFS!$I$15="dmt"),AND($D58=OBJECTIFS!$B$20,OBJECTIFS!$I$22="dmt"),AND($D58=OBJECTIFS!$B$27,OBJECTIFS!$I$29="dmt"),AND($D58=OBJECTIFS!$B$34,OBJECTIFS!$I$36="dmt"),AND($D58=OBJECTIFS!$B$6,OBJECTIFS!$I$8="taux de chute"),AND($D58=OBJECTIFS!$B$13,OBJECTIFS!$I$15="taux de chute"),AND($D58=OBJECTIFS!$B$20,OBJECTIFS!$I$22="taux de chute"),AND($D58=OBJECTIFS!$B$27,OBJECTIFS!$I$29="taux de chute"),AND($D58=OBJECTIFS!$B$34,OBJECTIFS!$I$36="taux de chute"),AND($D58=OBJECTIFS!$B$6,OBJECTIFS!I$8="tx mea"),AND($D58=OBJECTIFS!$B$13,OBJECTIFS!$I$15="tx mea"),AND($D58=OBJECTIFS!$B$20,OBJECTIFS!$I$22="tx mea"),AND($D58=OBJECTIFS!$B$27,OBJECTIFS!$I$29="tx mea"),AND($D58=OBJECTIFS!$B$34,OBJECTIFS!$I$36="tx mea")),IFERROR(AA58/Z58,""),IFERROR(Z58/AA58,""))</f>
        <v/>
      </c>
      <c r="AC58" s="155">
        <f>IFERROR(IF(OR(Z58="",AA58="",AB58=""),0,IF(AB58&lt;OBJECTIFS!$E$56,0,IF(AB58&lt;OBJECTIFS!$G$56,AC$8*OBJECTIFS!$F$60,IF(AB58&lt;OBJECTIFS!$I$56,AC$8*OBJECTIFS!$H$60,AC$8)))),0)</f>
        <v>0</v>
      </c>
      <c r="AD58" s="289"/>
      <c r="AE58" s="290"/>
      <c r="AF58" s="158">
        <f t="shared" ca="1" si="3"/>
        <v>0</v>
      </c>
      <c r="AG58" s="52"/>
      <c r="AH58" s="129"/>
      <c r="AI58" s="19"/>
      <c r="AJ58" s="19"/>
      <c r="AK58" s="19"/>
      <c r="AL58" s="19"/>
      <c r="AM58" s="63">
        <f t="shared" si="26"/>
        <v>0</v>
      </c>
      <c r="AN58" s="63">
        <f t="shared" si="8"/>
        <v>22</v>
      </c>
      <c r="AO58" s="64">
        <f t="shared" si="27"/>
        <v>0</v>
      </c>
      <c r="AP58" s="65" t="str">
        <f t="shared" ca="1" si="28"/>
        <v/>
      </c>
      <c r="AQ58" s="66"/>
      <c r="AR58" s="168">
        <f>IFERROR(VLOOKUP(B58,OBJECTIFS!$C$76:$E$137,2,FALSE),0)</f>
        <v>0</v>
      </c>
      <c r="AS58" s="173"/>
      <c r="AT58" s="170">
        <f>IFERROR(VLOOKUP(B58,OBJECTIFS!$H$76:$J$137,2,FALSE),0)</f>
        <v>0</v>
      </c>
      <c r="AU58" s="178">
        <f t="shared" si="6"/>
        <v>0</v>
      </c>
      <c r="AV58" s="173"/>
      <c r="AW58" s="74">
        <f>IFERROR(VLOOKUP(B58,OBJECTIFS!$C$142:$E$203,2,FALSE),0)</f>
        <v>0</v>
      </c>
      <c r="AX58" s="74">
        <f>IFERROR(VLOOKUP(B58,OBJECTIFS!$H$142:$J$203,2,FALSE),0)</f>
        <v>0</v>
      </c>
      <c r="AY58" s="174">
        <f>IFERROR(VLOOKUP(B58,OBJECTIFS!$F$208:$H$269,3,FALSE),0)</f>
        <v>0</v>
      </c>
      <c r="AZ58" s="66"/>
      <c r="BA58" s="75" t="str">
        <f t="shared" ca="1" si="7"/>
        <v/>
      </c>
      <c r="BB58" s="52"/>
      <c r="BC58" s="76">
        <f t="shared" ca="1" si="30"/>
        <v>0</v>
      </c>
      <c r="BD58" s="53" t="str">
        <f t="shared" ca="1" si="29"/>
        <v/>
      </c>
      <c r="BE58" s="77" t="str">
        <f t="shared" ca="1" si="31"/>
        <v/>
      </c>
    </row>
    <row r="59" spans="1:57" x14ac:dyDescent="0.2">
      <c r="A59" s="16"/>
      <c r="B59" s="17"/>
      <c r="C59" s="17"/>
      <c r="D59" s="18"/>
      <c r="E59" s="19"/>
      <c r="F59" s="27"/>
      <c r="H59" s="71" t="str">
        <f>IF(OR(D59="",F59="",A59=""),"",IF(E59="oui",0,IF(D59=OBJECTIFS!$C$45,VLOOKUP(F59,OBJECTIFS!$C$9:$D$11,2,FALSE),IF(D59=OBJECTIFS!$C$46,VLOOKUP(F59,OBJECTIFS!$C$16:$D$18,2,FALSE),IF(D59=OBJECTIFS!$C$47,VLOOKUP(F59,OBJECTIFS!$C$23:$D$25,2,FALSE),IF(D59=OBJECTIFS!$C$48,VLOOKUP(F59,OBJECTIFS!$C$30:$D$32,2,FALSE),IF(D59=OBJECTIFS!$C$49,VLOOKUP(F59,OBJECTIFS!$C$37:$D$39,2,FALSE))))))))</f>
        <v/>
      </c>
      <c r="J59" s="138"/>
      <c r="K59" s="141" t="str">
        <f>IF(OR($A59="",$D59="",J59=""),"",SUMIFS(OBJECTIFS!E$9:E$39,OBJECTIFS!$A$9:$A$39,$D59,OBJECTIFS!$C$9:$C$39,$F59))</f>
        <v/>
      </c>
      <c r="L59" s="72" t="str">
        <f>IF(OR(AND($D59=OBJECTIFS!$B$6,OBJECTIFS!E$8="dmt"),AND($D59=OBJECTIFS!$B$13,OBJECTIFS!$E$15="dmt"),AND($D59=OBJECTIFS!$B$20,OBJECTIFS!$E$22="dmt"),AND($D59=OBJECTIFS!$B$27,OBJECTIFS!$E$29="dmt"),AND($D59=OBJECTIFS!$B$34,OBJECTIFS!$E$36="dmt"),AND($D59=OBJECTIFS!$B$6,OBJECTIFS!$E$8="taux de chute"),AND($D59=OBJECTIFS!$B$13,OBJECTIFS!$E$15="taux de chute"),AND($D59=OBJECTIFS!$B$20,OBJECTIFS!$E$22="taux de chute"),AND($D59=OBJECTIFS!$B$27,OBJECTIFS!$E$29="taux de chute"),AND($D59=OBJECTIFS!$B$34,OBJECTIFS!$E$36="taux de chute"),AND($D59=OBJECTIFS!$B$6,OBJECTIFS!E$8="tx mea"),AND($D59=OBJECTIFS!$B$13,OBJECTIFS!$E$15="tx mea"),AND($D59=OBJECTIFS!$B$20,OBJECTIFS!$E$22="tx mea"),AND($D59=OBJECTIFS!$B$27,OBJECTIFS!$E$29="tx mea"),AND($D59=OBJECTIFS!$B$34,OBJECTIFS!$E$36="tx mea")),IFERROR(K59/J59,""),IFERROR(J59/K59,""))</f>
        <v/>
      </c>
      <c r="M59" s="149">
        <f>IFERROR(IF(OR(J59="",K59="",L59=""),0,IF(L59&lt;OBJECTIFS!$E$56,0,IF(L59&lt;OBJECTIFS!$G$56,M$8*OBJECTIFS!$F$60,IF(L59&lt;OBJECTIFS!$I$56,M$8*OBJECTIFS!$H$60,M$8)))),0)</f>
        <v>0</v>
      </c>
      <c r="N59" s="144"/>
      <c r="O59" s="145" t="str">
        <f>IF(OR($A59="",$D59="",N59=""),"",SUMIFS(OBJECTIFS!F$9:F$39,OBJECTIFS!$A$9:$A$39,$D59,OBJECTIFS!$C$9:$C$39,$F59))</f>
        <v/>
      </c>
      <c r="P59" s="72" t="str">
        <f>IF(OR(AND($D59=OBJECTIFS!$B$6,OBJECTIFS!$F$8="dmt"),AND($D59=OBJECTIFS!$B$13,OBJECTIFS!$F$15="dmt"),AND($D59=OBJECTIFS!$B$20,OBJECTIFS!$F$22="dmt"),AND($D59=OBJECTIFS!$B$27,OBJECTIFS!$F$29="dmt"),AND($D59=OBJECTIFS!$B$34,OBJECTIFS!$F$36="dmt"),AND($D59=OBJECTIFS!$B$6,OBJECTIFS!$F$8="taux de chute"),AND($D59=OBJECTIFS!$B$13,OBJECTIFS!$F$15="taux de chute"),AND($D59=OBJECTIFS!$B$20,OBJECTIFS!$F$22="taux de chute"),AND($D59=OBJECTIFS!$B$27,OBJECTIFS!$F$29="taux de chute"),AND($D59=OBJECTIFS!$B$34,OBJECTIFS!$F$36="taux de chute"),AND($D59=OBJECTIFS!$B$6,OBJECTIFS!$F$8="tx mea"),AND($D59=OBJECTIFS!$B$13,OBJECTIFS!$F$15="tx mea"),AND($D59=OBJECTIFS!$B$20,OBJECTIFS!$F$22="tx mea"),AND($D59=OBJECTIFS!$B$27,OBJECTIFS!$F$29="tx mea"),AND($D59=OBJECTIFS!$B$34,OBJECTIFS!$F$36="tx mea")),IFERROR(O59/N59,""),IFERROR(N59/O59,""))</f>
        <v/>
      </c>
      <c r="Q59" s="149">
        <f>IFERROR(IF(OR(N59="",O59="",P59=""),0,IF(P59&lt;OBJECTIFS!$E$56,0,IF(P59&lt;OBJECTIFS!$G$56,Q$8*OBJECTIFS!$F$60,IF(P59&lt;OBJECTIFS!$I$56,Q$8*OBJECTIFS!$H$60,Q$8)))),0)</f>
        <v>0</v>
      </c>
      <c r="R59" s="121"/>
      <c r="S59" s="73" t="str">
        <f>IF(OR($A59="",$D59="",R59=""),"",SUMIFS(OBJECTIFS!G$9:G$39,OBJECTIFS!$A$9:$A$39,$D59,OBJECTIFS!$C$9:$C$39,$F59))</f>
        <v/>
      </c>
      <c r="T59" s="72" t="str">
        <f>IF(OR(AND($D59=OBJECTIFS!$B$6,OBJECTIFS!G$8="dmt"),AND($D59=OBJECTIFS!$B$13,OBJECTIFS!$G$15="dmt"),AND($D59=OBJECTIFS!$B$20,OBJECTIFS!$G$22="dmt"),AND($D59=OBJECTIFS!$B$27,OBJECTIFS!$G$29="dmt"),AND($D59=OBJECTIFS!$B$34,OBJECTIFS!$G$36="dmt"),AND($D59=OBJECTIFS!$B$6,OBJECTIFS!$G$8="taux de chute"),AND($D59=OBJECTIFS!$B$13,OBJECTIFS!$G$15="taux de chute"),AND($D59=OBJECTIFS!$B$20,OBJECTIFS!$G$22="taux de chute"),AND($D59=OBJECTIFS!$B$27,OBJECTIFS!$G$29="taux de chute"),AND($D59=OBJECTIFS!$B$34,OBJECTIFS!$G$36="taux de chute",AND($D59=OBJECTIFS!$B$6,OBJECTIFS!G$8="tx mea"),AND($D59=OBJECTIFS!$B$13,OBJECTIFS!$G$15="tx mea"),AND($D59=OBJECTIFS!$B$20,OBJECTIFS!$G$22="tx mea"),AND($D59=OBJECTIFS!$B$27,OBJECTIFS!$G$29="tx mea"),AND($D59=OBJECTIFS!$B$34,OBJECTIFS!$G$36="tx mea"))),IFERROR(S59/R59,""),IFERROR(R59/S59,""))</f>
        <v/>
      </c>
      <c r="U59" s="152">
        <f>IFERROR(IF(OR(R59="",S59="",T59=""),0,IF(T59&lt;OBJECTIFS!$E$56,0,IF(T59&lt;OBJECTIFS!$G$56,U$8*OBJECTIFS!$F$60,IF(T59&lt;OBJECTIFS!$I$56,U$8*OBJECTIFS!$H$60,U$8)))),0)</f>
        <v>0</v>
      </c>
      <c r="V59" s="20"/>
      <c r="W59" s="72" t="str">
        <f>IF(OR($A59="",$D59="",V59=""),"",SUMIFS(OBJECTIFS!H$9:H$39,OBJECTIFS!$A$9:$A$39,$D59,OBJECTIFS!$C$9:$C$39,$F59))</f>
        <v/>
      </c>
      <c r="X59" s="72" t="str">
        <f>IF(OR(AND($D59=OBJECTIFS!$B$6,OBJECTIFS!H$8="dmt"),AND($D59=OBJECTIFS!$B$13,OBJECTIFS!$H$15="dmt"),AND($D59=OBJECTIFS!$B$20,OBJECTIFS!$H$22="dmt"),AND($D59=OBJECTIFS!$B$27,OBJECTIFS!$H$29="dmt"),AND($D59=OBJECTIFS!$B$34,OBJECTIFS!$H$36="dmt"),AND($D59=OBJECTIFS!$B$6,OBJECTIFS!$H$8="taux de chute"),AND($D59=OBJECTIFS!$B$13,OBJECTIFS!$H$15="taux de chute"),AND($D59=OBJECTIFS!$B$20,OBJECTIFS!$H$22="taux de chute"),AND($D59=OBJECTIFS!$B$27,OBJECTIFS!$H$29="taux de chute"),AND($D59=OBJECTIFS!$B$34,OBJECTIFS!$H$36="taux de chute"),AND($D59=OBJECTIFS!$B$6,OBJECTIFS!H$8="tx mea"),AND($D59=OBJECTIFS!$B$13,OBJECTIFS!$H$15="tx mea"),AND($D59=OBJECTIFS!$B$20,OBJECTIFS!$H$22="tx mea"),AND($D59=OBJECTIFS!$B$27,OBJECTIFS!$H$29="tx mea"),AND($D59=OBJECTIFS!$B$34,OBJECTIFS!$H$36="tx mea")),IFERROR(W59/V59,""),IFERROR(V59/W59,""))</f>
        <v/>
      </c>
      <c r="Y59" s="149">
        <f>IFERROR(IF(OR(V59="",W59="",X59=""),0,IF(X59&lt;OBJECTIFS!$E$56,0,IF(X59&lt;OBJECTIFS!$G$56,Y$8*OBJECTIFS!$F$60,IF(X59&lt;OBJECTIFS!$I$56,Y$8*OBJECTIFS!$H$60,Y$8)))),0)</f>
        <v>0</v>
      </c>
      <c r="Z59" s="124"/>
      <c r="AA59" s="72" t="str">
        <f>IF(OR($A59="",$D59="",Z59=""),"",SUMIFS(OBJECTIFS!I$9:I$39,OBJECTIFS!$A$9:$A$39,$D59,OBJECTIFS!$C$9:$C$39,$F59))</f>
        <v/>
      </c>
      <c r="AB59" s="72" t="str">
        <f>IF(OR(AND($D59=OBJECTIFS!$B$6,OBJECTIFS!I$8="dmt"),AND($D59=OBJECTIFS!$B$13,OBJECTIFS!$I$15="dmt"),AND($D59=OBJECTIFS!$B$20,OBJECTIFS!$I$22="dmt"),AND($D59=OBJECTIFS!$B$27,OBJECTIFS!$I$29="dmt"),AND($D59=OBJECTIFS!$B$34,OBJECTIFS!$I$36="dmt"),AND($D59=OBJECTIFS!$B$6,OBJECTIFS!$I$8="taux de chute"),AND($D59=OBJECTIFS!$B$13,OBJECTIFS!$I$15="taux de chute"),AND($D59=OBJECTIFS!$B$20,OBJECTIFS!$I$22="taux de chute"),AND($D59=OBJECTIFS!$B$27,OBJECTIFS!$I$29="taux de chute"),AND($D59=OBJECTIFS!$B$34,OBJECTIFS!$I$36="taux de chute"),AND($D59=OBJECTIFS!$B$6,OBJECTIFS!I$8="tx mea"),AND($D59=OBJECTIFS!$B$13,OBJECTIFS!$I$15="tx mea"),AND($D59=OBJECTIFS!$B$20,OBJECTIFS!$I$22="tx mea"),AND($D59=OBJECTIFS!$B$27,OBJECTIFS!$I$29="tx mea"),AND($D59=OBJECTIFS!$B$34,OBJECTIFS!$I$36="tx mea")),IFERROR(AA59/Z59,""),IFERROR(Z59/AA59,""))</f>
        <v/>
      </c>
      <c r="AC59" s="155">
        <f>IFERROR(IF(OR(Z59="",AA59="",AB59=""),0,IF(AB59&lt;OBJECTIFS!$E$56,0,IF(AB59&lt;OBJECTIFS!$G$56,AC$8*OBJECTIFS!$F$60,IF(AB59&lt;OBJECTIFS!$I$56,AC$8*OBJECTIFS!$H$60,AC$8)))),0)</f>
        <v>0</v>
      </c>
      <c r="AD59" s="289"/>
      <c r="AE59" s="290"/>
      <c r="AF59" s="158">
        <f t="shared" ca="1" si="3"/>
        <v>0</v>
      </c>
      <c r="AG59" s="52"/>
      <c r="AH59" s="129"/>
      <c r="AI59" s="19"/>
      <c r="AJ59" s="19"/>
      <c r="AK59" s="19"/>
      <c r="AL59" s="19"/>
      <c r="AM59" s="63">
        <f t="shared" si="26"/>
        <v>0</v>
      </c>
      <c r="AN59" s="63">
        <f t="shared" si="8"/>
        <v>22</v>
      </c>
      <c r="AO59" s="64">
        <f t="shared" si="27"/>
        <v>0</v>
      </c>
      <c r="AP59" s="65" t="str">
        <f t="shared" ca="1" si="28"/>
        <v/>
      </c>
      <c r="AQ59" s="66"/>
      <c r="AR59" s="168">
        <f>IFERROR(VLOOKUP(B59,OBJECTIFS!$C$76:$E$137,2,FALSE),0)</f>
        <v>0</v>
      </c>
      <c r="AS59" s="173"/>
      <c r="AT59" s="170">
        <f>IFERROR(VLOOKUP(B59,OBJECTIFS!$H$76:$J$137,2,FALSE),0)</f>
        <v>0</v>
      </c>
      <c r="AU59" s="178">
        <f t="shared" si="6"/>
        <v>0</v>
      </c>
      <c r="AV59" s="173"/>
      <c r="AW59" s="74">
        <f>IFERROR(VLOOKUP(B59,OBJECTIFS!$C$142:$E$203,2,FALSE),0)</f>
        <v>0</v>
      </c>
      <c r="AX59" s="74">
        <f>IFERROR(VLOOKUP(B59,OBJECTIFS!$H$142:$J$203,2,FALSE),0)</f>
        <v>0</v>
      </c>
      <c r="AY59" s="174">
        <f>IFERROR(VLOOKUP(B59,OBJECTIFS!$F$208:$H$269,3,FALSE),0)</f>
        <v>0</v>
      </c>
      <c r="AZ59" s="66"/>
      <c r="BA59" s="75" t="str">
        <f t="shared" ca="1" si="7"/>
        <v/>
      </c>
      <c r="BB59" s="52"/>
      <c r="BC59" s="76">
        <f t="shared" ca="1" si="30"/>
        <v>0</v>
      </c>
      <c r="BD59" s="53" t="str">
        <f t="shared" ca="1" si="29"/>
        <v/>
      </c>
      <c r="BE59" s="77" t="str">
        <f t="shared" ca="1" si="31"/>
        <v/>
      </c>
    </row>
    <row r="60" spans="1:57" x14ac:dyDescent="0.2">
      <c r="A60" s="16"/>
      <c r="B60" s="17"/>
      <c r="C60" s="17"/>
      <c r="D60" s="18"/>
      <c r="E60" s="19"/>
      <c r="F60" s="27"/>
      <c r="H60" s="71" t="str">
        <f>IF(OR(D60="",F60="",A60=""),"",IF(E60="oui",0,IF(D60=OBJECTIFS!$C$45,VLOOKUP(F60,OBJECTIFS!$C$9:$D$11,2,FALSE),IF(D60=OBJECTIFS!$C$46,VLOOKUP(F60,OBJECTIFS!$C$16:$D$18,2,FALSE),IF(D60=OBJECTIFS!$C$47,VLOOKUP(F60,OBJECTIFS!$C$23:$D$25,2,FALSE),IF(D60=OBJECTIFS!$C$48,VLOOKUP(F60,OBJECTIFS!$C$30:$D$32,2,FALSE),IF(D60=OBJECTIFS!$C$49,VLOOKUP(F60,OBJECTIFS!$C$37:$D$39,2,FALSE))))))))</f>
        <v/>
      </c>
      <c r="J60" s="138"/>
      <c r="K60" s="141" t="str">
        <f>IF(OR($A60="",$D60="",J60=""),"",SUMIFS(OBJECTIFS!E$9:E$39,OBJECTIFS!$A$9:$A$39,$D60,OBJECTIFS!$C$9:$C$39,$F60))</f>
        <v/>
      </c>
      <c r="L60" s="72" t="str">
        <f>IF(OR(AND($D60=OBJECTIFS!$B$6,OBJECTIFS!E$8="dmt"),AND($D60=OBJECTIFS!$B$13,OBJECTIFS!$E$15="dmt"),AND($D60=OBJECTIFS!$B$20,OBJECTIFS!$E$22="dmt"),AND($D60=OBJECTIFS!$B$27,OBJECTIFS!$E$29="dmt"),AND($D60=OBJECTIFS!$B$34,OBJECTIFS!$E$36="dmt"),AND($D60=OBJECTIFS!$B$6,OBJECTIFS!$E$8="taux de chute"),AND($D60=OBJECTIFS!$B$13,OBJECTIFS!$E$15="taux de chute"),AND($D60=OBJECTIFS!$B$20,OBJECTIFS!$E$22="taux de chute"),AND($D60=OBJECTIFS!$B$27,OBJECTIFS!$E$29="taux de chute"),AND($D60=OBJECTIFS!$B$34,OBJECTIFS!$E$36="taux de chute"),AND($D60=OBJECTIFS!$B$6,OBJECTIFS!E$8="tx mea"),AND($D60=OBJECTIFS!$B$13,OBJECTIFS!$E$15="tx mea"),AND($D60=OBJECTIFS!$B$20,OBJECTIFS!$E$22="tx mea"),AND($D60=OBJECTIFS!$B$27,OBJECTIFS!$E$29="tx mea"),AND($D60=OBJECTIFS!$B$34,OBJECTIFS!$E$36="tx mea")),IFERROR(K60/J60,""),IFERROR(J60/K60,""))</f>
        <v/>
      </c>
      <c r="M60" s="149">
        <f>IFERROR(IF(OR(J60="",K60="",L60=""),0,IF(L60&lt;OBJECTIFS!$E$56,0,IF(L60&lt;OBJECTIFS!$G$56,M$8*OBJECTIFS!$F$60,IF(L60&lt;OBJECTIFS!$I$56,M$8*OBJECTIFS!$H$60,M$8)))),0)</f>
        <v>0</v>
      </c>
      <c r="N60" s="144"/>
      <c r="O60" s="145" t="str">
        <f>IF(OR($A60="",$D60="",N60=""),"",SUMIFS(OBJECTIFS!F$9:F$39,OBJECTIFS!$A$9:$A$39,$D60,OBJECTIFS!$C$9:$C$39,$F60))</f>
        <v/>
      </c>
      <c r="P60" s="72" t="str">
        <f>IF(OR(AND($D60=OBJECTIFS!$B$6,OBJECTIFS!$F$8="dmt"),AND($D60=OBJECTIFS!$B$13,OBJECTIFS!$F$15="dmt"),AND($D60=OBJECTIFS!$B$20,OBJECTIFS!$F$22="dmt"),AND($D60=OBJECTIFS!$B$27,OBJECTIFS!$F$29="dmt"),AND($D60=OBJECTIFS!$B$34,OBJECTIFS!$F$36="dmt"),AND($D60=OBJECTIFS!$B$6,OBJECTIFS!$F$8="taux de chute"),AND($D60=OBJECTIFS!$B$13,OBJECTIFS!$F$15="taux de chute"),AND($D60=OBJECTIFS!$B$20,OBJECTIFS!$F$22="taux de chute"),AND($D60=OBJECTIFS!$B$27,OBJECTIFS!$F$29="taux de chute"),AND($D60=OBJECTIFS!$B$34,OBJECTIFS!$F$36="taux de chute"),AND($D60=OBJECTIFS!$B$6,OBJECTIFS!$F$8="tx mea"),AND($D60=OBJECTIFS!$B$13,OBJECTIFS!$F$15="tx mea"),AND($D60=OBJECTIFS!$B$20,OBJECTIFS!$F$22="tx mea"),AND($D60=OBJECTIFS!$B$27,OBJECTIFS!$F$29="tx mea"),AND($D60=OBJECTIFS!$B$34,OBJECTIFS!$F$36="tx mea")),IFERROR(O60/N60,""),IFERROR(N60/O60,""))</f>
        <v/>
      </c>
      <c r="Q60" s="149">
        <f>IFERROR(IF(OR(N60="",O60="",P60=""),0,IF(P60&lt;OBJECTIFS!$E$56,0,IF(P60&lt;OBJECTIFS!$G$56,Q$8*OBJECTIFS!$F$60,IF(P60&lt;OBJECTIFS!$I$56,Q$8*OBJECTIFS!$H$60,Q$8)))),0)</f>
        <v>0</v>
      </c>
      <c r="R60" s="121"/>
      <c r="S60" s="73" t="str">
        <f>IF(OR($A60="",$D60="",R60=""),"",SUMIFS(OBJECTIFS!G$9:G$39,OBJECTIFS!$A$9:$A$39,$D60,OBJECTIFS!$C$9:$C$39,$F60))</f>
        <v/>
      </c>
      <c r="T60" s="72" t="str">
        <f>IF(OR(AND($D60=OBJECTIFS!$B$6,OBJECTIFS!G$8="dmt"),AND($D60=OBJECTIFS!$B$13,OBJECTIFS!$G$15="dmt"),AND($D60=OBJECTIFS!$B$20,OBJECTIFS!$G$22="dmt"),AND($D60=OBJECTIFS!$B$27,OBJECTIFS!$G$29="dmt"),AND($D60=OBJECTIFS!$B$34,OBJECTIFS!$G$36="dmt"),AND($D60=OBJECTIFS!$B$6,OBJECTIFS!$G$8="taux de chute"),AND($D60=OBJECTIFS!$B$13,OBJECTIFS!$G$15="taux de chute"),AND($D60=OBJECTIFS!$B$20,OBJECTIFS!$G$22="taux de chute"),AND($D60=OBJECTIFS!$B$27,OBJECTIFS!$G$29="taux de chute"),AND($D60=OBJECTIFS!$B$34,OBJECTIFS!$G$36="taux de chute",AND($D60=OBJECTIFS!$B$6,OBJECTIFS!G$8="tx mea"),AND($D60=OBJECTIFS!$B$13,OBJECTIFS!$G$15="tx mea"),AND($D60=OBJECTIFS!$B$20,OBJECTIFS!$G$22="tx mea"),AND($D60=OBJECTIFS!$B$27,OBJECTIFS!$G$29="tx mea"),AND($D60=OBJECTIFS!$B$34,OBJECTIFS!$G$36="tx mea"))),IFERROR(S60/R60,""),IFERROR(R60/S60,""))</f>
        <v/>
      </c>
      <c r="U60" s="152">
        <f>IFERROR(IF(OR(R60="",S60="",T60=""),0,IF(T60&lt;OBJECTIFS!$E$56,0,IF(T60&lt;OBJECTIFS!$G$56,U$8*OBJECTIFS!$F$60,IF(T60&lt;OBJECTIFS!$I$56,U$8*OBJECTIFS!$H$60,U$8)))),0)</f>
        <v>0</v>
      </c>
      <c r="V60" s="20"/>
      <c r="W60" s="72" t="str">
        <f>IF(OR($A60="",$D60="",V60=""),"",SUMIFS(OBJECTIFS!H$9:H$39,OBJECTIFS!$A$9:$A$39,$D60,OBJECTIFS!$C$9:$C$39,$F60))</f>
        <v/>
      </c>
      <c r="X60" s="72" t="str">
        <f>IF(OR(AND($D60=OBJECTIFS!$B$6,OBJECTIFS!H$8="dmt"),AND($D60=OBJECTIFS!$B$13,OBJECTIFS!$H$15="dmt"),AND($D60=OBJECTIFS!$B$20,OBJECTIFS!$H$22="dmt"),AND($D60=OBJECTIFS!$B$27,OBJECTIFS!$H$29="dmt"),AND($D60=OBJECTIFS!$B$34,OBJECTIFS!$H$36="dmt"),AND($D60=OBJECTIFS!$B$6,OBJECTIFS!$H$8="taux de chute"),AND($D60=OBJECTIFS!$B$13,OBJECTIFS!$H$15="taux de chute"),AND($D60=OBJECTIFS!$B$20,OBJECTIFS!$H$22="taux de chute"),AND($D60=OBJECTIFS!$B$27,OBJECTIFS!$H$29="taux de chute"),AND($D60=OBJECTIFS!$B$34,OBJECTIFS!$H$36="taux de chute"),AND($D60=OBJECTIFS!$B$6,OBJECTIFS!H$8="tx mea"),AND($D60=OBJECTIFS!$B$13,OBJECTIFS!$H$15="tx mea"),AND($D60=OBJECTIFS!$B$20,OBJECTIFS!$H$22="tx mea"),AND($D60=OBJECTIFS!$B$27,OBJECTIFS!$H$29="tx mea"),AND($D60=OBJECTIFS!$B$34,OBJECTIFS!$H$36="tx mea")),IFERROR(W60/V60,""),IFERROR(V60/W60,""))</f>
        <v/>
      </c>
      <c r="Y60" s="149">
        <f>IFERROR(IF(OR(V60="",W60="",X60=""),0,IF(X60&lt;OBJECTIFS!$E$56,0,IF(X60&lt;OBJECTIFS!$G$56,Y$8*OBJECTIFS!$F$60,IF(X60&lt;OBJECTIFS!$I$56,Y$8*OBJECTIFS!$H$60,Y$8)))),0)</f>
        <v>0</v>
      </c>
      <c r="Z60" s="124"/>
      <c r="AA60" s="72" t="str">
        <f>IF(OR($A60="",$D60="",Z60=""),"",SUMIFS(OBJECTIFS!I$9:I$39,OBJECTIFS!$A$9:$A$39,$D60,OBJECTIFS!$C$9:$C$39,$F60))</f>
        <v/>
      </c>
      <c r="AB60" s="72" t="str">
        <f>IF(OR(AND($D60=OBJECTIFS!$B$6,OBJECTIFS!I$8="dmt"),AND($D60=OBJECTIFS!$B$13,OBJECTIFS!$I$15="dmt"),AND($D60=OBJECTIFS!$B$20,OBJECTIFS!$I$22="dmt"),AND($D60=OBJECTIFS!$B$27,OBJECTIFS!$I$29="dmt"),AND($D60=OBJECTIFS!$B$34,OBJECTIFS!$I$36="dmt"),AND($D60=OBJECTIFS!$B$6,OBJECTIFS!$I$8="taux de chute"),AND($D60=OBJECTIFS!$B$13,OBJECTIFS!$I$15="taux de chute"),AND($D60=OBJECTIFS!$B$20,OBJECTIFS!$I$22="taux de chute"),AND($D60=OBJECTIFS!$B$27,OBJECTIFS!$I$29="taux de chute"),AND($D60=OBJECTIFS!$B$34,OBJECTIFS!$I$36="taux de chute"),AND($D60=OBJECTIFS!$B$6,OBJECTIFS!I$8="tx mea"),AND($D60=OBJECTIFS!$B$13,OBJECTIFS!$I$15="tx mea"),AND($D60=OBJECTIFS!$B$20,OBJECTIFS!$I$22="tx mea"),AND($D60=OBJECTIFS!$B$27,OBJECTIFS!$I$29="tx mea"),AND($D60=OBJECTIFS!$B$34,OBJECTIFS!$I$36="tx mea")),IFERROR(AA60/Z60,""),IFERROR(Z60/AA60,""))</f>
        <v/>
      </c>
      <c r="AC60" s="155">
        <f>IFERROR(IF(OR(Z60="",AA60="",AB60=""),0,IF(AB60&lt;OBJECTIFS!$E$56,0,IF(AB60&lt;OBJECTIFS!$G$56,AC$8*OBJECTIFS!$F$60,IF(AB60&lt;OBJECTIFS!$I$56,AC$8*OBJECTIFS!$H$60,AC$8)))),0)</f>
        <v>0</v>
      </c>
      <c r="AD60" s="289"/>
      <c r="AE60" s="290"/>
      <c r="AF60" s="158">
        <f t="shared" ca="1" si="3"/>
        <v>0</v>
      </c>
      <c r="AG60" s="52"/>
      <c r="AH60" s="129"/>
      <c r="AI60" s="19"/>
      <c r="AJ60" s="19"/>
      <c r="AK60" s="19"/>
      <c r="AL60" s="19"/>
      <c r="AM60" s="63">
        <f t="shared" si="26"/>
        <v>0</v>
      </c>
      <c r="AN60" s="63">
        <f t="shared" si="8"/>
        <v>22</v>
      </c>
      <c r="AO60" s="64">
        <f t="shared" si="27"/>
        <v>0</v>
      </c>
      <c r="AP60" s="65" t="str">
        <f t="shared" ca="1" si="28"/>
        <v/>
      </c>
      <c r="AQ60" s="66"/>
      <c r="AR60" s="168">
        <f>IFERROR(VLOOKUP(B60,OBJECTIFS!$C$76:$E$137,2,FALSE),0)</f>
        <v>0</v>
      </c>
      <c r="AS60" s="173"/>
      <c r="AT60" s="170">
        <f>IFERROR(VLOOKUP(B60,OBJECTIFS!$H$76:$J$137,2,FALSE),0)</f>
        <v>0</v>
      </c>
      <c r="AU60" s="178">
        <f t="shared" si="6"/>
        <v>0</v>
      </c>
      <c r="AV60" s="173"/>
      <c r="AW60" s="74">
        <f>IFERROR(VLOOKUP(B60,OBJECTIFS!$C$142:$E$203,2,FALSE),0)</f>
        <v>0</v>
      </c>
      <c r="AX60" s="74">
        <f>IFERROR(VLOOKUP(B60,OBJECTIFS!$H$142:$J$203,2,FALSE),0)</f>
        <v>0</v>
      </c>
      <c r="AY60" s="174">
        <f>IFERROR(VLOOKUP(B60,OBJECTIFS!$F$208:$H$269,3,FALSE),0)</f>
        <v>0</v>
      </c>
      <c r="AZ60" s="66"/>
      <c r="BA60" s="75" t="str">
        <f t="shared" ca="1" si="7"/>
        <v/>
      </c>
      <c r="BB60" s="52"/>
      <c r="BC60" s="76">
        <f t="shared" ca="1" si="30"/>
        <v>0</v>
      </c>
      <c r="BD60" s="53" t="str">
        <f t="shared" ca="1" si="29"/>
        <v/>
      </c>
      <c r="BE60" s="77" t="str">
        <f t="shared" ca="1" si="31"/>
        <v/>
      </c>
    </row>
    <row r="61" spans="1:57" x14ac:dyDescent="0.2">
      <c r="A61" s="16"/>
      <c r="B61" s="17"/>
      <c r="C61" s="17"/>
      <c r="D61" s="18"/>
      <c r="E61" s="19"/>
      <c r="F61" s="27"/>
      <c r="H61" s="71" t="str">
        <f>IF(OR(D61="",F61="",A61=""),"",IF(E61="oui",0,IF(D61=OBJECTIFS!$C$45,VLOOKUP(F61,OBJECTIFS!$C$9:$D$11,2,FALSE),IF(D61=OBJECTIFS!$C$46,VLOOKUP(F61,OBJECTIFS!$C$16:$D$18,2,FALSE),IF(D61=OBJECTIFS!$C$47,VLOOKUP(F61,OBJECTIFS!$C$23:$D$25,2,FALSE),IF(D61=OBJECTIFS!$C$48,VLOOKUP(F61,OBJECTIFS!$C$30:$D$32,2,FALSE),IF(D61=OBJECTIFS!$C$49,VLOOKUP(F61,OBJECTIFS!$C$37:$D$39,2,FALSE))))))))</f>
        <v/>
      </c>
      <c r="J61" s="138"/>
      <c r="K61" s="141" t="str">
        <f>IF(OR($A61="",$D61="",J61=""),"",SUMIFS(OBJECTIFS!E$9:E$39,OBJECTIFS!$A$9:$A$39,$D61,OBJECTIFS!$C$9:$C$39,$F61))</f>
        <v/>
      </c>
      <c r="L61" s="72" t="str">
        <f>IF(OR(AND($D61=OBJECTIFS!$B$6,OBJECTIFS!E$8="dmt"),AND($D61=OBJECTIFS!$B$13,OBJECTIFS!$E$15="dmt"),AND($D61=OBJECTIFS!$B$20,OBJECTIFS!$E$22="dmt"),AND($D61=OBJECTIFS!$B$27,OBJECTIFS!$E$29="dmt"),AND($D61=OBJECTIFS!$B$34,OBJECTIFS!$E$36="dmt"),AND($D61=OBJECTIFS!$B$6,OBJECTIFS!$E$8="taux de chute"),AND($D61=OBJECTIFS!$B$13,OBJECTIFS!$E$15="taux de chute"),AND($D61=OBJECTIFS!$B$20,OBJECTIFS!$E$22="taux de chute"),AND($D61=OBJECTIFS!$B$27,OBJECTIFS!$E$29="taux de chute"),AND($D61=OBJECTIFS!$B$34,OBJECTIFS!$E$36="taux de chute"),AND($D61=OBJECTIFS!$B$6,OBJECTIFS!E$8="tx mea"),AND($D61=OBJECTIFS!$B$13,OBJECTIFS!$E$15="tx mea"),AND($D61=OBJECTIFS!$B$20,OBJECTIFS!$E$22="tx mea"),AND($D61=OBJECTIFS!$B$27,OBJECTIFS!$E$29="tx mea"),AND($D61=OBJECTIFS!$B$34,OBJECTIFS!$E$36="tx mea")),IFERROR(K61/J61,""),IFERROR(J61/K61,""))</f>
        <v/>
      </c>
      <c r="M61" s="149">
        <f>IFERROR(IF(OR(J61="",K61="",L61=""),0,IF(L61&lt;OBJECTIFS!$E$56,0,IF(L61&lt;OBJECTIFS!$G$56,M$8*OBJECTIFS!$F$60,IF(L61&lt;OBJECTIFS!$I$56,M$8*OBJECTIFS!$H$60,M$8)))),0)</f>
        <v>0</v>
      </c>
      <c r="N61" s="144"/>
      <c r="O61" s="145" t="str">
        <f>IF(OR($A61="",$D61="",N61=""),"",SUMIFS(OBJECTIFS!F$9:F$39,OBJECTIFS!$A$9:$A$39,$D61,OBJECTIFS!$C$9:$C$39,$F61))</f>
        <v/>
      </c>
      <c r="P61" s="72" t="str">
        <f>IF(OR(AND($D61=OBJECTIFS!$B$6,OBJECTIFS!$F$8="dmt"),AND($D61=OBJECTIFS!$B$13,OBJECTIFS!$F$15="dmt"),AND($D61=OBJECTIFS!$B$20,OBJECTIFS!$F$22="dmt"),AND($D61=OBJECTIFS!$B$27,OBJECTIFS!$F$29="dmt"),AND($D61=OBJECTIFS!$B$34,OBJECTIFS!$F$36="dmt"),AND($D61=OBJECTIFS!$B$6,OBJECTIFS!$F$8="taux de chute"),AND($D61=OBJECTIFS!$B$13,OBJECTIFS!$F$15="taux de chute"),AND($D61=OBJECTIFS!$B$20,OBJECTIFS!$F$22="taux de chute"),AND($D61=OBJECTIFS!$B$27,OBJECTIFS!$F$29="taux de chute"),AND($D61=OBJECTIFS!$B$34,OBJECTIFS!$F$36="taux de chute"),AND($D61=OBJECTIFS!$B$6,OBJECTIFS!$F$8="tx mea"),AND($D61=OBJECTIFS!$B$13,OBJECTIFS!$F$15="tx mea"),AND($D61=OBJECTIFS!$B$20,OBJECTIFS!$F$22="tx mea"),AND($D61=OBJECTIFS!$B$27,OBJECTIFS!$F$29="tx mea"),AND($D61=OBJECTIFS!$B$34,OBJECTIFS!$F$36="tx mea")),IFERROR(O61/N61,""),IFERROR(N61/O61,""))</f>
        <v/>
      </c>
      <c r="Q61" s="149">
        <f>IFERROR(IF(OR(N61="",O61="",P61=""),0,IF(P61&lt;OBJECTIFS!$E$56,0,IF(P61&lt;OBJECTIFS!$G$56,Q$8*OBJECTIFS!$F$60,IF(P61&lt;OBJECTIFS!$I$56,Q$8*OBJECTIFS!$H$60,Q$8)))),0)</f>
        <v>0</v>
      </c>
      <c r="R61" s="121"/>
      <c r="S61" s="73" t="str">
        <f>IF(OR($A61="",$D61="",R61=""),"",SUMIFS(OBJECTIFS!G$9:G$39,OBJECTIFS!$A$9:$A$39,$D61,OBJECTIFS!$C$9:$C$39,$F61))</f>
        <v/>
      </c>
      <c r="T61" s="72" t="str">
        <f>IF(OR(AND($D61=OBJECTIFS!$B$6,OBJECTIFS!G$8="dmt"),AND($D61=OBJECTIFS!$B$13,OBJECTIFS!$G$15="dmt"),AND($D61=OBJECTIFS!$B$20,OBJECTIFS!$G$22="dmt"),AND($D61=OBJECTIFS!$B$27,OBJECTIFS!$G$29="dmt"),AND($D61=OBJECTIFS!$B$34,OBJECTIFS!$G$36="dmt"),AND($D61=OBJECTIFS!$B$6,OBJECTIFS!$G$8="taux de chute"),AND($D61=OBJECTIFS!$B$13,OBJECTIFS!$G$15="taux de chute"),AND($D61=OBJECTIFS!$B$20,OBJECTIFS!$G$22="taux de chute"),AND($D61=OBJECTIFS!$B$27,OBJECTIFS!$G$29="taux de chute"),AND($D61=OBJECTIFS!$B$34,OBJECTIFS!$G$36="taux de chute",AND($D61=OBJECTIFS!$B$6,OBJECTIFS!G$8="tx mea"),AND($D61=OBJECTIFS!$B$13,OBJECTIFS!$G$15="tx mea"),AND($D61=OBJECTIFS!$B$20,OBJECTIFS!$G$22="tx mea"),AND($D61=OBJECTIFS!$B$27,OBJECTIFS!$G$29="tx mea"),AND($D61=OBJECTIFS!$B$34,OBJECTIFS!$G$36="tx mea"))),IFERROR(S61/R61,""),IFERROR(R61/S61,""))</f>
        <v/>
      </c>
      <c r="U61" s="152">
        <f>IFERROR(IF(OR(R61="",S61="",T61=""),0,IF(T61&lt;OBJECTIFS!$E$56,0,IF(T61&lt;OBJECTIFS!$G$56,U$8*OBJECTIFS!$F$60,IF(T61&lt;OBJECTIFS!$I$56,U$8*OBJECTIFS!$H$60,U$8)))),0)</f>
        <v>0</v>
      </c>
      <c r="V61" s="20"/>
      <c r="W61" s="72" t="str">
        <f>IF(OR($A61="",$D61="",V61=""),"",SUMIFS(OBJECTIFS!H$9:H$39,OBJECTIFS!$A$9:$A$39,$D61,OBJECTIFS!$C$9:$C$39,$F61))</f>
        <v/>
      </c>
      <c r="X61" s="72" t="str">
        <f>IF(OR(AND($D61=OBJECTIFS!$B$6,OBJECTIFS!H$8="dmt"),AND($D61=OBJECTIFS!$B$13,OBJECTIFS!$H$15="dmt"),AND($D61=OBJECTIFS!$B$20,OBJECTIFS!$H$22="dmt"),AND($D61=OBJECTIFS!$B$27,OBJECTIFS!$H$29="dmt"),AND($D61=OBJECTIFS!$B$34,OBJECTIFS!$H$36="dmt"),AND($D61=OBJECTIFS!$B$6,OBJECTIFS!$H$8="taux de chute"),AND($D61=OBJECTIFS!$B$13,OBJECTIFS!$H$15="taux de chute"),AND($D61=OBJECTIFS!$B$20,OBJECTIFS!$H$22="taux de chute"),AND($D61=OBJECTIFS!$B$27,OBJECTIFS!$H$29="taux de chute"),AND($D61=OBJECTIFS!$B$34,OBJECTIFS!$H$36="taux de chute"),AND($D61=OBJECTIFS!$B$6,OBJECTIFS!H$8="tx mea"),AND($D61=OBJECTIFS!$B$13,OBJECTIFS!$H$15="tx mea"),AND($D61=OBJECTIFS!$B$20,OBJECTIFS!$H$22="tx mea"),AND($D61=OBJECTIFS!$B$27,OBJECTIFS!$H$29="tx mea"),AND($D61=OBJECTIFS!$B$34,OBJECTIFS!$H$36="tx mea")),IFERROR(W61/V61,""),IFERROR(V61/W61,""))</f>
        <v/>
      </c>
      <c r="Y61" s="149">
        <f>IFERROR(IF(OR(V61="",W61="",X61=""),0,IF(X61&lt;OBJECTIFS!$E$56,0,IF(X61&lt;OBJECTIFS!$G$56,Y$8*OBJECTIFS!$F$60,IF(X61&lt;OBJECTIFS!$I$56,Y$8*OBJECTIFS!$H$60,Y$8)))),0)</f>
        <v>0</v>
      </c>
      <c r="Z61" s="124"/>
      <c r="AA61" s="72" t="str">
        <f>IF(OR($A61="",$D61="",Z61=""),"",SUMIFS(OBJECTIFS!I$9:I$39,OBJECTIFS!$A$9:$A$39,$D61,OBJECTIFS!$C$9:$C$39,$F61))</f>
        <v/>
      </c>
      <c r="AB61" s="72" t="str">
        <f>IF(OR(AND($D61=OBJECTIFS!$B$6,OBJECTIFS!I$8="dmt"),AND($D61=OBJECTIFS!$B$13,OBJECTIFS!$I$15="dmt"),AND($D61=OBJECTIFS!$B$20,OBJECTIFS!$I$22="dmt"),AND($D61=OBJECTIFS!$B$27,OBJECTIFS!$I$29="dmt"),AND($D61=OBJECTIFS!$B$34,OBJECTIFS!$I$36="dmt"),AND($D61=OBJECTIFS!$B$6,OBJECTIFS!$I$8="taux de chute"),AND($D61=OBJECTIFS!$B$13,OBJECTIFS!$I$15="taux de chute"),AND($D61=OBJECTIFS!$B$20,OBJECTIFS!$I$22="taux de chute"),AND($D61=OBJECTIFS!$B$27,OBJECTIFS!$I$29="taux de chute"),AND($D61=OBJECTIFS!$B$34,OBJECTIFS!$I$36="taux de chute"),AND($D61=OBJECTIFS!$B$6,OBJECTIFS!I$8="tx mea"),AND($D61=OBJECTIFS!$B$13,OBJECTIFS!$I$15="tx mea"),AND($D61=OBJECTIFS!$B$20,OBJECTIFS!$I$22="tx mea"),AND($D61=OBJECTIFS!$B$27,OBJECTIFS!$I$29="tx mea"),AND($D61=OBJECTIFS!$B$34,OBJECTIFS!$I$36="tx mea")),IFERROR(AA61/Z61,""),IFERROR(Z61/AA61,""))</f>
        <v/>
      </c>
      <c r="AC61" s="155">
        <f>IFERROR(IF(OR(Z61="",AA61="",AB61=""),0,IF(AB61&lt;OBJECTIFS!$E$56,0,IF(AB61&lt;OBJECTIFS!$G$56,AC$8*OBJECTIFS!$F$60,IF(AB61&lt;OBJECTIFS!$I$56,AC$8*OBJECTIFS!$H$60,AC$8)))),0)</f>
        <v>0</v>
      </c>
      <c r="AD61" s="289"/>
      <c r="AE61" s="290"/>
      <c r="AF61" s="158">
        <f t="shared" ca="1" si="3"/>
        <v>0</v>
      </c>
      <c r="AG61" s="52"/>
      <c r="AH61" s="129"/>
      <c r="AI61" s="19"/>
      <c r="AJ61" s="19"/>
      <c r="AK61" s="19"/>
      <c r="AL61" s="19"/>
      <c r="AM61" s="63">
        <f t="shared" si="26"/>
        <v>0</v>
      </c>
      <c r="AN61" s="63">
        <f t="shared" si="8"/>
        <v>22</v>
      </c>
      <c r="AO61" s="64">
        <f t="shared" si="27"/>
        <v>0</v>
      </c>
      <c r="AP61" s="65" t="str">
        <f t="shared" ca="1" si="28"/>
        <v/>
      </c>
      <c r="AQ61" s="66"/>
      <c r="AR61" s="168">
        <f>IFERROR(VLOOKUP(B61,OBJECTIFS!$C$76:$E$137,2,FALSE),0)</f>
        <v>0</v>
      </c>
      <c r="AS61" s="173"/>
      <c r="AT61" s="170">
        <f>IFERROR(VLOOKUP(B61,OBJECTIFS!$H$76:$J$137,2,FALSE),0)</f>
        <v>0</v>
      </c>
      <c r="AU61" s="178">
        <f t="shared" si="6"/>
        <v>0</v>
      </c>
      <c r="AV61" s="173"/>
      <c r="AW61" s="74">
        <f>IFERROR(VLOOKUP(B61,OBJECTIFS!$C$142:$E$203,2,FALSE),0)</f>
        <v>0</v>
      </c>
      <c r="AX61" s="74">
        <f>IFERROR(VLOOKUP(B61,OBJECTIFS!$H$142:$J$203,2,FALSE),0)</f>
        <v>0</v>
      </c>
      <c r="AY61" s="174">
        <f>IFERROR(VLOOKUP(B61,OBJECTIFS!$F$208:$H$269,3,FALSE),0)</f>
        <v>0</v>
      </c>
      <c r="AZ61" s="66"/>
      <c r="BA61" s="75" t="str">
        <f t="shared" ca="1" si="7"/>
        <v/>
      </c>
      <c r="BB61" s="52"/>
      <c r="BC61" s="76">
        <f t="shared" ca="1" si="30"/>
        <v>0</v>
      </c>
      <c r="BD61" s="53" t="str">
        <f t="shared" ca="1" si="29"/>
        <v/>
      </c>
      <c r="BE61" s="77" t="str">
        <f t="shared" ca="1" si="31"/>
        <v/>
      </c>
    </row>
    <row r="62" spans="1:57" x14ac:dyDescent="0.2">
      <c r="A62" s="16"/>
      <c r="B62" s="17"/>
      <c r="C62" s="17"/>
      <c r="D62" s="18"/>
      <c r="E62" s="19"/>
      <c r="F62" s="27"/>
      <c r="H62" s="71" t="str">
        <f>IF(OR(D62="",F62="",A62=""),"",IF(E62="oui",0,IF(D62=OBJECTIFS!$C$45,VLOOKUP(F62,OBJECTIFS!$C$9:$D$11,2,FALSE),IF(D62=OBJECTIFS!$C$46,VLOOKUP(F62,OBJECTIFS!$C$16:$D$18,2,FALSE),IF(D62=OBJECTIFS!$C$47,VLOOKUP(F62,OBJECTIFS!$C$23:$D$25,2,FALSE),IF(D62=OBJECTIFS!$C$48,VLOOKUP(F62,OBJECTIFS!$C$30:$D$32,2,FALSE),IF(D62=OBJECTIFS!$C$49,VLOOKUP(F62,OBJECTIFS!$C$37:$D$39,2,FALSE))))))))</f>
        <v/>
      </c>
      <c r="J62" s="138"/>
      <c r="K62" s="141" t="str">
        <f>IF(OR($A62="",$D62="",J62=""),"",SUMIFS(OBJECTIFS!E$9:E$39,OBJECTIFS!$A$9:$A$39,$D62,OBJECTIFS!$C$9:$C$39,$F62))</f>
        <v/>
      </c>
      <c r="L62" s="72" t="str">
        <f>IF(OR(AND($D62=OBJECTIFS!$B$6,OBJECTIFS!E$8="dmt"),AND($D62=OBJECTIFS!$B$13,OBJECTIFS!$E$15="dmt"),AND($D62=OBJECTIFS!$B$20,OBJECTIFS!$E$22="dmt"),AND($D62=OBJECTIFS!$B$27,OBJECTIFS!$E$29="dmt"),AND($D62=OBJECTIFS!$B$34,OBJECTIFS!$E$36="dmt"),AND($D62=OBJECTIFS!$B$6,OBJECTIFS!$E$8="taux de chute"),AND($D62=OBJECTIFS!$B$13,OBJECTIFS!$E$15="taux de chute"),AND($D62=OBJECTIFS!$B$20,OBJECTIFS!$E$22="taux de chute"),AND($D62=OBJECTIFS!$B$27,OBJECTIFS!$E$29="taux de chute"),AND($D62=OBJECTIFS!$B$34,OBJECTIFS!$E$36="taux de chute"),AND($D62=OBJECTIFS!$B$6,OBJECTIFS!E$8="tx mea"),AND($D62=OBJECTIFS!$B$13,OBJECTIFS!$E$15="tx mea"),AND($D62=OBJECTIFS!$B$20,OBJECTIFS!$E$22="tx mea"),AND($D62=OBJECTIFS!$B$27,OBJECTIFS!$E$29="tx mea"),AND($D62=OBJECTIFS!$B$34,OBJECTIFS!$E$36="tx mea")),IFERROR(K62/J62,""),IFERROR(J62/K62,""))</f>
        <v/>
      </c>
      <c r="M62" s="149">
        <f>IFERROR(IF(OR(J62="",K62="",L62=""),0,IF(L62&lt;OBJECTIFS!$E$56,0,IF(L62&lt;OBJECTIFS!$G$56,M$8*OBJECTIFS!$F$60,IF(L62&lt;OBJECTIFS!$I$56,M$8*OBJECTIFS!$H$60,M$8)))),0)</f>
        <v>0</v>
      </c>
      <c r="N62" s="144"/>
      <c r="O62" s="145" t="str">
        <f>IF(OR($A62="",$D62="",N62=""),"",SUMIFS(OBJECTIFS!F$9:F$39,OBJECTIFS!$A$9:$A$39,$D62,OBJECTIFS!$C$9:$C$39,$F62))</f>
        <v/>
      </c>
      <c r="P62" s="72" t="str">
        <f>IF(OR(AND($D62=OBJECTIFS!$B$6,OBJECTIFS!$F$8="dmt"),AND($D62=OBJECTIFS!$B$13,OBJECTIFS!$F$15="dmt"),AND($D62=OBJECTIFS!$B$20,OBJECTIFS!$F$22="dmt"),AND($D62=OBJECTIFS!$B$27,OBJECTIFS!$F$29="dmt"),AND($D62=OBJECTIFS!$B$34,OBJECTIFS!$F$36="dmt"),AND($D62=OBJECTIFS!$B$6,OBJECTIFS!$F$8="taux de chute"),AND($D62=OBJECTIFS!$B$13,OBJECTIFS!$F$15="taux de chute"),AND($D62=OBJECTIFS!$B$20,OBJECTIFS!$F$22="taux de chute"),AND($D62=OBJECTIFS!$B$27,OBJECTIFS!$F$29="taux de chute"),AND($D62=OBJECTIFS!$B$34,OBJECTIFS!$F$36="taux de chute"),AND($D62=OBJECTIFS!$B$6,OBJECTIFS!$F$8="tx mea"),AND($D62=OBJECTIFS!$B$13,OBJECTIFS!$F$15="tx mea"),AND($D62=OBJECTIFS!$B$20,OBJECTIFS!$F$22="tx mea"),AND($D62=OBJECTIFS!$B$27,OBJECTIFS!$F$29="tx mea"),AND($D62=OBJECTIFS!$B$34,OBJECTIFS!$F$36="tx mea")),IFERROR(O62/N62,""),IFERROR(N62/O62,""))</f>
        <v/>
      </c>
      <c r="Q62" s="149">
        <f>IFERROR(IF(OR(N62="",O62="",P62=""),0,IF(P62&lt;OBJECTIFS!$E$56,0,IF(P62&lt;OBJECTIFS!$G$56,Q$8*OBJECTIFS!$F$60,IF(P62&lt;OBJECTIFS!$I$56,Q$8*OBJECTIFS!$H$60,Q$8)))),0)</f>
        <v>0</v>
      </c>
      <c r="R62" s="121"/>
      <c r="S62" s="73" t="str">
        <f>IF(OR($A62="",$D62="",R62=""),"",SUMIFS(OBJECTIFS!G$9:G$39,OBJECTIFS!$A$9:$A$39,$D62,OBJECTIFS!$C$9:$C$39,$F62))</f>
        <v/>
      </c>
      <c r="T62" s="72" t="str">
        <f>IF(OR(AND($D62=OBJECTIFS!$B$6,OBJECTIFS!G$8="dmt"),AND($D62=OBJECTIFS!$B$13,OBJECTIFS!$G$15="dmt"),AND($D62=OBJECTIFS!$B$20,OBJECTIFS!$G$22="dmt"),AND($D62=OBJECTIFS!$B$27,OBJECTIFS!$G$29="dmt"),AND($D62=OBJECTIFS!$B$34,OBJECTIFS!$G$36="dmt"),AND($D62=OBJECTIFS!$B$6,OBJECTIFS!$G$8="taux de chute"),AND($D62=OBJECTIFS!$B$13,OBJECTIFS!$G$15="taux de chute"),AND($D62=OBJECTIFS!$B$20,OBJECTIFS!$G$22="taux de chute"),AND($D62=OBJECTIFS!$B$27,OBJECTIFS!$G$29="taux de chute"),AND($D62=OBJECTIFS!$B$34,OBJECTIFS!$G$36="taux de chute",AND($D62=OBJECTIFS!$B$6,OBJECTIFS!G$8="tx mea"),AND($D62=OBJECTIFS!$B$13,OBJECTIFS!$G$15="tx mea"),AND($D62=OBJECTIFS!$B$20,OBJECTIFS!$G$22="tx mea"),AND($D62=OBJECTIFS!$B$27,OBJECTIFS!$G$29="tx mea"),AND($D62=OBJECTIFS!$B$34,OBJECTIFS!$G$36="tx mea"))),IFERROR(S62/R62,""),IFERROR(R62/S62,""))</f>
        <v/>
      </c>
      <c r="U62" s="152">
        <f>IFERROR(IF(OR(R62="",S62="",T62=""),0,IF(T62&lt;OBJECTIFS!$E$56,0,IF(T62&lt;OBJECTIFS!$G$56,U$8*OBJECTIFS!$F$60,IF(T62&lt;OBJECTIFS!$I$56,U$8*OBJECTIFS!$H$60,U$8)))),0)</f>
        <v>0</v>
      </c>
      <c r="V62" s="20"/>
      <c r="W62" s="72" t="str">
        <f>IF(OR($A62="",$D62="",V62=""),"",SUMIFS(OBJECTIFS!H$9:H$39,OBJECTIFS!$A$9:$A$39,$D62,OBJECTIFS!$C$9:$C$39,$F62))</f>
        <v/>
      </c>
      <c r="X62" s="72" t="str">
        <f>IF(OR(AND($D62=OBJECTIFS!$B$6,OBJECTIFS!H$8="dmt"),AND($D62=OBJECTIFS!$B$13,OBJECTIFS!$H$15="dmt"),AND($D62=OBJECTIFS!$B$20,OBJECTIFS!$H$22="dmt"),AND($D62=OBJECTIFS!$B$27,OBJECTIFS!$H$29="dmt"),AND($D62=OBJECTIFS!$B$34,OBJECTIFS!$H$36="dmt"),AND($D62=OBJECTIFS!$B$6,OBJECTIFS!$H$8="taux de chute"),AND($D62=OBJECTIFS!$B$13,OBJECTIFS!$H$15="taux de chute"),AND($D62=OBJECTIFS!$B$20,OBJECTIFS!$H$22="taux de chute"),AND($D62=OBJECTIFS!$B$27,OBJECTIFS!$H$29="taux de chute"),AND($D62=OBJECTIFS!$B$34,OBJECTIFS!$H$36="taux de chute"),AND($D62=OBJECTIFS!$B$6,OBJECTIFS!H$8="tx mea"),AND($D62=OBJECTIFS!$B$13,OBJECTIFS!$H$15="tx mea"),AND($D62=OBJECTIFS!$B$20,OBJECTIFS!$H$22="tx mea"),AND($D62=OBJECTIFS!$B$27,OBJECTIFS!$H$29="tx mea"),AND($D62=OBJECTIFS!$B$34,OBJECTIFS!$H$36="tx mea")),IFERROR(W62/V62,""),IFERROR(V62/W62,""))</f>
        <v/>
      </c>
      <c r="Y62" s="149">
        <f>IFERROR(IF(OR(V62="",W62="",X62=""),0,IF(X62&lt;OBJECTIFS!$E$56,0,IF(X62&lt;OBJECTIFS!$G$56,Y$8*OBJECTIFS!$F$60,IF(X62&lt;OBJECTIFS!$I$56,Y$8*OBJECTIFS!$H$60,Y$8)))),0)</f>
        <v>0</v>
      </c>
      <c r="Z62" s="124"/>
      <c r="AA62" s="72" t="str">
        <f>IF(OR($A62="",$D62="",Z62=""),"",SUMIFS(OBJECTIFS!I$9:I$39,OBJECTIFS!$A$9:$A$39,$D62,OBJECTIFS!$C$9:$C$39,$F62))</f>
        <v/>
      </c>
      <c r="AB62" s="72" t="str">
        <f>IF(OR(AND($D62=OBJECTIFS!$B$6,OBJECTIFS!I$8="dmt"),AND($D62=OBJECTIFS!$B$13,OBJECTIFS!$I$15="dmt"),AND($D62=OBJECTIFS!$B$20,OBJECTIFS!$I$22="dmt"),AND($D62=OBJECTIFS!$B$27,OBJECTIFS!$I$29="dmt"),AND($D62=OBJECTIFS!$B$34,OBJECTIFS!$I$36="dmt"),AND($D62=OBJECTIFS!$B$6,OBJECTIFS!$I$8="taux de chute"),AND($D62=OBJECTIFS!$B$13,OBJECTIFS!$I$15="taux de chute"),AND($D62=OBJECTIFS!$B$20,OBJECTIFS!$I$22="taux de chute"),AND($D62=OBJECTIFS!$B$27,OBJECTIFS!$I$29="taux de chute"),AND($D62=OBJECTIFS!$B$34,OBJECTIFS!$I$36="taux de chute"),AND($D62=OBJECTIFS!$B$6,OBJECTIFS!I$8="tx mea"),AND($D62=OBJECTIFS!$B$13,OBJECTIFS!$I$15="tx mea"),AND($D62=OBJECTIFS!$B$20,OBJECTIFS!$I$22="tx mea"),AND($D62=OBJECTIFS!$B$27,OBJECTIFS!$I$29="tx mea"),AND($D62=OBJECTIFS!$B$34,OBJECTIFS!$I$36="tx mea")),IFERROR(AA62/Z62,""),IFERROR(Z62/AA62,""))</f>
        <v/>
      </c>
      <c r="AC62" s="155">
        <f>IFERROR(IF(OR(Z62="",AA62="",AB62=""),0,IF(AB62&lt;OBJECTIFS!$E$56,0,IF(AB62&lt;OBJECTIFS!$G$56,AC$8*OBJECTIFS!$F$60,IF(AB62&lt;OBJECTIFS!$I$56,AC$8*OBJECTIFS!$H$60,AC$8)))),0)</f>
        <v>0</v>
      </c>
      <c r="AD62" s="289"/>
      <c r="AE62" s="290"/>
      <c r="AF62" s="158">
        <f t="shared" ca="1" si="3"/>
        <v>0</v>
      </c>
      <c r="AG62" s="52"/>
      <c r="AH62" s="129"/>
      <c r="AI62" s="19"/>
      <c r="AJ62" s="19"/>
      <c r="AK62" s="19"/>
      <c r="AL62" s="19"/>
      <c r="AM62" s="63">
        <f t="shared" si="26"/>
        <v>0</v>
      </c>
      <c r="AN62" s="63">
        <f t="shared" si="8"/>
        <v>22</v>
      </c>
      <c r="AO62" s="64">
        <f t="shared" si="27"/>
        <v>0</v>
      </c>
      <c r="AP62" s="65" t="str">
        <f t="shared" ca="1" si="28"/>
        <v/>
      </c>
      <c r="AQ62" s="66"/>
      <c r="AR62" s="168">
        <f>IFERROR(VLOOKUP(B62,OBJECTIFS!$C$76:$E$137,2,FALSE),0)</f>
        <v>0</v>
      </c>
      <c r="AS62" s="173"/>
      <c r="AT62" s="170">
        <f>IFERROR(VLOOKUP(B62,OBJECTIFS!$H$76:$J$137,2,FALSE),0)</f>
        <v>0</v>
      </c>
      <c r="AU62" s="178">
        <f t="shared" si="6"/>
        <v>0</v>
      </c>
      <c r="AV62" s="173"/>
      <c r="AW62" s="74">
        <f>IFERROR(VLOOKUP(B62,OBJECTIFS!$C$142:$E$203,2,FALSE),0)</f>
        <v>0</v>
      </c>
      <c r="AX62" s="74">
        <f>IFERROR(VLOOKUP(B62,OBJECTIFS!$H$142:$J$203,2,FALSE),0)</f>
        <v>0</v>
      </c>
      <c r="AY62" s="174">
        <f>IFERROR(VLOOKUP(B62,OBJECTIFS!$F$208:$H$269,3,FALSE),0)</f>
        <v>0</v>
      </c>
      <c r="AZ62" s="66"/>
      <c r="BA62" s="75" t="str">
        <f t="shared" ca="1" si="7"/>
        <v/>
      </c>
      <c r="BB62" s="52"/>
      <c r="BC62" s="76">
        <f t="shared" ca="1" si="30"/>
        <v>0</v>
      </c>
      <c r="BD62" s="53" t="str">
        <f t="shared" ca="1" si="29"/>
        <v/>
      </c>
      <c r="BE62" s="77" t="str">
        <f t="shared" ca="1" si="31"/>
        <v/>
      </c>
    </row>
    <row r="63" spans="1:57" x14ac:dyDescent="0.2">
      <c r="A63" s="16"/>
      <c r="B63" s="17"/>
      <c r="C63" s="17"/>
      <c r="D63" s="18"/>
      <c r="E63" s="19"/>
      <c r="F63" s="27"/>
      <c r="H63" s="71" t="str">
        <f>IF(OR(D63="",F63="",A63=""),"",IF(E63="oui",0,IF(D63=OBJECTIFS!$C$45,VLOOKUP(F63,OBJECTIFS!$C$9:$D$11,2,FALSE),IF(D63=OBJECTIFS!$C$46,VLOOKUP(F63,OBJECTIFS!$C$16:$D$18,2,FALSE),IF(D63=OBJECTIFS!$C$47,VLOOKUP(F63,OBJECTIFS!$C$23:$D$25,2,FALSE),IF(D63=OBJECTIFS!$C$48,VLOOKUP(F63,OBJECTIFS!$C$30:$D$32,2,FALSE),IF(D63=OBJECTIFS!$C$49,VLOOKUP(F63,OBJECTIFS!$C$37:$D$39,2,FALSE))))))))</f>
        <v/>
      </c>
      <c r="J63" s="138"/>
      <c r="K63" s="141" t="str">
        <f>IF(OR($A63="",$D63="",J63=""),"",SUMIFS(OBJECTIFS!E$9:E$39,OBJECTIFS!$A$9:$A$39,$D63,OBJECTIFS!$C$9:$C$39,$F63))</f>
        <v/>
      </c>
      <c r="L63" s="72" t="str">
        <f>IF(OR(AND($D63=OBJECTIFS!$B$6,OBJECTIFS!E$8="dmt"),AND($D63=OBJECTIFS!$B$13,OBJECTIFS!$E$15="dmt"),AND($D63=OBJECTIFS!$B$20,OBJECTIFS!$E$22="dmt"),AND($D63=OBJECTIFS!$B$27,OBJECTIFS!$E$29="dmt"),AND($D63=OBJECTIFS!$B$34,OBJECTIFS!$E$36="dmt"),AND($D63=OBJECTIFS!$B$6,OBJECTIFS!$E$8="taux de chute"),AND($D63=OBJECTIFS!$B$13,OBJECTIFS!$E$15="taux de chute"),AND($D63=OBJECTIFS!$B$20,OBJECTIFS!$E$22="taux de chute"),AND($D63=OBJECTIFS!$B$27,OBJECTIFS!$E$29="taux de chute"),AND($D63=OBJECTIFS!$B$34,OBJECTIFS!$E$36="taux de chute"),AND($D63=OBJECTIFS!$B$6,OBJECTIFS!E$8="tx mea"),AND($D63=OBJECTIFS!$B$13,OBJECTIFS!$E$15="tx mea"),AND($D63=OBJECTIFS!$B$20,OBJECTIFS!$E$22="tx mea"),AND($D63=OBJECTIFS!$B$27,OBJECTIFS!$E$29="tx mea"),AND($D63=OBJECTIFS!$B$34,OBJECTIFS!$E$36="tx mea")),IFERROR(K63/J63,""),IFERROR(J63/K63,""))</f>
        <v/>
      </c>
      <c r="M63" s="149">
        <f>IFERROR(IF(OR(J63="",K63="",L63=""),0,IF(L63&lt;OBJECTIFS!$E$56,0,IF(L63&lt;OBJECTIFS!$G$56,M$8*OBJECTIFS!$F$60,IF(L63&lt;OBJECTIFS!$I$56,M$8*OBJECTIFS!$H$60,M$8)))),0)</f>
        <v>0</v>
      </c>
      <c r="N63" s="144"/>
      <c r="O63" s="145" t="str">
        <f>IF(OR($A63="",$D63="",N63=""),"",SUMIFS(OBJECTIFS!F$9:F$39,OBJECTIFS!$A$9:$A$39,$D63,OBJECTIFS!$C$9:$C$39,$F63))</f>
        <v/>
      </c>
      <c r="P63" s="72" t="str">
        <f>IF(OR(AND($D63=OBJECTIFS!$B$6,OBJECTIFS!$F$8="dmt"),AND($D63=OBJECTIFS!$B$13,OBJECTIFS!$F$15="dmt"),AND($D63=OBJECTIFS!$B$20,OBJECTIFS!$F$22="dmt"),AND($D63=OBJECTIFS!$B$27,OBJECTIFS!$F$29="dmt"),AND($D63=OBJECTIFS!$B$34,OBJECTIFS!$F$36="dmt"),AND($D63=OBJECTIFS!$B$6,OBJECTIFS!$F$8="taux de chute"),AND($D63=OBJECTIFS!$B$13,OBJECTIFS!$F$15="taux de chute"),AND($D63=OBJECTIFS!$B$20,OBJECTIFS!$F$22="taux de chute"),AND($D63=OBJECTIFS!$B$27,OBJECTIFS!$F$29="taux de chute"),AND($D63=OBJECTIFS!$B$34,OBJECTIFS!$F$36="taux de chute"),AND($D63=OBJECTIFS!$B$6,OBJECTIFS!$F$8="tx mea"),AND($D63=OBJECTIFS!$B$13,OBJECTIFS!$F$15="tx mea"),AND($D63=OBJECTIFS!$B$20,OBJECTIFS!$F$22="tx mea"),AND($D63=OBJECTIFS!$B$27,OBJECTIFS!$F$29="tx mea"),AND($D63=OBJECTIFS!$B$34,OBJECTIFS!$F$36="tx mea")),IFERROR(O63/N63,""),IFERROR(N63/O63,""))</f>
        <v/>
      </c>
      <c r="Q63" s="149">
        <f>IFERROR(IF(OR(N63="",O63="",P63=""),0,IF(P63&lt;OBJECTIFS!$E$56,0,IF(P63&lt;OBJECTIFS!$G$56,Q$8*OBJECTIFS!$F$60,IF(P63&lt;OBJECTIFS!$I$56,Q$8*OBJECTIFS!$H$60,Q$8)))),0)</f>
        <v>0</v>
      </c>
      <c r="R63" s="121"/>
      <c r="S63" s="73" t="str">
        <f>IF(OR($A63="",$D63="",R63=""),"",SUMIFS(OBJECTIFS!G$9:G$39,OBJECTIFS!$A$9:$A$39,$D63,OBJECTIFS!$C$9:$C$39,$F63))</f>
        <v/>
      </c>
      <c r="T63" s="72" t="str">
        <f>IF(OR(AND($D63=OBJECTIFS!$B$6,OBJECTIFS!G$8="dmt"),AND($D63=OBJECTIFS!$B$13,OBJECTIFS!$G$15="dmt"),AND($D63=OBJECTIFS!$B$20,OBJECTIFS!$G$22="dmt"),AND($D63=OBJECTIFS!$B$27,OBJECTIFS!$G$29="dmt"),AND($D63=OBJECTIFS!$B$34,OBJECTIFS!$G$36="dmt"),AND($D63=OBJECTIFS!$B$6,OBJECTIFS!$G$8="taux de chute"),AND($D63=OBJECTIFS!$B$13,OBJECTIFS!$G$15="taux de chute"),AND($D63=OBJECTIFS!$B$20,OBJECTIFS!$G$22="taux de chute"),AND($D63=OBJECTIFS!$B$27,OBJECTIFS!$G$29="taux de chute"),AND($D63=OBJECTIFS!$B$34,OBJECTIFS!$G$36="taux de chute",AND($D63=OBJECTIFS!$B$6,OBJECTIFS!G$8="tx mea"),AND($D63=OBJECTIFS!$B$13,OBJECTIFS!$G$15="tx mea"),AND($D63=OBJECTIFS!$B$20,OBJECTIFS!$G$22="tx mea"),AND($D63=OBJECTIFS!$B$27,OBJECTIFS!$G$29="tx mea"),AND($D63=OBJECTIFS!$B$34,OBJECTIFS!$G$36="tx mea"))),IFERROR(S63/R63,""),IFERROR(R63/S63,""))</f>
        <v/>
      </c>
      <c r="U63" s="152">
        <f>IFERROR(IF(OR(R63="",S63="",T63=""),0,IF(T63&lt;OBJECTIFS!$E$56,0,IF(T63&lt;OBJECTIFS!$G$56,U$8*OBJECTIFS!$F$60,IF(T63&lt;OBJECTIFS!$I$56,U$8*OBJECTIFS!$H$60,U$8)))),0)</f>
        <v>0</v>
      </c>
      <c r="V63" s="20"/>
      <c r="W63" s="72" t="str">
        <f>IF(OR($A63="",$D63="",V63=""),"",SUMIFS(OBJECTIFS!H$9:H$39,OBJECTIFS!$A$9:$A$39,$D63,OBJECTIFS!$C$9:$C$39,$F63))</f>
        <v/>
      </c>
      <c r="X63" s="72" t="str">
        <f>IF(OR(AND($D63=OBJECTIFS!$B$6,OBJECTIFS!H$8="dmt"),AND($D63=OBJECTIFS!$B$13,OBJECTIFS!$H$15="dmt"),AND($D63=OBJECTIFS!$B$20,OBJECTIFS!$H$22="dmt"),AND($D63=OBJECTIFS!$B$27,OBJECTIFS!$H$29="dmt"),AND($D63=OBJECTIFS!$B$34,OBJECTIFS!$H$36="dmt"),AND($D63=OBJECTIFS!$B$6,OBJECTIFS!$H$8="taux de chute"),AND($D63=OBJECTIFS!$B$13,OBJECTIFS!$H$15="taux de chute"),AND($D63=OBJECTIFS!$B$20,OBJECTIFS!$H$22="taux de chute"),AND($D63=OBJECTIFS!$B$27,OBJECTIFS!$H$29="taux de chute"),AND($D63=OBJECTIFS!$B$34,OBJECTIFS!$H$36="taux de chute"),AND($D63=OBJECTIFS!$B$6,OBJECTIFS!H$8="tx mea"),AND($D63=OBJECTIFS!$B$13,OBJECTIFS!$H$15="tx mea"),AND($D63=OBJECTIFS!$B$20,OBJECTIFS!$H$22="tx mea"),AND($D63=OBJECTIFS!$B$27,OBJECTIFS!$H$29="tx mea"),AND($D63=OBJECTIFS!$B$34,OBJECTIFS!$H$36="tx mea")),IFERROR(W63/V63,""),IFERROR(V63/W63,""))</f>
        <v/>
      </c>
      <c r="Y63" s="149">
        <f>IFERROR(IF(OR(V63="",W63="",X63=""),0,IF(X63&lt;OBJECTIFS!$E$56,0,IF(X63&lt;OBJECTIFS!$G$56,Y$8*OBJECTIFS!$F$60,IF(X63&lt;OBJECTIFS!$I$56,Y$8*OBJECTIFS!$H$60,Y$8)))),0)</f>
        <v>0</v>
      </c>
      <c r="Z63" s="124"/>
      <c r="AA63" s="72" t="str">
        <f>IF(OR($A63="",$D63="",Z63=""),"",SUMIFS(OBJECTIFS!I$9:I$39,OBJECTIFS!$A$9:$A$39,$D63,OBJECTIFS!$C$9:$C$39,$F63))</f>
        <v/>
      </c>
      <c r="AB63" s="72" t="str">
        <f>IF(OR(AND($D63=OBJECTIFS!$B$6,OBJECTIFS!I$8="dmt"),AND($D63=OBJECTIFS!$B$13,OBJECTIFS!$I$15="dmt"),AND($D63=OBJECTIFS!$B$20,OBJECTIFS!$I$22="dmt"),AND($D63=OBJECTIFS!$B$27,OBJECTIFS!$I$29="dmt"),AND($D63=OBJECTIFS!$B$34,OBJECTIFS!$I$36="dmt"),AND($D63=OBJECTIFS!$B$6,OBJECTIFS!$I$8="taux de chute"),AND($D63=OBJECTIFS!$B$13,OBJECTIFS!$I$15="taux de chute"),AND($D63=OBJECTIFS!$B$20,OBJECTIFS!$I$22="taux de chute"),AND($D63=OBJECTIFS!$B$27,OBJECTIFS!$I$29="taux de chute"),AND($D63=OBJECTIFS!$B$34,OBJECTIFS!$I$36="taux de chute"),AND($D63=OBJECTIFS!$B$6,OBJECTIFS!I$8="tx mea"),AND($D63=OBJECTIFS!$B$13,OBJECTIFS!$I$15="tx mea"),AND($D63=OBJECTIFS!$B$20,OBJECTIFS!$I$22="tx mea"),AND($D63=OBJECTIFS!$B$27,OBJECTIFS!$I$29="tx mea"),AND($D63=OBJECTIFS!$B$34,OBJECTIFS!$I$36="tx mea")),IFERROR(AA63/Z63,""),IFERROR(Z63/AA63,""))</f>
        <v/>
      </c>
      <c r="AC63" s="155">
        <f>IFERROR(IF(OR(Z63="",AA63="",AB63=""),0,IF(AB63&lt;OBJECTIFS!$E$56,0,IF(AB63&lt;OBJECTIFS!$G$56,AC$8*OBJECTIFS!$F$60,IF(AB63&lt;OBJECTIFS!$I$56,AC$8*OBJECTIFS!$H$60,AC$8)))),0)</f>
        <v>0</v>
      </c>
      <c r="AD63" s="289"/>
      <c r="AE63" s="290"/>
      <c r="AF63" s="158">
        <f t="shared" ca="1" si="3"/>
        <v>0</v>
      </c>
      <c r="AG63" s="52"/>
      <c r="AH63" s="129"/>
      <c r="AI63" s="19"/>
      <c r="AJ63" s="19"/>
      <c r="AK63" s="19"/>
      <c r="AL63" s="19"/>
      <c r="AM63" s="63">
        <f t="shared" si="26"/>
        <v>0</v>
      </c>
      <c r="AN63" s="63">
        <f t="shared" si="8"/>
        <v>22</v>
      </c>
      <c r="AO63" s="64">
        <f t="shared" si="27"/>
        <v>0</v>
      </c>
      <c r="AP63" s="65" t="str">
        <f t="shared" ca="1" si="28"/>
        <v/>
      </c>
      <c r="AQ63" s="66"/>
      <c r="AR63" s="168">
        <f>IFERROR(VLOOKUP(B63,OBJECTIFS!$C$76:$E$137,2,FALSE),0)</f>
        <v>0</v>
      </c>
      <c r="AS63" s="173"/>
      <c r="AT63" s="170">
        <f>IFERROR(VLOOKUP(B63,OBJECTIFS!$H$76:$J$137,2,FALSE),0)</f>
        <v>0</v>
      </c>
      <c r="AU63" s="178">
        <f t="shared" si="6"/>
        <v>0</v>
      </c>
      <c r="AV63" s="173"/>
      <c r="AW63" s="74">
        <f>IFERROR(VLOOKUP(B63,OBJECTIFS!$C$142:$E$203,2,FALSE),0)</f>
        <v>0</v>
      </c>
      <c r="AX63" s="74">
        <f>IFERROR(VLOOKUP(B63,OBJECTIFS!$H$142:$J$203,2,FALSE),0)</f>
        <v>0</v>
      </c>
      <c r="AY63" s="174">
        <f>IFERROR(VLOOKUP(B63,OBJECTIFS!$F$208:$H$269,3,FALSE),0)</f>
        <v>0</v>
      </c>
      <c r="AZ63" s="66"/>
      <c r="BA63" s="75" t="str">
        <f t="shared" ca="1" si="7"/>
        <v/>
      </c>
      <c r="BB63" s="52"/>
      <c r="BC63" s="76">
        <f t="shared" ca="1" si="30"/>
        <v>0</v>
      </c>
      <c r="BD63" s="53" t="str">
        <f t="shared" ca="1" si="29"/>
        <v/>
      </c>
      <c r="BE63" s="77" t="str">
        <f t="shared" ca="1" si="31"/>
        <v/>
      </c>
    </row>
    <row r="64" spans="1:57" x14ac:dyDescent="0.2">
      <c r="A64" s="16"/>
      <c r="B64" s="17"/>
      <c r="C64" s="17"/>
      <c r="D64" s="18"/>
      <c r="E64" s="19"/>
      <c r="F64" s="27"/>
      <c r="H64" s="71" t="str">
        <f>IF(OR(D64="",F64="",A64=""),"",IF(E64="oui",0,IF(D64=OBJECTIFS!$C$45,VLOOKUP(F64,OBJECTIFS!$C$9:$D$11,2,FALSE),IF(D64=OBJECTIFS!$C$46,VLOOKUP(F64,OBJECTIFS!$C$16:$D$18,2,FALSE),IF(D64=OBJECTIFS!$C$47,VLOOKUP(F64,OBJECTIFS!$C$23:$D$25,2,FALSE),IF(D64=OBJECTIFS!$C$48,VLOOKUP(F64,OBJECTIFS!$C$30:$D$32,2,FALSE),IF(D64=OBJECTIFS!$C$49,VLOOKUP(F64,OBJECTIFS!$C$37:$D$39,2,FALSE))))))))</f>
        <v/>
      </c>
      <c r="J64" s="138"/>
      <c r="K64" s="141" t="str">
        <f>IF(OR($A64="",$D64="",J64=""),"",SUMIFS(OBJECTIFS!E$9:E$39,OBJECTIFS!$A$9:$A$39,$D64,OBJECTIFS!$C$9:$C$39,$F64))</f>
        <v/>
      </c>
      <c r="L64" s="72" t="str">
        <f>IF(OR(AND($D64=OBJECTIFS!$B$6,OBJECTIFS!E$8="dmt"),AND($D64=OBJECTIFS!$B$13,OBJECTIFS!$E$15="dmt"),AND($D64=OBJECTIFS!$B$20,OBJECTIFS!$E$22="dmt"),AND($D64=OBJECTIFS!$B$27,OBJECTIFS!$E$29="dmt"),AND($D64=OBJECTIFS!$B$34,OBJECTIFS!$E$36="dmt"),AND($D64=OBJECTIFS!$B$6,OBJECTIFS!$E$8="taux de chute"),AND($D64=OBJECTIFS!$B$13,OBJECTIFS!$E$15="taux de chute"),AND($D64=OBJECTIFS!$B$20,OBJECTIFS!$E$22="taux de chute"),AND($D64=OBJECTIFS!$B$27,OBJECTIFS!$E$29="taux de chute"),AND($D64=OBJECTIFS!$B$34,OBJECTIFS!$E$36="taux de chute"),AND($D64=OBJECTIFS!$B$6,OBJECTIFS!E$8="tx mea"),AND($D64=OBJECTIFS!$B$13,OBJECTIFS!$E$15="tx mea"),AND($D64=OBJECTIFS!$B$20,OBJECTIFS!$E$22="tx mea"),AND($D64=OBJECTIFS!$B$27,OBJECTIFS!$E$29="tx mea"),AND($D64=OBJECTIFS!$B$34,OBJECTIFS!$E$36="tx mea")),IFERROR(K64/J64,""),IFERROR(J64/K64,""))</f>
        <v/>
      </c>
      <c r="M64" s="149">
        <f>IFERROR(IF(OR(J64="",K64="",L64=""),0,IF(L64&lt;OBJECTIFS!$E$56,0,IF(L64&lt;OBJECTIFS!$G$56,M$8*OBJECTIFS!$F$60,IF(L64&lt;OBJECTIFS!$I$56,M$8*OBJECTIFS!$H$60,M$8)))),0)</f>
        <v>0</v>
      </c>
      <c r="N64" s="144"/>
      <c r="O64" s="145" t="str">
        <f>IF(OR($A64="",$D64="",N64=""),"",SUMIFS(OBJECTIFS!F$9:F$39,OBJECTIFS!$A$9:$A$39,$D64,OBJECTIFS!$C$9:$C$39,$F64))</f>
        <v/>
      </c>
      <c r="P64" s="72" t="str">
        <f>IF(OR(AND($D64=OBJECTIFS!$B$6,OBJECTIFS!$F$8="dmt"),AND($D64=OBJECTIFS!$B$13,OBJECTIFS!$F$15="dmt"),AND($D64=OBJECTIFS!$B$20,OBJECTIFS!$F$22="dmt"),AND($D64=OBJECTIFS!$B$27,OBJECTIFS!$F$29="dmt"),AND($D64=OBJECTIFS!$B$34,OBJECTIFS!$F$36="dmt"),AND($D64=OBJECTIFS!$B$6,OBJECTIFS!$F$8="taux de chute"),AND($D64=OBJECTIFS!$B$13,OBJECTIFS!$F$15="taux de chute"),AND($D64=OBJECTIFS!$B$20,OBJECTIFS!$F$22="taux de chute"),AND($D64=OBJECTIFS!$B$27,OBJECTIFS!$F$29="taux de chute"),AND($D64=OBJECTIFS!$B$34,OBJECTIFS!$F$36="taux de chute"),AND($D64=OBJECTIFS!$B$6,OBJECTIFS!$F$8="tx mea"),AND($D64=OBJECTIFS!$B$13,OBJECTIFS!$F$15="tx mea"),AND($D64=OBJECTIFS!$B$20,OBJECTIFS!$F$22="tx mea"),AND($D64=OBJECTIFS!$B$27,OBJECTIFS!$F$29="tx mea"),AND($D64=OBJECTIFS!$B$34,OBJECTIFS!$F$36="tx mea")),IFERROR(O64/N64,""),IFERROR(N64/O64,""))</f>
        <v/>
      </c>
      <c r="Q64" s="149">
        <f>IFERROR(IF(OR(N64="",O64="",P64=""),0,IF(P64&lt;OBJECTIFS!$E$56,0,IF(P64&lt;OBJECTIFS!$G$56,Q$8*OBJECTIFS!$F$60,IF(P64&lt;OBJECTIFS!$I$56,Q$8*OBJECTIFS!$H$60,Q$8)))),0)</f>
        <v>0</v>
      </c>
      <c r="R64" s="121"/>
      <c r="S64" s="73" t="str">
        <f>IF(OR($A64="",$D64="",R64=""),"",SUMIFS(OBJECTIFS!G$9:G$39,OBJECTIFS!$A$9:$A$39,$D64,OBJECTIFS!$C$9:$C$39,$F64))</f>
        <v/>
      </c>
      <c r="T64" s="72" t="str">
        <f>IF(OR(AND($D64=OBJECTIFS!$B$6,OBJECTIFS!G$8="dmt"),AND($D64=OBJECTIFS!$B$13,OBJECTIFS!$G$15="dmt"),AND($D64=OBJECTIFS!$B$20,OBJECTIFS!$G$22="dmt"),AND($D64=OBJECTIFS!$B$27,OBJECTIFS!$G$29="dmt"),AND($D64=OBJECTIFS!$B$34,OBJECTIFS!$G$36="dmt"),AND($D64=OBJECTIFS!$B$6,OBJECTIFS!$G$8="taux de chute"),AND($D64=OBJECTIFS!$B$13,OBJECTIFS!$G$15="taux de chute"),AND($D64=OBJECTIFS!$B$20,OBJECTIFS!$G$22="taux de chute"),AND($D64=OBJECTIFS!$B$27,OBJECTIFS!$G$29="taux de chute"),AND($D64=OBJECTIFS!$B$34,OBJECTIFS!$G$36="taux de chute",AND($D64=OBJECTIFS!$B$6,OBJECTIFS!G$8="tx mea"),AND($D64=OBJECTIFS!$B$13,OBJECTIFS!$G$15="tx mea"),AND($D64=OBJECTIFS!$B$20,OBJECTIFS!$G$22="tx mea"),AND($D64=OBJECTIFS!$B$27,OBJECTIFS!$G$29="tx mea"),AND($D64=OBJECTIFS!$B$34,OBJECTIFS!$G$36="tx mea"))),IFERROR(S64/R64,""),IFERROR(R64/S64,""))</f>
        <v/>
      </c>
      <c r="U64" s="152">
        <f>IFERROR(IF(OR(R64="",S64="",T64=""),0,IF(T64&lt;OBJECTIFS!$E$56,0,IF(T64&lt;OBJECTIFS!$G$56,U$8*OBJECTIFS!$F$60,IF(T64&lt;OBJECTIFS!$I$56,U$8*OBJECTIFS!$H$60,U$8)))),0)</f>
        <v>0</v>
      </c>
      <c r="V64" s="20"/>
      <c r="W64" s="72" t="str">
        <f>IF(OR($A64="",$D64="",V64=""),"",SUMIFS(OBJECTIFS!H$9:H$39,OBJECTIFS!$A$9:$A$39,$D64,OBJECTIFS!$C$9:$C$39,$F64))</f>
        <v/>
      </c>
      <c r="X64" s="72" t="str">
        <f>IF(OR(AND($D64=OBJECTIFS!$B$6,OBJECTIFS!H$8="dmt"),AND($D64=OBJECTIFS!$B$13,OBJECTIFS!$H$15="dmt"),AND($D64=OBJECTIFS!$B$20,OBJECTIFS!$H$22="dmt"),AND($D64=OBJECTIFS!$B$27,OBJECTIFS!$H$29="dmt"),AND($D64=OBJECTIFS!$B$34,OBJECTIFS!$H$36="dmt"),AND($D64=OBJECTIFS!$B$6,OBJECTIFS!$H$8="taux de chute"),AND($D64=OBJECTIFS!$B$13,OBJECTIFS!$H$15="taux de chute"),AND($D64=OBJECTIFS!$B$20,OBJECTIFS!$H$22="taux de chute"),AND($D64=OBJECTIFS!$B$27,OBJECTIFS!$H$29="taux de chute"),AND($D64=OBJECTIFS!$B$34,OBJECTIFS!$H$36="taux de chute"),AND($D64=OBJECTIFS!$B$6,OBJECTIFS!H$8="tx mea"),AND($D64=OBJECTIFS!$B$13,OBJECTIFS!$H$15="tx mea"),AND($D64=OBJECTIFS!$B$20,OBJECTIFS!$H$22="tx mea"),AND($D64=OBJECTIFS!$B$27,OBJECTIFS!$H$29="tx mea"),AND($D64=OBJECTIFS!$B$34,OBJECTIFS!$H$36="tx mea")),IFERROR(W64/V64,""),IFERROR(V64/W64,""))</f>
        <v/>
      </c>
      <c r="Y64" s="149">
        <f>IFERROR(IF(OR(V64="",W64="",X64=""),0,IF(X64&lt;OBJECTIFS!$E$56,0,IF(X64&lt;OBJECTIFS!$G$56,Y$8*OBJECTIFS!$F$60,IF(X64&lt;OBJECTIFS!$I$56,Y$8*OBJECTIFS!$H$60,Y$8)))),0)</f>
        <v>0</v>
      </c>
      <c r="Z64" s="124"/>
      <c r="AA64" s="72" t="str">
        <f>IF(OR($A64="",$D64="",Z64=""),"",SUMIFS(OBJECTIFS!I$9:I$39,OBJECTIFS!$A$9:$A$39,$D64,OBJECTIFS!$C$9:$C$39,$F64))</f>
        <v/>
      </c>
      <c r="AB64" s="72" t="str">
        <f>IF(OR(AND($D64=OBJECTIFS!$B$6,OBJECTIFS!I$8="dmt"),AND($D64=OBJECTIFS!$B$13,OBJECTIFS!$I$15="dmt"),AND($D64=OBJECTIFS!$B$20,OBJECTIFS!$I$22="dmt"),AND($D64=OBJECTIFS!$B$27,OBJECTIFS!$I$29="dmt"),AND($D64=OBJECTIFS!$B$34,OBJECTIFS!$I$36="dmt"),AND($D64=OBJECTIFS!$B$6,OBJECTIFS!$I$8="taux de chute"),AND($D64=OBJECTIFS!$B$13,OBJECTIFS!$I$15="taux de chute"),AND($D64=OBJECTIFS!$B$20,OBJECTIFS!$I$22="taux de chute"),AND($D64=OBJECTIFS!$B$27,OBJECTIFS!$I$29="taux de chute"),AND($D64=OBJECTIFS!$B$34,OBJECTIFS!$I$36="taux de chute"),AND($D64=OBJECTIFS!$B$6,OBJECTIFS!I$8="tx mea"),AND($D64=OBJECTIFS!$B$13,OBJECTIFS!$I$15="tx mea"),AND($D64=OBJECTIFS!$B$20,OBJECTIFS!$I$22="tx mea"),AND($D64=OBJECTIFS!$B$27,OBJECTIFS!$I$29="tx mea"),AND($D64=OBJECTIFS!$B$34,OBJECTIFS!$I$36="tx mea")),IFERROR(AA64/Z64,""),IFERROR(Z64/AA64,""))</f>
        <v/>
      </c>
      <c r="AC64" s="155">
        <f>IFERROR(IF(OR(Z64="",AA64="",AB64=""),0,IF(AB64&lt;OBJECTIFS!$E$56,0,IF(AB64&lt;OBJECTIFS!$G$56,AC$8*OBJECTIFS!$F$60,IF(AB64&lt;OBJECTIFS!$I$56,AC$8*OBJECTIFS!$H$60,AC$8)))),0)</f>
        <v>0</v>
      </c>
      <c r="AD64" s="289"/>
      <c r="AE64" s="290"/>
      <c r="AF64" s="158">
        <f t="shared" ca="1" si="3"/>
        <v>0</v>
      </c>
      <c r="AG64" s="52"/>
      <c r="AH64" s="126"/>
      <c r="AI64" s="19"/>
      <c r="AJ64" s="19"/>
      <c r="AK64" s="19"/>
      <c r="AL64" s="19"/>
      <c r="AM64" s="63">
        <f t="shared" si="4"/>
        <v>0</v>
      </c>
      <c r="AN64" s="63">
        <f t="shared" si="8"/>
        <v>22</v>
      </c>
      <c r="AO64" s="64">
        <f t="shared" si="5"/>
        <v>0</v>
      </c>
      <c r="AP64" s="65" t="str">
        <f t="shared" ca="1" si="0"/>
        <v/>
      </c>
      <c r="AQ64" s="66"/>
      <c r="AR64" s="168">
        <f>IFERROR(VLOOKUP(B64,OBJECTIFS!$C$76:$E$137,2,FALSE),0)</f>
        <v>0</v>
      </c>
      <c r="AS64" s="173"/>
      <c r="AT64" s="170">
        <f>IFERROR(VLOOKUP(B64,OBJECTIFS!$H$76:$J$137,2,FALSE),0)</f>
        <v>0</v>
      </c>
      <c r="AU64" s="178">
        <f t="shared" si="6"/>
        <v>0</v>
      </c>
      <c r="AV64" s="173"/>
      <c r="AW64" s="74">
        <f>IFERROR(VLOOKUP(B64,OBJECTIFS!$C$142:$E$203,2,FALSE),0)</f>
        <v>0</v>
      </c>
      <c r="AX64" s="74">
        <f>IFERROR(VLOOKUP(B64,OBJECTIFS!$H$142:$J$203,2,FALSE),0)</f>
        <v>0</v>
      </c>
      <c r="AY64" s="174">
        <f>IFERROR(VLOOKUP(B64,OBJECTIFS!$F$208:$H$269,3,FALSE),0)</f>
        <v>0</v>
      </c>
      <c r="AZ64" s="66"/>
      <c r="BA64" s="75" t="str">
        <f t="shared" ca="1" si="7"/>
        <v/>
      </c>
      <c r="BB64" s="52"/>
      <c r="BC64" s="76">
        <f t="shared" ca="1" si="30"/>
        <v>0</v>
      </c>
      <c r="BD64" s="53" t="str">
        <f ca="1">IF(BE64="","","è")</f>
        <v/>
      </c>
      <c r="BE64" s="78" t="str">
        <f t="shared" ca="1" si="31"/>
        <v/>
      </c>
    </row>
    <row r="65" spans="1:57" x14ac:dyDescent="0.2">
      <c r="A65" s="16"/>
      <c r="B65" s="17"/>
      <c r="C65" s="17"/>
      <c r="D65" s="18"/>
      <c r="E65" s="19"/>
      <c r="F65" s="27"/>
      <c r="H65" s="71" t="str">
        <f>IF(OR(D65="",F65="",A65=""),"",IF(E65="oui",0,IF(D65=OBJECTIFS!$C$45,VLOOKUP(F65,OBJECTIFS!$C$9:$D$11,2,FALSE),IF(D65=OBJECTIFS!$C$46,VLOOKUP(F65,OBJECTIFS!$C$16:$D$18,2,FALSE),IF(D65=OBJECTIFS!$C$47,VLOOKUP(F65,OBJECTIFS!$C$23:$D$25,2,FALSE),IF(D65=OBJECTIFS!$C$48,VLOOKUP(F65,OBJECTIFS!$C$30:$D$32,2,FALSE),IF(D65=OBJECTIFS!$C$49,VLOOKUP(F65,OBJECTIFS!$C$37:$D$39,2,FALSE))))))))</f>
        <v/>
      </c>
      <c r="J65" s="138"/>
      <c r="K65" s="141" t="str">
        <f>IF(OR($A65="",$D65="",J65=""),"",SUMIFS(OBJECTIFS!E$9:E$39,OBJECTIFS!$A$9:$A$39,$D65,OBJECTIFS!$C$9:$C$39,$F65))</f>
        <v/>
      </c>
      <c r="L65" s="72" t="str">
        <f>IF(OR(AND($D65=OBJECTIFS!$B$6,OBJECTIFS!E$8="dmt"),AND($D65=OBJECTIFS!$B$13,OBJECTIFS!$E$15="dmt"),AND($D65=OBJECTIFS!$B$20,OBJECTIFS!$E$22="dmt"),AND($D65=OBJECTIFS!$B$27,OBJECTIFS!$E$29="dmt"),AND($D65=OBJECTIFS!$B$34,OBJECTIFS!$E$36="dmt"),AND($D65=OBJECTIFS!$B$6,OBJECTIFS!$E$8="taux de chute"),AND($D65=OBJECTIFS!$B$13,OBJECTIFS!$E$15="taux de chute"),AND($D65=OBJECTIFS!$B$20,OBJECTIFS!$E$22="taux de chute"),AND($D65=OBJECTIFS!$B$27,OBJECTIFS!$E$29="taux de chute"),AND($D65=OBJECTIFS!$B$34,OBJECTIFS!$E$36="taux de chute"),AND($D65=OBJECTIFS!$B$6,OBJECTIFS!E$8="tx mea"),AND($D65=OBJECTIFS!$B$13,OBJECTIFS!$E$15="tx mea"),AND($D65=OBJECTIFS!$B$20,OBJECTIFS!$E$22="tx mea"),AND($D65=OBJECTIFS!$B$27,OBJECTIFS!$E$29="tx mea"),AND($D65=OBJECTIFS!$B$34,OBJECTIFS!$E$36="tx mea")),IFERROR(K65/J65,""),IFERROR(J65/K65,""))</f>
        <v/>
      </c>
      <c r="M65" s="149">
        <f>IFERROR(IF(OR(J65="",K65="",L65=""),0,IF(L65&lt;OBJECTIFS!$E$56,0,IF(L65&lt;OBJECTIFS!$G$56,M$8*OBJECTIFS!$F$60,IF(L65&lt;OBJECTIFS!$I$56,M$8*OBJECTIFS!$H$60,M$8)))),0)</f>
        <v>0</v>
      </c>
      <c r="N65" s="144"/>
      <c r="O65" s="145" t="str">
        <f>IF(OR($A65="",$D65="",N65=""),"",SUMIFS(OBJECTIFS!F$9:F$39,OBJECTIFS!$A$9:$A$39,$D65,OBJECTIFS!$C$9:$C$39,$F65))</f>
        <v/>
      </c>
      <c r="P65" s="72" t="str">
        <f>IF(OR(AND($D65=OBJECTIFS!$B$6,OBJECTIFS!$F$8="dmt"),AND($D65=OBJECTIFS!$B$13,OBJECTIFS!$F$15="dmt"),AND($D65=OBJECTIFS!$B$20,OBJECTIFS!$F$22="dmt"),AND($D65=OBJECTIFS!$B$27,OBJECTIFS!$F$29="dmt"),AND($D65=OBJECTIFS!$B$34,OBJECTIFS!$F$36="dmt"),AND($D65=OBJECTIFS!$B$6,OBJECTIFS!$F$8="taux de chute"),AND($D65=OBJECTIFS!$B$13,OBJECTIFS!$F$15="taux de chute"),AND($D65=OBJECTIFS!$B$20,OBJECTIFS!$F$22="taux de chute"),AND($D65=OBJECTIFS!$B$27,OBJECTIFS!$F$29="taux de chute"),AND($D65=OBJECTIFS!$B$34,OBJECTIFS!$F$36="taux de chute"),AND($D65=OBJECTIFS!$B$6,OBJECTIFS!$F$8="tx mea"),AND($D65=OBJECTIFS!$B$13,OBJECTIFS!$F$15="tx mea"),AND($D65=OBJECTIFS!$B$20,OBJECTIFS!$F$22="tx mea"),AND($D65=OBJECTIFS!$B$27,OBJECTIFS!$F$29="tx mea"),AND($D65=OBJECTIFS!$B$34,OBJECTIFS!$F$36="tx mea")),IFERROR(O65/N65,""),IFERROR(N65/O65,""))</f>
        <v/>
      </c>
      <c r="Q65" s="149">
        <f>IFERROR(IF(OR(N65="",O65="",P65=""),0,IF(P65&lt;OBJECTIFS!$E$56,0,IF(P65&lt;OBJECTIFS!$G$56,Q$8*OBJECTIFS!$F$60,IF(P65&lt;OBJECTIFS!$I$56,Q$8*OBJECTIFS!$H$60,Q$8)))),0)</f>
        <v>0</v>
      </c>
      <c r="R65" s="121"/>
      <c r="S65" s="73" t="str">
        <f>IF(OR($A65="",$D65="",R65=""),"",SUMIFS(OBJECTIFS!G$9:G$39,OBJECTIFS!$A$9:$A$39,$D65,OBJECTIFS!$C$9:$C$39,$F65))</f>
        <v/>
      </c>
      <c r="T65" s="72" t="str">
        <f>IF(OR(AND($D65=OBJECTIFS!$B$6,OBJECTIFS!G$8="dmt"),AND($D65=OBJECTIFS!$B$13,OBJECTIFS!$G$15="dmt"),AND($D65=OBJECTIFS!$B$20,OBJECTIFS!$G$22="dmt"),AND($D65=OBJECTIFS!$B$27,OBJECTIFS!$G$29="dmt"),AND($D65=OBJECTIFS!$B$34,OBJECTIFS!$G$36="dmt"),AND($D65=OBJECTIFS!$B$6,OBJECTIFS!$G$8="taux de chute"),AND($D65=OBJECTIFS!$B$13,OBJECTIFS!$G$15="taux de chute"),AND($D65=OBJECTIFS!$B$20,OBJECTIFS!$G$22="taux de chute"),AND($D65=OBJECTIFS!$B$27,OBJECTIFS!$G$29="taux de chute"),AND($D65=OBJECTIFS!$B$34,OBJECTIFS!$G$36="taux de chute",AND($D65=OBJECTIFS!$B$6,OBJECTIFS!G$8="tx mea"),AND($D65=OBJECTIFS!$B$13,OBJECTIFS!$G$15="tx mea"),AND($D65=OBJECTIFS!$B$20,OBJECTIFS!$G$22="tx mea"),AND($D65=OBJECTIFS!$B$27,OBJECTIFS!$G$29="tx mea"),AND($D65=OBJECTIFS!$B$34,OBJECTIFS!$G$36="tx mea"))),IFERROR(S65/R65,""),IFERROR(R65/S65,""))</f>
        <v/>
      </c>
      <c r="U65" s="152">
        <f>IFERROR(IF(OR(R65="",S65="",T65=""),0,IF(T65&lt;OBJECTIFS!$E$56,0,IF(T65&lt;OBJECTIFS!$G$56,U$8*OBJECTIFS!$F$60,IF(T65&lt;OBJECTIFS!$I$56,U$8*OBJECTIFS!$H$60,U$8)))),0)</f>
        <v>0</v>
      </c>
      <c r="V65" s="20"/>
      <c r="W65" s="72" t="str">
        <f>IF(OR($A65="",$D65="",V65=""),"",SUMIFS(OBJECTIFS!H$9:H$39,OBJECTIFS!$A$9:$A$39,$D65,OBJECTIFS!$C$9:$C$39,$F65))</f>
        <v/>
      </c>
      <c r="X65" s="72" t="str">
        <f>IF(OR(AND($D65=OBJECTIFS!$B$6,OBJECTIFS!H$8="dmt"),AND($D65=OBJECTIFS!$B$13,OBJECTIFS!$H$15="dmt"),AND($D65=OBJECTIFS!$B$20,OBJECTIFS!$H$22="dmt"),AND($D65=OBJECTIFS!$B$27,OBJECTIFS!$H$29="dmt"),AND($D65=OBJECTIFS!$B$34,OBJECTIFS!$H$36="dmt"),AND($D65=OBJECTIFS!$B$6,OBJECTIFS!$H$8="taux de chute"),AND($D65=OBJECTIFS!$B$13,OBJECTIFS!$H$15="taux de chute"),AND($D65=OBJECTIFS!$B$20,OBJECTIFS!$H$22="taux de chute"),AND($D65=OBJECTIFS!$B$27,OBJECTIFS!$H$29="taux de chute"),AND($D65=OBJECTIFS!$B$34,OBJECTIFS!$H$36="taux de chute"),AND($D65=OBJECTIFS!$B$6,OBJECTIFS!H$8="tx mea"),AND($D65=OBJECTIFS!$B$13,OBJECTIFS!$H$15="tx mea"),AND($D65=OBJECTIFS!$B$20,OBJECTIFS!$H$22="tx mea"),AND($D65=OBJECTIFS!$B$27,OBJECTIFS!$H$29="tx mea"),AND($D65=OBJECTIFS!$B$34,OBJECTIFS!$H$36="tx mea")),IFERROR(W65/V65,""),IFERROR(V65/W65,""))</f>
        <v/>
      </c>
      <c r="Y65" s="149">
        <f>IFERROR(IF(OR(V65="",W65="",X65=""),0,IF(X65&lt;OBJECTIFS!$E$56,0,IF(X65&lt;OBJECTIFS!$G$56,Y$8*OBJECTIFS!$F$60,IF(X65&lt;OBJECTIFS!$I$56,Y$8*OBJECTIFS!$H$60,Y$8)))),0)</f>
        <v>0</v>
      </c>
      <c r="Z65" s="124"/>
      <c r="AA65" s="72" t="str">
        <f>IF(OR($A65="",$D65="",Z65=""),"",SUMIFS(OBJECTIFS!I$9:I$39,OBJECTIFS!$A$9:$A$39,$D65,OBJECTIFS!$C$9:$C$39,$F65))</f>
        <v/>
      </c>
      <c r="AB65" s="72" t="str">
        <f>IF(OR(AND($D65=OBJECTIFS!$B$6,OBJECTIFS!I$8="dmt"),AND($D65=OBJECTIFS!$B$13,OBJECTIFS!$I$15="dmt"),AND($D65=OBJECTIFS!$B$20,OBJECTIFS!$I$22="dmt"),AND($D65=OBJECTIFS!$B$27,OBJECTIFS!$I$29="dmt"),AND($D65=OBJECTIFS!$B$34,OBJECTIFS!$I$36="dmt"),AND($D65=OBJECTIFS!$B$6,OBJECTIFS!$I$8="taux de chute"),AND($D65=OBJECTIFS!$B$13,OBJECTIFS!$I$15="taux de chute"),AND($D65=OBJECTIFS!$B$20,OBJECTIFS!$I$22="taux de chute"),AND($D65=OBJECTIFS!$B$27,OBJECTIFS!$I$29="taux de chute"),AND($D65=OBJECTIFS!$B$34,OBJECTIFS!$I$36="taux de chute"),AND($D65=OBJECTIFS!$B$6,OBJECTIFS!I$8="tx mea"),AND($D65=OBJECTIFS!$B$13,OBJECTIFS!$I$15="tx mea"),AND($D65=OBJECTIFS!$B$20,OBJECTIFS!$I$22="tx mea"),AND($D65=OBJECTIFS!$B$27,OBJECTIFS!$I$29="tx mea"),AND($D65=OBJECTIFS!$B$34,OBJECTIFS!$I$36="tx mea")),IFERROR(AA65/Z65,""),IFERROR(Z65/AA65,""))</f>
        <v/>
      </c>
      <c r="AC65" s="155">
        <f>IFERROR(IF(OR(Z65="",AA65="",AB65=""),0,IF(AB65&lt;OBJECTIFS!$E$56,0,IF(AB65&lt;OBJECTIFS!$G$56,AC$8*OBJECTIFS!$F$60,IF(AB65&lt;OBJECTIFS!$I$56,AC$8*OBJECTIFS!$H$60,AC$8)))),0)</f>
        <v>0</v>
      </c>
      <c r="AD65" s="289"/>
      <c r="AE65" s="290"/>
      <c r="AF65" s="158">
        <f t="shared" ca="1" si="3"/>
        <v>0</v>
      </c>
      <c r="AG65" s="52"/>
      <c r="AH65" s="126"/>
      <c r="AI65" s="19"/>
      <c r="AJ65" s="19"/>
      <c r="AK65" s="19"/>
      <c r="AL65" s="19"/>
      <c r="AM65" s="63">
        <f t="shared" si="4"/>
        <v>0</v>
      </c>
      <c r="AN65" s="63">
        <f>AN64</f>
        <v>22</v>
      </c>
      <c r="AO65" s="64">
        <f t="shared" si="5"/>
        <v>0</v>
      </c>
      <c r="AP65" s="65" t="str">
        <f t="shared" ca="1" si="0"/>
        <v/>
      </c>
      <c r="AQ65" s="66"/>
      <c r="AR65" s="168">
        <f>IFERROR(VLOOKUP(B65,OBJECTIFS!$C$76:$E$137,2,FALSE),0)</f>
        <v>0</v>
      </c>
      <c r="AS65" s="173"/>
      <c r="AT65" s="170">
        <f>IFERROR(VLOOKUP(B65,OBJECTIFS!$H$76:$J$137,2,FALSE),0)</f>
        <v>0</v>
      </c>
      <c r="AU65" s="178">
        <f t="shared" si="6"/>
        <v>0</v>
      </c>
      <c r="AV65" s="173"/>
      <c r="AW65" s="74">
        <f>IFERROR(VLOOKUP(B65,OBJECTIFS!$C$142:$E$203,2,FALSE),0)</f>
        <v>0</v>
      </c>
      <c r="AX65" s="74">
        <f>IFERROR(VLOOKUP(B65,OBJECTIFS!$H$142:$J$203,2,FALSE),0)</f>
        <v>0</v>
      </c>
      <c r="AY65" s="174">
        <f>IFERROR(VLOOKUP(B65,OBJECTIFS!$F$208:$H$269,3,FALSE),0)</f>
        <v>0</v>
      </c>
      <c r="AZ65" s="66"/>
      <c r="BA65" s="75" t="str">
        <f t="shared" ca="1" si="7"/>
        <v/>
      </c>
      <c r="BB65" s="52"/>
      <c r="BC65" s="76">
        <f t="shared" ca="1" si="30"/>
        <v>0</v>
      </c>
      <c r="BD65" s="53" t="str">
        <f t="shared" ca="1" si="2"/>
        <v/>
      </c>
      <c r="BE65" s="77" t="str">
        <f t="shared" ca="1" si="31"/>
        <v/>
      </c>
    </row>
    <row r="66" spans="1:57" x14ac:dyDescent="0.2">
      <c r="A66" s="16"/>
      <c r="B66" s="17"/>
      <c r="C66" s="17"/>
      <c r="D66" s="18"/>
      <c r="E66" s="19"/>
      <c r="F66" s="27"/>
      <c r="H66" s="71" t="str">
        <f>IF(OR(D66="",F66="",A66=""),"",IF(E66="oui",0,IF(D66=OBJECTIFS!$C$45,VLOOKUP(F66,OBJECTIFS!$C$9:$D$11,2,FALSE),IF(D66=OBJECTIFS!$C$46,VLOOKUP(F66,OBJECTIFS!$C$16:$D$18,2,FALSE),IF(D66=OBJECTIFS!$C$47,VLOOKUP(F66,OBJECTIFS!$C$23:$D$25,2,FALSE),IF(D66=OBJECTIFS!$C$48,VLOOKUP(F66,OBJECTIFS!$C$30:$D$32,2,FALSE),IF(D66=OBJECTIFS!$C$49,VLOOKUP(F66,OBJECTIFS!$C$37:$D$39,2,FALSE))))))))</f>
        <v/>
      </c>
      <c r="J66" s="138"/>
      <c r="K66" s="141" t="str">
        <f>IF(OR($A66="",$D66="",J66=""),"",SUMIFS(OBJECTIFS!E$9:E$39,OBJECTIFS!$A$9:$A$39,$D66,OBJECTIFS!$C$9:$C$39,$F66))</f>
        <v/>
      </c>
      <c r="L66" s="72" t="str">
        <f>IF(OR(AND($D66=OBJECTIFS!$B$6,OBJECTIFS!E$8="dmt"),AND($D66=OBJECTIFS!$B$13,OBJECTIFS!$E$15="dmt"),AND($D66=OBJECTIFS!$B$20,OBJECTIFS!$E$22="dmt"),AND($D66=OBJECTIFS!$B$27,OBJECTIFS!$E$29="dmt"),AND($D66=OBJECTIFS!$B$34,OBJECTIFS!$E$36="dmt"),AND($D66=OBJECTIFS!$B$6,OBJECTIFS!$E$8="taux de chute"),AND($D66=OBJECTIFS!$B$13,OBJECTIFS!$E$15="taux de chute"),AND($D66=OBJECTIFS!$B$20,OBJECTIFS!$E$22="taux de chute"),AND($D66=OBJECTIFS!$B$27,OBJECTIFS!$E$29="taux de chute"),AND($D66=OBJECTIFS!$B$34,OBJECTIFS!$E$36="taux de chute"),AND($D66=OBJECTIFS!$B$6,OBJECTIFS!E$8="tx mea"),AND($D66=OBJECTIFS!$B$13,OBJECTIFS!$E$15="tx mea"),AND($D66=OBJECTIFS!$B$20,OBJECTIFS!$E$22="tx mea"),AND($D66=OBJECTIFS!$B$27,OBJECTIFS!$E$29="tx mea"),AND($D66=OBJECTIFS!$B$34,OBJECTIFS!$E$36="tx mea")),IFERROR(K66/J66,""),IFERROR(J66/K66,""))</f>
        <v/>
      </c>
      <c r="M66" s="149">
        <f>IFERROR(IF(OR(J66="",K66="",L66=""),0,IF(L66&lt;OBJECTIFS!$E$56,0,IF(L66&lt;OBJECTIFS!$G$56,M$8*OBJECTIFS!$F$60,IF(L66&lt;OBJECTIFS!$I$56,M$8*OBJECTIFS!$H$60,M$8)))),0)</f>
        <v>0</v>
      </c>
      <c r="N66" s="144"/>
      <c r="O66" s="145" t="str">
        <f>IF(OR($A66="",$D66="",N66=""),"",SUMIFS(OBJECTIFS!F$9:F$39,OBJECTIFS!$A$9:$A$39,$D66,OBJECTIFS!$C$9:$C$39,$F66))</f>
        <v/>
      </c>
      <c r="P66" s="72" t="str">
        <f>IF(OR(AND($D66=OBJECTIFS!$B$6,OBJECTIFS!$F$8="dmt"),AND($D66=OBJECTIFS!$B$13,OBJECTIFS!$F$15="dmt"),AND($D66=OBJECTIFS!$B$20,OBJECTIFS!$F$22="dmt"),AND($D66=OBJECTIFS!$B$27,OBJECTIFS!$F$29="dmt"),AND($D66=OBJECTIFS!$B$34,OBJECTIFS!$F$36="dmt"),AND($D66=OBJECTIFS!$B$6,OBJECTIFS!$F$8="taux de chute"),AND($D66=OBJECTIFS!$B$13,OBJECTIFS!$F$15="taux de chute"),AND($D66=OBJECTIFS!$B$20,OBJECTIFS!$F$22="taux de chute"),AND($D66=OBJECTIFS!$B$27,OBJECTIFS!$F$29="taux de chute"),AND($D66=OBJECTIFS!$B$34,OBJECTIFS!$F$36="taux de chute"),AND($D66=OBJECTIFS!$B$6,OBJECTIFS!$F$8="tx mea"),AND($D66=OBJECTIFS!$B$13,OBJECTIFS!$F$15="tx mea"),AND($D66=OBJECTIFS!$B$20,OBJECTIFS!$F$22="tx mea"),AND($D66=OBJECTIFS!$B$27,OBJECTIFS!$F$29="tx mea"),AND($D66=OBJECTIFS!$B$34,OBJECTIFS!$F$36="tx mea")),IFERROR(O66/N66,""),IFERROR(N66/O66,""))</f>
        <v/>
      </c>
      <c r="Q66" s="149">
        <f>IFERROR(IF(OR(N66="",O66="",P66=""),0,IF(P66&lt;OBJECTIFS!$E$56,0,IF(P66&lt;OBJECTIFS!$G$56,Q$8*OBJECTIFS!$F$60,IF(P66&lt;OBJECTIFS!$I$56,Q$8*OBJECTIFS!$H$60,Q$8)))),0)</f>
        <v>0</v>
      </c>
      <c r="R66" s="121"/>
      <c r="S66" s="73" t="str">
        <f>IF(OR($A66="",$D66="",R66=""),"",SUMIFS(OBJECTIFS!G$9:G$39,OBJECTIFS!$A$9:$A$39,$D66,OBJECTIFS!$C$9:$C$39,$F66))</f>
        <v/>
      </c>
      <c r="T66" s="72" t="str">
        <f>IF(OR(AND($D66=OBJECTIFS!$B$6,OBJECTIFS!G$8="dmt"),AND($D66=OBJECTIFS!$B$13,OBJECTIFS!$G$15="dmt"),AND($D66=OBJECTIFS!$B$20,OBJECTIFS!$G$22="dmt"),AND($D66=OBJECTIFS!$B$27,OBJECTIFS!$G$29="dmt"),AND($D66=OBJECTIFS!$B$34,OBJECTIFS!$G$36="dmt"),AND($D66=OBJECTIFS!$B$6,OBJECTIFS!$G$8="taux de chute"),AND($D66=OBJECTIFS!$B$13,OBJECTIFS!$G$15="taux de chute"),AND($D66=OBJECTIFS!$B$20,OBJECTIFS!$G$22="taux de chute"),AND($D66=OBJECTIFS!$B$27,OBJECTIFS!$G$29="taux de chute"),AND($D66=OBJECTIFS!$B$34,OBJECTIFS!$G$36="taux de chute",AND($D66=OBJECTIFS!$B$6,OBJECTIFS!G$8="tx mea"),AND($D66=OBJECTIFS!$B$13,OBJECTIFS!$G$15="tx mea"),AND($D66=OBJECTIFS!$B$20,OBJECTIFS!$G$22="tx mea"),AND($D66=OBJECTIFS!$B$27,OBJECTIFS!$G$29="tx mea"),AND($D66=OBJECTIFS!$B$34,OBJECTIFS!$G$36="tx mea"))),IFERROR(S66/R66,""),IFERROR(R66/S66,""))</f>
        <v/>
      </c>
      <c r="U66" s="152">
        <f>IFERROR(IF(OR(R66="",S66="",T66=""),0,IF(T66&lt;OBJECTIFS!$E$56,0,IF(T66&lt;OBJECTIFS!$G$56,U$8*OBJECTIFS!$F$60,IF(T66&lt;OBJECTIFS!$I$56,U$8*OBJECTIFS!$H$60,U$8)))),0)</f>
        <v>0</v>
      </c>
      <c r="V66" s="20"/>
      <c r="W66" s="72" t="str">
        <f>IF(OR($A66="",$D66="",V66=""),"",SUMIFS(OBJECTIFS!H$9:H$39,OBJECTIFS!$A$9:$A$39,$D66,OBJECTIFS!$C$9:$C$39,$F66))</f>
        <v/>
      </c>
      <c r="X66" s="72" t="str">
        <f>IF(OR(AND($D66=OBJECTIFS!$B$6,OBJECTIFS!H$8="dmt"),AND($D66=OBJECTIFS!$B$13,OBJECTIFS!$H$15="dmt"),AND($D66=OBJECTIFS!$B$20,OBJECTIFS!$H$22="dmt"),AND($D66=OBJECTIFS!$B$27,OBJECTIFS!$H$29="dmt"),AND($D66=OBJECTIFS!$B$34,OBJECTIFS!$H$36="dmt"),AND($D66=OBJECTIFS!$B$6,OBJECTIFS!$H$8="taux de chute"),AND($D66=OBJECTIFS!$B$13,OBJECTIFS!$H$15="taux de chute"),AND($D66=OBJECTIFS!$B$20,OBJECTIFS!$H$22="taux de chute"),AND($D66=OBJECTIFS!$B$27,OBJECTIFS!$H$29="taux de chute"),AND($D66=OBJECTIFS!$B$34,OBJECTIFS!$H$36="taux de chute"),AND($D66=OBJECTIFS!$B$6,OBJECTIFS!H$8="tx mea"),AND($D66=OBJECTIFS!$B$13,OBJECTIFS!$H$15="tx mea"),AND($D66=OBJECTIFS!$B$20,OBJECTIFS!$H$22="tx mea"),AND($D66=OBJECTIFS!$B$27,OBJECTIFS!$H$29="tx mea"),AND($D66=OBJECTIFS!$B$34,OBJECTIFS!$H$36="tx mea")),IFERROR(W66/V66,""),IFERROR(V66/W66,""))</f>
        <v/>
      </c>
      <c r="Y66" s="149">
        <f>IFERROR(IF(OR(V66="",W66="",X66=""),0,IF(X66&lt;OBJECTIFS!$E$56,0,IF(X66&lt;OBJECTIFS!$G$56,Y$8*OBJECTIFS!$F$60,IF(X66&lt;OBJECTIFS!$I$56,Y$8*OBJECTIFS!$H$60,Y$8)))),0)</f>
        <v>0</v>
      </c>
      <c r="Z66" s="124"/>
      <c r="AA66" s="72" t="str">
        <f>IF(OR($A66="",$D66="",Z66=""),"",SUMIFS(OBJECTIFS!I$9:I$39,OBJECTIFS!$A$9:$A$39,$D66,OBJECTIFS!$C$9:$C$39,$F66))</f>
        <v/>
      </c>
      <c r="AB66" s="72" t="str">
        <f>IF(OR(AND($D66=OBJECTIFS!$B$6,OBJECTIFS!I$8="dmt"),AND($D66=OBJECTIFS!$B$13,OBJECTIFS!$I$15="dmt"),AND($D66=OBJECTIFS!$B$20,OBJECTIFS!$I$22="dmt"),AND($D66=OBJECTIFS!$B$27,OBJECTIFS!$I$29="dmt"),AND($D66=OBJECTIFS!$B$34,OBJECTIFS!$I$36="dmt"),AND($D66=OBJECTIFS!$B$6,OBJECTIFS!$I$8="taux de chute"),AND($D66=OBJECTIFS!$B$13,OBJECTIFS!$I$15="taux de chute"),AND($D66=OBJECTIFS!$B$20,OBJECTIFS!$I$22="taux de chute"),AND($D66=OBJECTIFS!$B$27,OBJECTIFS!$I$29="taux de chute"),AND($D66=OBJECTIFS!$B$34,OBJECTIFS!$I$36="taux de chute"),AND($D66=OBJECTIFS!$B$6,OBJECTIFS!I$8="tx mea"),AND($D66=OBJECTIFS!$B$13,OBJECTIFS!$I$15="tx mea"),AND($D66=OBJECTIFS!$B$20,OBJECTIFS!$I$22="tx mea"),AND($D66=OBJECTIFS!$B$27,OBJECTIFS!$I$29="tx mea"),AND($D66=OBJECTIFS!$B$34,OBJECTIFS!$I$36="tx mea")),IFERROR(AA66/Z66,""),IFERROR(Z66/AA66,""))</f>
        <v/>
      </c>
      <c r="AC66" s="155">
        <f>IFERROR(IF(OR(Z66="",AA66="",AB66=""),0,IF(AB66&lt;OBJECTIFS!$E$56,0,IF(AB66&lt;OBJECTIFS!$G$56,AC$8*OBJECTIFS!$F$60,IF(AB66&lt;OBJECTIFS!$I$56,AC$8*OBJECTIFS!$H$60,AC$8)))),0)</f>
        <v>0</v>
      </c>
      <c r="AD66" s="289"/>
      <c r="AE66" s="290"/>
      <c r="AF66" s="158">
        <f t="shared" ca="1" si="3"/>
        <v>0</v>
      </c>
      <c r="AG66" s="52"/>
      <c r="AH66" s="126"/>
      <c r="AI66" s="19"/>
      <c r="AJ66" s="19"/>
      <c r="AK66" s="19"/>
      <c r="AL66" s="19"/>
      <c r="AM66" s="63">
        <f t="shared" si="4"/>
        <v>0</v>
      </c>
      <c r="AN66" s="63">
        <f t="shared" si="8"/>
        <v>22</v>
      </c>
      <c r="AO66" s="64">
        <f t="shared" si="5"/>
        <v>0</v>
      </c>
      <c r="AP66" s="65" t="str">
        <f t="shared" ca="1" si="0"/>
        <v/>
      </c>
      <c r="AQ66" s="66"/>
      <c r="AR66" s="168">
        <f>IFERROR(VLOOKUP(B66,OBJECTIFS!$C$76:$E$137,2,FALSE),0)</f>
        <v>0</v>
      </c>
      <c r="AS66" s="173"/>
      <c r="AT66" s="170">
        <f>IFERROR(VLOOKUP(B66,OBJECTIFS!$H$76:$J$137,2,FALSE),0)</f>
        <v>0</v>
      </c>
      <c r="AU66" s="178">
        <f t="shared" si="6"/>
        <v>0</v>
      </c>
      <c r="AV66" s="173"/>
      <c r="AW66" s="74">
        <f>IFERROR(VLOOKUP(B66,OBJECTIFS!$C$142:$E$203,2,FALSE),0)</f>
        <v>0</v>
      </c>
      <c r="AX66" s="74">
        <f>IFERROR(VLOOKUP(B66,OBJECTIFS!$H$142:$J$203,2,FALSE),0)</f>
        <v>0</v>
      </c>
      <c r="AY66" s="174">
        <f>IFERROR(VLOOKUP(B66,OBJECTIFS!$F$208:$H$269,3,FALSE),0)</f>
        <v>0</v>
      </c>
      <c r="AZ66" s="66"/>
      <c r="BA66" s="75" t="str">
        <f t="shared" ca="1" si="7"/>
        <v/>
      </c>
      <c r="BB66" s="52"/>
      <c r="BC66" s="76">
        <f t="shared" ca="1" si="30"/>
        <v>0</v>
      </c>
      <c r="BD66" s="53" t="str">
        <f t="shared" ca="1" si="2"/>
        <v/>
      </c>
      <c r="BE66" s="77" t="str">
        <f t="shared" ca="1" si="31"/>
        <v/>
      </c>
    </row>
    <row r="67" spans="1:57" x14ac:dyDescent="0.2">
      <c r="A67" s="16"/>
      <c r="B67" s="17"/>
      <c r="C67" s="17"/>
      <c r="D67" s="18"/>
      <c r="E67" s="19"/>
      <c r="F67" s="27"/>
      <c r="H67" s="71" t="str">
        <f>IF(OR(D67="",F67="",A67=""),"",IF(E67="oui",0,IF(D67=OBJECTIFS!$C$45,VLOOKUP(F67,OBJECTIFS!$C$9:$D$11,2,FALSE),IF(D67=OBJECTIFS!$C$46,VLOOKUP(F67,OBJECTIFS!$C$16:$D$18,2,FALSE),IF(D67=OBJECTIFS!$C$47,VLOOKUP(F67,OBJECTIFS!$C$23:$D$25,2,FALSE),IF(D67=OBJECTIFS!$C$48,VLOOKUP(F67,OBJECTIFS!$C$30:$D$32,2,FALSE),IF(D67=OBJECTIFS!$C$49,VLOOKUP(F67,OBJECTIFS!$C$37:$D$39,2,FALSE))))))))</f>
        <v/>
      </c>
      <c r="J67" s="138"/>
      <c r="K67" s="141" t="str">
        <f>IF(OR($A67="",$D67="",J67=""),"",SUMIFS(OBJECTIFS!E$9:E$39,OBJECTIFS!$A$9:$A$39,$D67,OBJECTIFS!$C$9:$C$39,$F67))</f>
        <v/>
      </c>
      <c r="L67" s="72" t="str">
        <f>IF(OR(AND($D67=OBJECTIFS!$B$6,OBJECTIFS!E$8="dmt"),AND($D67=OBJECTIFS!$B$13,OBJECTIFS!$E$15="dmt"),AND($D67=OBJECTIFS!$B$20,OBJECTIFS!$E$22="dmt"),AND($D67=OBJECTIFS!$B$27,OBJECTIFS!$E$29="dmt"),AND($D67=OBJECTIFS!$B$34,OBJECTIFS!$E$36="dmt"),AND($D67=OBJECTIFS!$B$6,OBJECTIFS!$E$8="taux de chute"),AND($D67=OBJECTIFS!$B$13,OBJECTIFS!$E$15="taux de chute"),AND($D67=OBJECTIFS!$B$20,OBJECTIFS!$E$22="taux de chute"),AND($D67=OBJECTIFS!$B$27,OBJECTIFS!$E$29="taux de chute"),AND($D67=OBJECTIFS!$B$34,OBJECTIFS!$E$36="taux de chute"),AND($D67=OBJECTIFS!$B$6,OBJECTIFS!E$8="tx mea"),AND($D67=OBJECTIFS!$B$13,OBJECTIFS!$E$15="tx mea"),AND($D67=OBJECTIFS!$B$20,OBJECTIFS!$E$22="tx mea"),AND($D67=OBJECTIFS!$B$27,OBJECTIFS!$E$29="tx mea"),AND($D67=OBJECTIFS!$B$34,OBJECTIFS!$E$36="tx mea")),IFERROR(K67/J67,""),IFERROR(J67/K67,""))</f>
        <v/>
      </c>
      <c r="M67" s="149">
        <f>IFERROR(IF(OR(J67="",K67="",L67=""),0,IF(L67&lt;OBJECTIFS!$E$56,0,IF(L67&lt;OBJECTIFS!$G$56,M$8*OBJECTIFS!$F$60,IF(L67&lt;OBJECTIFS!$I$56,M$8*OBJECTIFS!$H$60,M$8)))),0)</f>
        <v>0</v>
      </c>
      <c r="N67" s="144"/>
      <c r="O67" s="145" t="str">
        <f>IF(OR($A67="",$D67="",N67=""),"",SUMIFS(OBJECTIFS!F$9:F$39,OBJECTIFS!$A$9:$A$39,$D67,OBJECTIFS!$C$9:$C$39,$F67))</f>
        <v/>
      </c>
      <c r="P67" s="72" t="str">
        <f>IF(OR(AND($D67=OBJECTIFS!$B$6,OBJECTIFS!$F$8="dmt"),AND($D67=OBJECTIFS!$B$13,OBJECTIFS!$F$15="dmt"),AND($D67=OBJECTIFS!$B$20,OBJECTIFS!$F$22="dmt"),AND($D67=OBJECTIFS!$B$27,OBJECTIFS!$F$29="dmt"),AND($D67=OBJECTIFS!$B$34,OBJECTIFS!$F$36="dmt"),AND($D67=OBJECTIFS!$B$6,OBJECTIFS!$F$8="taux de chute"),AND($D67=OBJECTIFS!$B$13,OBJECTIFS!$F$15="taux de chute"),AND($D67=OBJECTIFS!$B$20,OBJECTIFS!$F$22="taux de chute"),AND($D67=OBJECTIFS!$B$27,OBJECTIFS!$F$29="taux de chute"),AND($D67=OBJECTIFS!$B$34,OBJECTIFS!$F$36="taux de chute"),AND($D67=OBJECTIFS!$B$6,OBJECTIFS!$F$8="tx mea"),AND($D67=OBJECTIFS!$B$13,OBJECTIFS!$F$15="tx mea"),AND($D67=OBJECTIFS!$B$20,OBJECTIFS!$F$22="tx mea"),AND($D67=OBJECTIFS!$B$27,OBJECTIFS!$F$29="tx mea"),AND($D67=OBJECTIFS!$B$34,OBJECTIFS!$F$36="tx mea")),IFERROR(O67/N67,""),IFERROR(N67/O67,""))</f>
        <v/>
      </c>
      <c r="Q67" s="149">
        <f>IFERROR(IF(OR(N67="",O67="",P67=""),0,IF(P67&lt;OBJECTIFS!$E$56,0,IF(P67&lt;OBJECTIFS!$G$56,Q$8*OBJECTIFS!$F$60,IF(P67&lt;OBJECTIFS!$I$56,Q$8*OBJECTIFS!$H$60,Q$8)))),0)</f>
        <v>0</v>
      </c>
      <c r="R67" s="121"/>
      <c r="S67" s="73" t="str">
        <f>IF(OR($A67="",$D67="",R67=""),"",SUMIFS(OBJECTIFS!G$9:G$39,OBJECTIFS!$A$9:$A$39,$D67,OBJECTIFS!$C$9:$C$39,$F67))</f>
        <v/>
      </c>
      <c r="T67" s="72" t="str">
        <f>IF(OR(AND($D67=OBJECTIFS!$B$6,OBJECTIFS!G$8="dmt"),AND($D67=OBJECTIFS!$B$13,OBJECTIFS!$G$15="dmt"),AND($D67=OBJECTIFS!$B$20,OBJECTIFS!$G$22="dmt"),AND($D67=OBJECTIFS!$B$27,OBJECTIFS!$G$29="dmt"),AND($D67=OBJECTIFS!$B$34,OBJECTIFS!$G$36="dmt"),AND($D67=OBJECTIFS!$B$6,OBJECTIFS!$G$8="taux de chute"),AND($D67=OBJECTIFS!$B$13,OBJECTIFS!$G$15="taux de chute"),AND($D67=OBJECTIFS!$B$20,OBJECTIFS!$G$22="taux de chute"),AND($D67=OBJECTIFS!$B$27,OBJECTIFS!$G$29="taux de chute"),AND($D67=OBJECTIFS!$B$34,OBJECTIFS!$G$36="taux de chute",AND($D67=OBJECTIFS!$B$6,OBJECTIFS!G$8="tx mea"),AND($D67=OBJECTIFS!$B$13,OBJECTIFS!$G$15="tx mea"),AND($D67=OBJECTIFS!$B$20,OBJECTIFS!$G$22="tx mea"),AND($D67=OBJECTIFS!$B$27,OBJECTIFS!$G$29="tx mea"),AND($D67=OBJECTIFS!$B$34,OBJECTIFS!$G$36="tx mea"))),IFERROR(S67/R67,""),IFERROR(R67/S67,""))</f>
        <v/>
      </c>
      <c r="U67" s="152">
        <f>IFERROR(IF(OR(R67="",S67="",T67=""),0,IF(T67&lt;OBJECTIFS!$E$56,0,IF(T67&lt;OBJECTIFS!$G$56,U$8*OBJECTIFS!$F$60,IF(T67&lt;OBJECTIFS!$I$56,U$8*OBJECTIFS!$H$60,U$8)))),0)</f>
        <v>0</v>
      </c>
      <c r="V67" s="20"/>
      <c r="W67" s="72" t="str">
        <f>IF(OR($A67="",$D67="",V67=""),"",SUMIFS(OBJECTIFS!H$9:H$39,OBJECTIFS!$A$9:$A$39,$D67,OBJECTIFS!$C$9:$C$39,$F67))</f>
        <v/>
      </c>
      <c r="X67" s="72" t="str">
        <f>IF(OR(AND($D67=OBJECTIFS!$B$6,OBJECTIFS!H$8="dmt"),AND($D67=OBJECTIFS!$B$13,OBJECTIFS!$H$15="dmt"),AND($D67=OBJECTIFS!$B$20,OBJECTIFS!$H$22="dmt"),AND($D67=OBJECTIFS!$B$27,OBJECTIFS!$H$29="dmt"),AND($D67=OBJECTIFS!$B$34,OBJECTIFS!$H$36="dmt"),AND($D67=OBJECTIFS!$B$6,OBJECTIFS!$H$8="taux de chute"),AND($D67=OBJECTIFS!$B$13,OBJECTIFS!$H$15="taux de chute"),AND($D67=OBJECTIFS!$B$20,OBJECTIFS!$H$22="taux de chute"),AND($D67=OBJECTIFS!$B$27,OBJECTIFS!$H$29="taux de chute"),AND($D67=OBJECTIFS!$B$34,OBJECTIFS!$H$36="taux de chute"),AND($D67=OBJECTIFS!$B$6,OBJECTIFS!H$8="tx mea"),AND($D67=OBJECTIFS!$B$13,OBJECTIFS!$H$15="tx mea"),AND($D67=OBJECTIFS!$B$20,OBJECTIFS!$H$22="tx mea"),AND($D67=OBJECTIFS!$B$27,OBJECTIFS!$H$29="tx mea"),AND($D67=OBJECTIFS!$B$34,OBJECTIFS!$H$36="tx mea")),IFERROR(W67/V67,""),IFERROR(V67/W67,""))</f>
        <v/>
      </c>
      <c r="Y67" s="149">
        <f>IFERROR(IF(OR(V67="",W67="",X67=""),0,IF(X67&lt;OBJECTIFS!$E$56,0,IF(X67&lt;OBJECTIFS!$G$56,Y$8*OBJECTIFS!$F$60,IF(X67&lt;OBJECTIFS!$I$56,Y$8*OBJECTIFS!$H$60,Y$8)))),0)</f>
        <v>0</v>
      </c>
      <c r="Z67" s="124"/>
      <c r="AA67" s="72" t="str">
        <f>IF(OR($A67="",$D67="",Z67=""),"",SUMIFS(OBJECTIFS!I$9:I$39,OBJECTIFS!$A$9:$A$39,$D67,OBJECTIFS!$C$9:$C$39,$F67))</f>
        <v/>
      </c>
      <c r="AB67" s="72" t="str">
        <f>IF(OR(AND($D67=OBJECTIFS!$B$6,OBJECTIFS!I$8="dmt"),AND($D67=OBJECTIFS!$B$13,OBJECTIFS!$I$15="dmt"),AND($D67=OBJECTIFS!$B$20,OBJECTIFS!$I$22="dmt"),AND($D67=OBJECTIFS!$B$27,OBJECTIFS!$I$29="dmt"),AND($D67=OBJECTIFS!$B$34,OBJECTIFS!$I$36="dmt"),AND($D67=OBJECTIFS!$B$6,OBJECTIFS!$I$8="taux de chute"),AND($D67=OBJECTIFS!$B$13,OBJECTIFS!$I$15="taux de chute"),AND($D67=OBJECTIFS!$B$20,OBJECTIFS!$I$22="taux de chute"),AND($D67=OBJECTIFS!$B$27,OBJECTIFS!$I$29="taux de chute"),AND($D67=OBJECTIFS!$B$34,OBJECTIFS!$I$36="taux de chute"),AND($D67=OBJECTIFS!$B$6,OBJECTIFS!I$8="tx mea"),AND($D67=OBJECTIFS!$B$13,OBJECTIFS!$I$15="tx mea"),AND($D67=OBJECTIFS!$B$20,OBJECTIFS!$I$22="tx mea"),AND($D67=OBJECTIFS!$B$27,OBJECTIFS!$I$29="tx mea"),AND($D67=OBJECTIFS!$B$34,OBJECTIFS!$I$36="tx mea")),IFERROR(AA67/Z67,""),IFERROR(Z67/AA67,""))</f>
        <v/>
      </c>
      <c r="AC67" s="155">
        <f>IFERROR(IF(OR(Z67="",AA67="",AB67=""),0,IF(AB67&lt;OBJECTIFS!$E$56,0,IF(AB67&lt;OBJECTIFS!$G$56,AC$8*OBJECTIFS!$F$60,IF(AB67&lt;OBJECTIFS!$I$56,AC$8*OBJECTIFS!$H$60,AC$8)))),0)</f>
        <v>0</v>
      </c>
      <c r="AD67" s="289"/>
      <c r="AE67" s="290"/>
      <c r="AF67" s="158">
        <f t="shared" ca="1" si="3"/>
        <v>0</v>
      </c>
      <c r="AG67" s="52"/>
      <c r="AH67" s="126"/>
      <c r="AI67" s="19"/>
      <c r="AJ67" s="19"/>
      <c r="AK67" s="19"/>
      <c r="AL67" s="19"/>
      <c r="AM67" s="63">
        <f t="shared" si="4"/>
        <v>0</v>
      </c>
      <c r="AN67" s="63">
        <f t="shared" si="8"/>
        <v>22</v>
      </c>
      <c r="AO67" s="64">
        <f t="shared" si="5"/>
        <v>0</v>
      </c>
      <c r="AP67" s="65" t="str">
        <f t="shared" ca="1" si="0"/>
        <v/>
      </c>
      <c r="AQ67" s="66"/>
      <c r="AR67" s="168">
        <f>IFERROR(VLOOKUP(B67,OBJECTIFS!$C$76:$E$137,2,FALSE),0)</f>
        <v>0</v>
      </c>
      <c r="AS67" s="173"/>
      <c r="AT67" s="170">
        <f>IFERROR(VLOOKUP(B67,OBJECTIFS!$H$76:$J$137,2,FALSE),0)</f>
        <v>0</v>
      </c>
      <c r="AU67" s="178">
        <f t="shared" si="6"/>
        <v>0</v>
      </c>
      <c r="AV67" s="173"/>
      <c r="AW67" s="74">
        <f>IFERROR(VLOOKUP(B67,OBJECTIFS!$C$142:$E$203,2,FALSE),0)</f>
        <v>0</v>
      </c>
      <c r="AX67" s="74">
        <f>IFERROR(VLOOKUP(B67,OBJECTIFS!$H$142:$J$203,2,FALSE),0)</f>
        <v>0</v>
      </c>
      <c r="AY67" s="174">
        <f>IFERROR(VLOOKUP(B67,OBJECTIFS!$F$208:$H$269,3,FALSE),0)</f>
        <v>0</v>
      </c>
      <c r="AZ67" s="66"/>
      <c r="BA67" s="75" t="str">
        <f t="shared" ca="1" si="7"/>
        <v/>
      </c>
      <c r="BB67" s="52"/>
      <c r="BC67" s="76">
        <f t="shared" ca="1" si="30"/>
        <v>0</v>
      </c>
      <c r="BD67" s="53" t="str">
        <f t="shared" ca="1" si="2"/>
        <v/>
      </c>
      <c r="BE67" s="77" t="str">
        <f t="shared" ca="1" si="31"/>
        <v/>
      </c>
    </row>
    <row r="68" spans="1:57" x14ac:dyDescent="0.2">
      <c r="A68" s="16"/>
      <c r="B68" s="17"/>
      <c r="C68" s="17"/>
      <c r="D68" s="18"/>
      <c r="E68" s="19"/>
      <c r="F68" s="27"/>
      <c r="H68" s="71" t="str">
        <f>IF(OR(D68="",F68="",A68=""),"",IF(E68="oui",0,IF(D68=OBJECTIFS!$C$45,VLOOKUP(F68,OBJECTIFS!$C$9:$D$11,2,FALSE),IF(D68=OBJECTIFS!$C$46,VLOOKUP(F68,OBJECTIFS!$C$16:$D$18,2,FALSE),IF(D68=OBJECTIFS!$C$47,VLOOKUP(F68,OBJECTIFS!$C$23:$D$25,2,FALSE),IF(D68=OBJECTIFS!$C$48,VLOOKUP(F68,OBJECTIFS!$C$30:$D$32,2,FALSE),IF(D68=OBJECTIFS!$C$49,VLOOKUP(F68,OBJECTIFS!$C$37:$D$39,2,FALSE))))))))</f>
        <v/>
      </c>
      <c r="J68" s="138"/>
      <c r="K68" s="141" t="str">
        <f>IF(OR($A68="",$D68="",J68=""),"",SUMIFS(OBJECTIFS!E$9:E$39,OBJECTIFS!$A$9:$A$39,$D68,OBJECTIFS!$C$9:$C$39,$F68))</f>
        <v/>
      </c>
      <c r="L68" s="72" t="str">
        <f>IF(OR(AND($D68=OBJECTIFS!$B$6,OBJECTIFS!E$8="dmt"),AND($D68=OBJECTIFS!$B$13,OBJECTIFS!$E$15="dmt"),AND($D68=OBJECTIFS!$B$20,OBJECTIFS!$E$22="dmt"),AND($D68=OBJECTIFS!$B$27,OBJECTIFS!$E$29="dmt"),AND($D68=OBJECTIFS!$B$34,OBJECTIFS!$E$36="dmt"),AND($D68=OBJECTIFS!$B$6,OBJECTIFS!$E$8="taux de chute"),AND($D68=OBJECTIFS!$B$13,OBJECTIFS!$E$15="taux de chute"),AND($D68=OBJECTIFS!$B$20,OBJECTIFS!$E$22="taux de chute"),AND($D68=OBJECTIFS!$B$27,OBJECTIFS!$E$29="taux de chute"),AND($D68=OBJECTIFS!$B$34,OBJECTIFS!$E$36="taux de chute"),AND($D68=OBJECTIFS!$B$6,OBJECTIFS!E$8="tx mea"),AND($D68=OBJECTIFS!$B$13,OBJECTIFS!$E$15="tx mea"),AND($D68=OBJECTIFS!$B$20,OBJECTIFS!$E$22="tx mea"),AND($D68=OBJECTIFS!$B$27,OBJECTIFS!$E$29="tx mea"),AND($D68=OBJECTIFS!$B$34,OBJECTIFS!$E$36="tx mea")),IFERROR(K68/J68,""),IFERROR(J68/K68,""))</f>
        <v/>
      </c>
      <c r="M68" s="149">
        <f>IFERROR(IF(OR(J68="",K68="",L68=""),0,IF(L68&lt;OBJECTIFS!$E$56,0,IF(L68&lt;OBJECTIFS!$G$56,M$8*OBJECTIFS!$F$60,IF(L68&lt;OBJECTIFS!$I$56,M$8*OBJECTIFS!$H$60,M$8)))),0)</f>
        <v>0</v>
      </c>
      <c r="N68" s="144"/>
      <c r="O68" s="145" t="str">
        <f>IF(OR($A68="",$D68="",N68=""),"",SUMIFS(OBJECTIFS!F$9:F$39,OBJECTIFS!$A$9:$A$39,$D68,OBJECTIFS!$C$9:$C$39,$F68))</f>
        <v/>
      </c>
      <c r="P68" s="72" t="str">
        <f>IF(OR(AND($D68=OBJECTIFS!$B$6,OBJECTIFS!$F$8="dmt"),AND($D68=OBJECTIFS!$B$13,OBJECTIFS!$F$15="dmt"),AND($D68=OBJECTIFS!$B$20,OBJECTIFS!$F$22="dmt"),AND($D68=OBJECTIFS!$B$27,OBJECTIFS!$F$29="dmt"),AND($D68=OBJECTIFS!$B$34,OBJECTIFS!$F$36="dmt"),AND($D68=OBJECTIFS!$B$6,OBJECTIFS!$F$8="taux de chute"),AND($D68=OBJECTIFS!$B$13,OBJECTIFS!$F$15="taux de chute"),AND($D68=OBJECTIFS!$B$20,OBJECTIFS!$F$22="taux de chute"),AND($D68=OBJECTIFS!$B$27,OBJECTIFS!$F$29="taux de chute"),AND($D68=OBJECTIFS!$B$34,OBJECTIFS!$F$36="taux de chute"),AND($D68=OBJECTIFS!$B$6,OBJECTIFS!$F$8="tx mea"),AND($D68=OBJECTIFS!$B$13,OBJECTIFS!$F$15="tx mea"),AND($D68=OBJECTIFS!$B$20,OBJECTIFS!$F$22="tx mea"),AND($D68=OBJECTIFS!$B$27,OBJECTIFS!$F$29="tx mea"),AND($D68=OBJECTIFS!$B$34,OBJECTIFS!$F$36="tx mea")),IFERROR(O68/N68,""),IFERROR(N68/O68,""))</f>
        <v/>
      </c>
      <c r="Q68" s="149">
        <f>IFERROR(IF(OR(N68="",O68="",P68=""),0,IF(P68&lt;OBJECTIFS!$E$56,0,IF(P68&lt;OBJECTIFS!$G$56,Q$8*OBJECTIFS!$F$60,IF(P68&lt;OBJECTIFS!$I$56,Q$8*OBJECTIFS!$H$60,Q$8)))),0)</f>
        <v>0</v>
      </c>
      <c r="R68" s="121"/>
      <c r="S68" s="73" t="str">
        <f>IF(OR($A68="",$D68="",R68=""),"",SUMIFS(OBJECTIFS!G$9:G$39,OBJECTIFS!$A$9:$A$39,$D68,OBJECTIFS!$C$9:$C$39,$F68))</f>
        <v/>
      </c>
      <c r="T68" s="72" t="str">
        <f>IF(OR(AND($D68=OBJECTIFS!$B$6,OBJECTIFS!G$8="dmt"),AND($D68=OBJECTIFS!$B$13,OBJECTIFS!$G$15="dmt"),AND($D68=OBJECTIFS!$B$20,OBJECTIFS!$G$22="dmt"),AND($D68=OBJECTIFS!$B$27,OBJECTIFS!$G$29="dmt"),AND($D68=OBJECTIFS!$B$34,OBJECTIFS!$G$36="dmt"),AND($D68=OBJECTIFS!$B$6,OBJECTIFS!$G$8="taux de chute"),AND($D68=OBJECTIFS!$B$13,OBJECTIFS!$G$15="taux de chute"),AND($D68=OBJECTIFS!$B$20,OBJECTIFS!$G$22="taux de chute"),AND($D68=OBJECTIFS!$B$27,OBJECTIFS!$G$29="taux de chute"),AND($D68=OBJECTIFS!$B$34,OBJECTIFS!$G$36="taux de chute",AND($D68=OBJECTIFS!$B$6,OBJECTIFS!G$8="tx mea"),AND($D68=OBJECTIFS!$B$13,OBJECTIFS!$G$15="tx mea"),AND($D68=OBJECTIFS!$B$20,OBJECTIFS!$G$22="tx mea"),AND($D68=OBJECTIFS!$B$27,OBJECTIFS!$G$29="tx mea"),AND($D68=OBJECTIFS!$B$34,OBJECTIFS!$G$36="tx mea"))),IFERROR(S68/R68,""),IFERROR(R68/S68,""))</f>
        <v/>
      </c>
      <c r="U68" s="152">
        <f>IFERROR(IF(OR(R68="",S68="",T68=""),0,IF(T68&lt;OBJECTIFS!$E$56,0,IF(T68&lt;OBJECTIFS!$G$56,U$8*OBJECTIFS!$F$60,IF(T68&lt;OBJECTIFS!$I$56,U$8*OBJECTIFS!$H$60,U$8)))),0)</f>
        <v>0</v>
      </c>
      <c r="V68" s="20"/>
      <c r="W68" s="72" t="str">
        <f>IF(OR($A68="",$D68="",V68=""),"",SUMIFS(OBJECTIFS!H$9:H$39,OBJECTIFS!$A$9:$A$39,$D68,OBJECTIFS!$C$9:$C$39,$F68))</f>
        <v/>
      </c>
      <c r="X68" s="72" t="str">
        <f>IF(OR(AND($D68=OBJECTIFS!$B$6,OBJECTIFS!H$8="dmt"),AND($D68=OBJECTIFS!$B$13,OBJECTIFS!$H$15="dmt"),AND($D68=OBJECTIFS!$B$20,OBJECTIFS!$H$22="dmt"),AND($D68=OBJECTIFS!$B$27,OBJECTIFS!$H$29="dmt"),AND($D68=OBJECTIFS!$B$34,OBJECTIFS!$H$36="dmt"),AND($D68=OBJECTIFS!$B$6,OBJECTIFS!$H$8="taux de chute"),AND($D68=OBJECTIFS!$B$13,OBJECTIFS!$H$15="taux de chute"),AND($D68=OBJECTIFS!$B$20,OBJECTIFS!$H$22="taux de chute"),AND($D68=OBJECTIFS!$B$27,OBJECTIFS!$H$29="taux de chute"),AND($D68=OBJECTIFS!$B$34,OBJECTIFS!$H$36="taux de chute"),AND($D68=OBJECTIFS!$B$6,OBJECTIFS!H$8="tx mea"),AND($D68=OBJECTIFS!$B$13,OBJECTIFS!$H$15="tx mea"),AND($D68=OBJECTIFS!$B$20,OBJECTIFS!$H$22="tx mea"),AND($D68=OBJECTIFS!$B$27,OBJECTIFS!$H$29="tx mea"),AND($D68=OBJECTIFS!$B$34,OBJECTIFS!$H$36="tx mea")),IFERROR(W68/V68,""),IFERROR(V68/W68,""))</f>
        <v/>
      </c>
      <c r="Y68" s="149">
        <f>IFERROR(IF(OR(V68="",W68="",X68=""),0,IF(X68&lt;OBJECTIFS!$E$56,0,IF(X68&lt;OBJECTIFS!$G$56,Y$8*OBJECTIFS!$F$60,IF(X68&lt;OBJECTIFS!$I$56,Y$8*OBJECTIFS!$H$60,Y$8)))),0)</f>
        <v>0</v>
      </c>
      <c r="Z68" s="124"/>
      <c r="AA68" s="72" t="str">
        <f>IF(OR($A68="",$D68="",Z68=""),"",SUMIFS(OBJECTIFS!I$9:I$39,OBJECTIFS!$A$9:$A$39,$D68,OBJECTIFS!$C$9:$C$39,$F68))</f>
        <v/>
      </c>
      <c r="AB68" s="72" t="str">
        <f>IF(OR(AND($D68=OBJECTIFS!$B$6,OBJECTIFS!I$8="dmt"),AND($D68=OBJECTIFS!$B$13,OBJECTIFS!$I$15="dmt"),AND($D68=OBJECTIFS!$B$20,OBJECTIFS!$I$22="dmt"),AND($D68=OBJECTIFS!$B$27,OBJECTIFS!$I$29="dmt"),AND($D68=OBJECTIFS!$B$34,OBJECTIFS!$I$36="dmt"),AND($D68=OBJECTIFS!$B$6,OBJECTIFS!$I$8="taux de chute"),AND($D68=OBJECTIFS!$B$13,OBJECTIFS!$I$15="taux de chute"),AND($D68=OBJECTIFS!$B$20,OBJECTIFS!$I$22="taux de chute"),AND($D68=OBJECTIFS!$B$27,OBJECTIFS!$I$29="taux de chute"),AND($D68=OBJECTIFS!$B$34,OBJECTIFS!$I$36="taux de chute"),AND($D68=OBJECTIFS!$B$6,OBJECTIFS!I$8="tx mea"),AND($D68=OBJECTIFS!$B$13,OBJECTIFS!$I$15="tx mea"),AND($D68=OBJECTIFS!$B$20,OBJECTIFS!$I$22="tx mea"),AND($D68=OBJECTIFS!$B$27,OBJECTIFS!$I$29="tx mea"),AND($D68=OBJECTIFS!$B$34,OBJECTIFS!$I$36="tx mea")),IFERROR(AA68/Z68,""),IFERROR(Z68/AA68,""))</f>
        <v/>
      </c>
      <c r="AC68" s="155">
        <f>IFERROR(IF(OR(Z68="",AA68="",AB68=""),0,IF(AB68&lt;OBJECTIFS!$E$56,0,IF(AB68&lt;OBJECTIFS!$G$56,AC$8*OBJECTIFS!$F$60,IF(AB68&lt;OBJECTIFS!$I$56,AC$8*OBJECTIFS!$H$60,AC$8)))),0)</f>
        <v>0</v>
      </c>
      <c r="AD68" s="289"/>
      <c r="AE68" s="290"/>
      <c r="AF68" s="158">
        <f t="shared" ca="1" si="3"/>
        <v>0</v>
      </c>
      <c r="AG68" s="52"/>
      <c r="AH68" s="126"/>
      <c r="AI68" s="19"/>
      <c r="AJ68" s="19"/>
      <c r="AK68" s="19"/>
      <c r="AL68" s="19"/>
      <c r="AM68" s="63">
        <f t="shared" si="4"/>
        <v>0</v>
      </c>
      <c r="AN68" s="63">
        <f t="shared" si="8"/>
        <v>22</v>
      </c>
      <c r="AO68" s="64">
        <f t="shared" si="5"/>
        <v>0</v>
      </c>
      <c r="AP68" s="65" t="str">
        <f t="shared" ca="1" si="0"/>
        <v/>
      </c>
      <c r="AQ68" s="66"/>
      <c r="AR68" s="168">
        <f>IFERROR(VLOOKUP(B68,OBJECTIFS!$C$76:$E$137,2,FALSE),0)</f>
        <v>0</v>
      </c>
      <c r="AS68" s="173"/>
      <c r="AT68" s="170">
        <f>IFERROR(VLOOKUP(B68,OBJECTIFS!$H$76:$J$137,2,FALSE),0)</f>
        <v>0</v>
      </c>
      <c r="AU68" s="178">
        <f t="shared" si="6"/>
        <v>0</v>
      </c>
      <c r="AV68" s="173"/>
      <c r="AW68" s="74">
        <f>IFERROR(VLOOKUP(B68,OBJECTIFS!$C$142:$E$203,2,FALSE),0)</f>
        <v>0</v>
      </c>
      <c r="AX68" s="74">
        <f>IFERROR(VLOOKUP(B68,OBJECTIFS!$H$142:$J$203,2,FALSE),0)</f>
        <v>0</v>
      </c>
      <c r="AY68" s="174">
        <f>IFERROR(VLOOKUP(B68,OBJECTIFS!$F$208:$H$269,3,FALSE),0)</f>
        <v>0</v>
      </c>
      <c r="AZ68" s="66"/>
      <c r="BA68" s="75" t="str">
        <f t="shared" ca="1" si="7"/>
        <v/>
      </c>
      <c r="BB68" s="52"/>
      <c r="BC68" s="76">
        <f t="shared" ca="1" si="30"/>
        <v>0</v>
      </c>
      <c r="BD68" s="53" t="str">
        <f t="shared" ca="1" si="2"/>
        <v/>
      </c>
      <c r="BE68" s="77" t="str">
        <f t="shared" ca="1" si="31"/>
        <v/>
      </c>
    </row>
    <row r="69" spans="1:57" x14ac:dyDescent="0.2">
      <c r="A69" s="16"/>
      <c r="B69" s="17"/>
      <c r="C69" s="17"/>
      <c r="D69" s="18"/>
      <c r="E69" s="19"/>
      <c r="F69" s="27"/>
      <c r="H69" s="71" t="str">
        <f>IF(OR(D69="",F69="",A69=""),"",IF(E69="oui",0,IF(D69=OBJECTIFS!$C$45,VLOOKUP(F69,OBJECTIFS!$C$9:$D$11,2,FALSE),IF(D69=OBJECTIFS!$C$46,VLOOKUP(F69,OBJECTIFS!$C$16:$D$18,2,FALSE),IF(D69=OBJECTIFS!$C$47,VLOOKUP(F69,OBJECTIFS!$C$23:$D$25,2,FALSE),IF(D69=OBJECTIFS!$C$48,VLOOKUP(F69,OBJECTIFS!$C$30:$D$32,2,FALSE),IF(D69=OBJECTIFS!$C$49,VLOOKUP(F69,OBJECTIFS!$C$37:$D$39,2,FALSE))))))))</f>
        <v/>
      </c>
      <c r="J69" s="138"/>
      <c r="K69" s="141" t="str">
        <f>IF(OR($A69="",$D69="",J69=""),"",SUMIFS(OBJECTIFS!E$9:E$39,OBJECTIFS!$A$9:$A$39,$D69,OBJECTIFS!$C$9:$C$39,$F69))</f>
        <v/>
      </c>
      <c r="L69" s="72" t="str">
        <f>IF(OR(AND($D69=OBJECTIFS!$B$6,OBJECTIFS!E$8="dmt"),AND($D69=OBJECTIFS!$B$13,OBJECTIFS!$E$15="dmt"),AND($D69=OBJECTIFS!$B$20,OBJECTIFS!$E$22="dmt"),AND($D69=OBJECTIFS!$B$27,OBJECTIFS!$E$29="dmt"),AND($D69=OBJECTIFS!$B$34,OBJECTIFS!$E$36="dmt"),AND($D69=OBJECTIFS!$B$6,OBJECTIFS!$E$8="taux de chute"),AND($D69=OBJECTIFS!$B$13,OBJECTIFS!$E$15="taux de chute"),AND($D69=OBJECTIFS!$B$20,OBJECTIFS!$E$22="taux de chute"),AND($D69=OBJECTIFS!$B$27,OBJECTIFS!$E$29="taux de chute"),AND($D69=OBJECTIFS!$B$34,OBJECTIFS!$E$36="taux de chute"),AND($D69=OBJECTIFS!$B$6,OBJECTIFS!E$8="tx mea"),AND($D69=OBJECTIFS!$B$13,OBJECTIFS!$E$15="tx mea"),AND($D69=OBJECTIFS!$B$20,OBJECTIFS!$E$22="tx mea"),AND($D69=OBJECTIFS!$B$27,OBJECTIFS!$E$29="tx mea"),AND($D69=OBJECTIFS!$B$34,OBJECTIFS!$E$36="tx mea")),IFERROR(K69/J69,""),IFERROR(J69/K69,""))</f>
        <v/>
      </c>
      <c r="M69" s="149">
        <f>IFERROR(IF(OR(J69="",K69="",L69=""),0,IF(L69&lt;OBJECTIFS!$E$56,0,IF(L69&lt;OBJECTIFS!$G$56,M$8*OBJECTIFS!$F$60,IF(L69&lt;OBJECTIFS!$I$56,M$8*OBJECTIFS!$H$60,M$8)))),0)</f>
        <v>0</v>
      </c>
      <c r="N69" s="144"/>
      <c r="O69" s="145" t="str">
        <f>IF(OR($A69="",$D69="",N69=""),"",SUMIFS(OBJECTIFS!F$9:F$39,OBJECTIFS!$A$9:$A$39,$D69,OBJECTIFS!$C$9:$C$39,$F69))</f>
        <v/>
      </c>
      <c r="P69" s="72" t="str">
        <f>IF(OR(AND($D69=OBJECTIFS!$B$6,OBJECTIFS!$F$8="dmt"),AND($D69=OBJECTIFS!$B$13,OBJECTIFS!$F$15="dmt"),AND($D69=OBJECTIFS!$B$20,OBJECTIFS!$F$22="dmt"),AND($D69=OBJECTIFS!$B$27,OBJECTIFS!$F$29="dmt"),AND($D69=OBJECTIFS!$B$34,OBJECTIFS!$F$36="dmt"),AND($D69=OBJECTIFS!$B$6,OBJECTIFS!$F$8="taux de chute"),AND($D69=OBJECTIFS!$B$13,OBJECTIFS!$F$15="taux de chute"),AND($D69=OBJECTIFS!$B$20,OBJECTIFS!$F$22="taux de chute"),AND($D69=OBJECTIFS!$B$27,OBJECTIFS!$F$29="taux de chute"),AND($D69=OBJECTIFS!$B$34,OBJECTIFS!$F$36="taux de chute"),AND($D69=OBJECTIFS!$B$6,OBJECTIFS!$F$8="tx mea"),AND($D69=OBJECTIFS!$B$13,OBJECTIFS!$F$15="tx mea"),AND($D69=OBJECTIFS!$B$20,OBJECTIFS!$F$22="tx mea"),AND($D69=OBJECTIFS!$B$27,OBJECTIFS!$F$29="tx mea"),AND($D69=OBJECTIFS!$B$34,OBJECTIFS!$F$36="tx mea")),IFERROR(O69/N69,""),IFERROR(N69/O69,""))</f>
        <v/>
      </c>
      <c r="Q69" s="149">
        <f>IFERROR(IF(OR(N69="",O69="",P69=""),0,IF(P69&lt;OBJECTIFS!$E$56,0,IF(P69&lt;OBJECTIFS!$G$56,Q$8*OBJECTIFS!$F$60,IF(P69&lt;OBJECTIFS!$I$56,Q$8*OBJECTIFS!$H$60,Q$8)))),0)</f>
        <v>0</v>
      </c>
      <c r="R69" s="121"/>
      <c r="S69" s="73" t="str">
        <f>IF(OR($A69="",$D69="",R69=""),"",SUMIFS(OBJECTIFS!G$9:G$39,OBJECTIFS!$A$9:$A$39,$D69,OBJECTIFS!$C$9:$C$39,$F69))</f>
        <v/>
      </c>
      <c r="T69" s="72" t="str">
        <f>IF(OR(AND($D69=OBJECTIFS!$B$6,OBJECTIFS!G$8="dmt"),AND($D69=OBJECTIFS!$B$13,OBJECTIFS!$G$15="dmt"),AND($D69=OBJECTIFS!$B$20,OBJECTIFS!$G$22="dmt"),AND($D69=OBJECTIFS!$B$27,OBJECTIFS!$G$29="dmt"),AND($D69=OBJECTIFS!$B$34,OBJECTIFS!$G$36="dmt"),AND($D69=OBJECTIFS!$B$6,OBJECTIFS!$G$8="taux de chute"),AND($D69=OBJECTIFS!$B$13,OBJECTIFS!$G$15="taux de chute"),AND($D69=OBJECTIFS!$B$20,OBJECTIFS!$G$22="taux de chute"),AND($D69=OBJECTIFS!$B$27,OBJECTIFS!$G$29="taux de chute"),AND($D69=OBJECTIFS!$B$34,OBJECTIFS!$G$36="taux de chute",AND($D69=OBJECTIFS!$B$6,OBJECTIFS!G$8="tx mea"),AND($D69=OBJECTIFS!$B$13,OBJECTIFS!$G$15="tx mea"),AND($D69=OBJECTIFS!$B$20,OBJECTIFS!$G$22="tx mea"),AND($D69=OBJECTIFS!$B$27,OBJECTIFS!$G$29="tx mea"),AND($D69=OBJECTIFS!$B$34,OBJECTIFS!$G$36="tx mea"))),IFERROR(S69/R69,""),IFERROR(R69/S69,""))</f>
        <v/>
      </c>
      <c r="U69" s="152">
        <f>IFERROR(IF(OR(R69="",S69="",T69=""),0,IF(T69&lt;OBJECTIFS!$E$56,0,IF(T69&lt;OBJECTIFS!$G$56,U$8*OBJECTIFS!$F$60,IF(T69&lt;OBJECTIFS!$I$56,U$8*OBJECTIFS!$H$60,U$8)))),0)</f>
        <v>0</v>
      </c>
      <c r="V69" s="20"/>
      <c r="W69" s="72" t="str">
        <f>IF(OR($A69="",$D69="",V69=""),"",SUMIFS(OBJECTIFS!H$9:H$39,OBJECTIFS!$A$9:$A$39,$D69,OBJECTIFS!$C$9:$C$39,$F69))</f>
        <v/>
      </c>
      <c r="X69" s="72" t="str">
        <f>IF(OR(AND($D69=OBJECTIFS!$B$6,OBJECTIFS!H$8="dmt"),AND($D69=OBJECTIFS!$B$13,OBJECTIFS!$H$15="dmt"),AND($D69=OBJECTIFS!$B$20,OBJECTIFS!$H$22="dmt"),AND($D69=OBJECTIFS!$B$27,OBJECTIFS!$H$29="dmt"),AND($D69=OBJECTIFS!$B$34,OBJECTIFS!$H$36="dmt"),AND($D69=OBJECTIFS!$B$6,OBJECTIFS!$H$8="taux de chute"),AND($D69=OBJECTIFS!$B$13,OBJECTIFS!$H$15="taux de chute"),AND($D69=OBJECTIFS!$B$20,OBJECTIFS!$H$22="taux de chute"),AND($D69=OBJECTIFS!$B$27,OBJECTIFS!$H$29="taux de chute"),AND($D69=OBJECTIFS!$B$34,OBJECTIFS!$H$36="taux de chute"),AND($D69=OBJECTIFS!$B$6,OBJECTIFS!H$8="tx mea"),AND($D69=OBJECTIFS!$B$13,OBJECTIFS!$H$15="tx mea"),AND($D69=OBJECTIFS!$B$20,OBJECTIFS!$H$22="tx mea"),AND($D69=OBJECTIFS!$B$27,OBJECTIFS!$H$29="tx mea"),AND($D69=OBJECTIFS!$B$34,OBJECTIFS!$H$36="tx mea")),IFERROR(W69/V69,""),IFERROR(V69/W69,""))</f>
        <v/>
      </c>
      <c r="Y69" s="149">
        <f>IFERROR(IF(OR(V69="",W69="",X69=""),0,IF(X69&lt;OBJECTIFS!$E$56,0,IF(X69&lt;OBJECTIFS!$G$56,Y$8*OBJECTIFS!$F$60,IF(X69&lt;OBJECTIFS!$I$56,Y$8*OBJECTIFS!$H$60,Y$8)))),0)</f>
        <v>0</v>
      </c>
      <c r="Z69" s="124"/>
      <c r="AA69" s="72" t="str">
        <f>IF(OR($A69="",$D69="",Z69=""),"",SUMIFS(OBJECTIFS!I$9:I$39,OBJECTIFS!$A$9:$A$39,$D69,OBJECTIFS!$C$9:$C$39,$F69))</f>
        <v/>
      </c>
      <c r="AB69" s="72" t="str">
        <f>IF(OR(AND($D69=OBJECTIFS!$B$6,OBJECTIFS!I$8="dmt"),AND($D69=OBJECTIFS!$B$13,OBJECTIFS!$I$15="dmt"),AND($D69=OBJECTIFS!$B$20,OBJECTIFS!$I$22="dmt"),AND($D69=OBJECTIFS!$B$27,OBJECTIFS!$I$29="dmt"),AND($D69=OBJECTIFS!$B$34,OBJECTIFS!$I$36="dmt"),AND($D69=OBJECTIFS!$B$6,OBJECTIFS!$I$8="taux de chute"),AND($D69=OBJECTIFS!$B$13,OBJECTIFS!$I$15="taux de chute"),AND($D69=OBJECTIFS!$B$20,OBJECTIFS!$I$22="taux de chute"),AND($D69=OBJECTIFS!$B$27,OBJECTIFS!$I$29="taux de chute"),AND($D69=OBJECTIFS!$B$34,OBJECTIFS!$I$36="taux de chute"),AND($D69=OBJECTIFS!$B$6,OBJECTIFS!I$8="tx mea"),AND($D69=OBJECTIFS!$B$13,OBJECTIFS!$I$15="tx mea"),AND($D69=OBJECTIFS!$B$20,OBJECTIFS!$I$22="tx mea"),AND($D69=OBJECTIFS!$B$27,OBJECTIFS!$I$29="tx mea"),AND($D69=OBJECTIFS!$B$34,OBJECTIFS!$I$36="tx mea")),IFERROR(AA69/Z69,""),IFERROR(Z69/AA69,""))</f>
        <v/>
      </c>
      <c r="AC69" s="155">
        <f>IFERROR(IF(OR(Z69="",AA69="",AB69=""),0,IF(AB69&lt;OBJECTIFS!$E$56,0,IF(AB69&lt;OBJECTIFS!$G$56,AC$8*OBJECTIFS!$F$60,IF(AB69&lt;OBJECTIFS!$I$56,AC$8*OBJECTIFS!$H$60,AC$8)))),0)</f>
        <v>0</v>
      </c>
      <c r="AD69" s="289"/>
      <c r="AE69" s="290"/>
      <c r="AF69" s="158">
        <f t="shared" ca="1" si="3"/>
        <v>0</v>
      </c>
      <c r="AG69" s="52"/>
      <c r="AH69" s="126"/>
      <c r="AI69" s="19"/>
      <c r="AJ69" s="19"/>
      <c r="AK69" s="19"/>
      <c r="AL69" s="19"/>
      <c r="AM69" s="63">
        <f t="shared" si="4"/>
        <v>0</v>
      </c>
      <c r="AN69" s="63">
        <f t="shared" si="8"/>
        <v>22</v>
      </c>
      <c r="AO69" s="64">
        <f t="shared" si="5"/>
        <v>0</v>
      </c>
      <c r="AP69" s="65" t="str">
        <f t="shared" ca="1" si="0"/>
        <v/>
      </c>
      <c r="AQ69" s="66"/>
      <c r="AR69" s="168">
        <f>IFERROR(VLOOKUP(B69,OBJECTIFS!$C$76:$E$137,2,FALSE),0)</f>
        <v>0</v>
      </c>
      <c r="AS69" s="173"/>
      <c r="AT69" s="170">
        <f>IFERROR(VLOOKUP(B69,OBJECTIFS!$H$76:$J$137,2,FALSE),0)</f>
        <v>0</v>
      </c>
      <c r="AU69" s="178">
        <f t="shared" si="6"/>
        <v>0</v>
      </c>
      <c r="AV69" s="173"/>
      <c r="AW69" s="74">
        <f>IFERROR(VLOOKUP(B69,OBJECTIFS!$C$142:$E$203,2,FALSE),0)</f>
        <v>0</v>
      </c>
      <c r="AX69" s="74">
        <f>IFERROR(VLOOKUP(B69,OBJECTIFS!$H$142:$J$203,2,FALSE),0)</f>
        <v>0</v>
      </c>
      <c r="AY69" s="174">
        <f>IFERROR(VLOOKUP(B69,OBJECTIFS!$F$208:$H$269,3,FALSE),0)</f>
        <v>0</v>
      </c>
      <c r="AZ69" s="66"/>
      <c r="BA69" s="75" t="str">
        <f t="shared" ca="1" si="7"/>
        <v/>
      </c>
      <c r="BB69" s="52"/>
      <c r="BC69" s="76">
        <f t="shared" ca="1" si="30"/>
        <v>0</v>
      </c>
      <c r="BD69" s="53" t="str">
        <f t="shared" ca="1" si="2"/>
        <v/>
      </c>
      <c r="BE69" s="77" t="str">
        <f t="shared" ca="1" si="31"/>
        <v/>
      </c>
    </row>
    <row r="70" spans="1:57" x14ac:dyDescent="0.2">
      <c r="A70" s="16"/>
      <c r="B70" s="17"/>
      <c r="C70" s="17"/>
      <c r="D70" s="18"/>
      <c r="E70" s="19"/>
      <c r="F70" s="27"/>
      <c r="H70" s="71" t="str">
        <f>IF(OR(D70="",F70="",A70=""),"",IF(E70="oui",0,IF(D70=OBJECTIFS!$C$45,VLOOKUP(F70,OBJECTIFS!$C$9:$D$11,2,FALSE),IF(D70=OBJECTIFS!$C$46,VLOOKUP(F70,OBJECTIFS!$C$16:$D$18,2,FALSE),IF(D70=OBJECTIFS!$C$47,VLOOKUP(F70,OBJECTIFS!$C$23:$D$25,2,FALSE),IF(D70=OBJECTIFS!$C$48,VLOOKUP(F70,OBJECTIFS!$C$30:$D$32,2,FALSE),IF(D70=OBJECTIFS!$C$49,VLOOKUP(F70,OBJECTIFS!$C$37:$D$39,2,FALSE))))))))</f>
        <v/>
      </c>
      <c r="J70" s="138"/>
      <c r="K70" s="141" t="str">
        <f>IF(OR($A70="",$D70="",J70=""),"",SUMIFS(OBJECTIFS!E$9:E$39,OBJECTIFS!$A$9:$A$39,$D70,OBJECTIFS!$C$9:$C$39,$F70))</f>
        <v/>
      </c>
      <c r="L70" s="72" t="str">
        <f>IF(OR(AND($D70=OBJECTIFS!$B$6,OBJECTIFS!E$8="dmt"),AND($D70=OBJECTIFS!$B$13,OBJECTIFS!$E$15="dmt"),AND($D70=OBJECTIFS!$B$20,OBJECTIFS!$E$22="dmt"),AND($D70=OBJECTIFS!$B$27,OBJECTIFS!$E$29="dmt"),AND($D70=OBJECTIFS!$B$34,OBJECTIFS!$E$36="dmt"),AND($D70=OBJECTIFS!$B$6,OBJECTIFS!$E$8="taux de chute"),AND($D70=OBJECTIFS!$B$13,OBJECTIFS!$E$15="taux de chute"),AND($D70=OBJECTIFS!$B$20,OBJECTIFS!$E$22="taux de chute"),AND($D70=OBJECTIFS!$B$27,OBJECTIFS!$E$29="taux de chute"),AND($D70=OBJECTIFS!$B$34,OBJECTIFS!$E$36="taux de chute"),AND($D70=OBJECTIFS!$B$6,OBJECTIFS!E$8="tx mea"),AND($D70=OBJECTIFS!$B$13,OBJECTIFS!$E$15="tx mea"),AND($D70=OBJECTIFS!$B$20,OBJECTIFS!$E$22="tx mea"),AND($D70=OBJECTIFS!$B$27,OBJECTIFS!$E$29="tx mea"),AND($D70=OBJECTIFS!$B$34,OBJECTIFS!$E$36="tx mea")),IFERROR(K70/J70,""),IFERROR(J70/K70,""))</f>
        <v/>
      </c>
      <c r="M70" s="149">
        <f>IFERROR(IF(OR(J70="",K70="",L70=""),0,IF(L70&lt;OBJECTIFS!$E$56,0,IF(L70&lt;OBJECTIFS!$G$56,M$8*OBJECTIFS!$F$60,IF(L70&lt;OBJECTIFS!$I$56,M$8*OBJECTIFS!$H$60,M$8)))),0)</f>
        <v>0</v>
      </c>
      <c r="N70" s="144"/>
      <c r="O70" s="145" t="str">
        <f>IF(OR($A70="",$D70="",N70=""),"",SUMIFS(OBJECTIFS!F$9:F$39,OBJECTIFS!$A$9:$A$39,$D70,OBJECTIFS!$C$9:$C$39,$F70))</f>
        <v/>
      </c>
      <c r="P70" s="72" t="str">
        <f>IF(OR(AND($D70=OBJECTIFS!$B$6,OBJECTIFS!$F$8="dmt"),AND($D70=OBJECTIFS!$B$13,OBJECTIFS!$F$15="dmt"),AND($D70=OBJECTIFS!$B$20,OBJECTIFS!$F$22="dmt"),AND($D70=OBJECTIFS!$B$27,OBJECTIFS!$F$29="dmt"),AND($D70=OBJECTIFS!$B$34,OBJECTIFS!$F$36="dmt"),AND($D70=OBJECTIFS!$B$6,OBJECTIFS!$F$8="taux de chute"),AND($D70=OBJECTIFS!$B$13,OBJECTIFS!$F$15="taux de chute"),AND($D70=OBJECTIFS!$B$20,OBJECTIFS!$F$22="taux de chute"),AND($D70=OBJECTIFS!$B$27,OBJECTIFS!$F$29="taux de chute"),AND($D70=OBJECTIFS!$B$34,OBJECTIFS!$F$36="taux de chute"),AND($D70=OBJECTIFS!$B$6,OBJECTIFS!$F$8="tx mea"),AND($D70=OBJECTIFS!$B$13,OBJECTIFS!$F$15="tx mea"),AND($D70=OBJECTIFS!$B$20,OBJECTIFS!$F$22="tx mea"),AND($D70=OBJECTIFS!$B$27,OBJECTIFS!$F$29="tx mea"),AND($D70=OBJECTIFS!$B$34,OBJECTIFS!$F$36="tx mea")),IFERROR(O70/N70,""),IFERROR(N70/O70,""))</f>
        <v/>
      </c>
      <c r="Q70" s="149">
        <f>IFERROR(IF(OR(N70="",O70="",P70=""),0,IF(P70&lt;OBJECTIFS!$E$56,0,IF(P70&lt;OBJECTIFS!$G$56,Q$8*OBJECTIFS!$F$60,IF(P70&lt;OBJECTIFS!$I$56,Q$8*OBJECTIFS!$H$60,Q$8)))),0)</f>
        <v>0</v>
      </c>
      <c r="R70" s="121"/>
      <c r="S70" s="73" t="str">
        <f>IF(OR($A70="",$D70="",R70=""),"",SUMIFS(OBJECTIFS!G$9:G$39,OBJECTIFS!$A$9:$A$39,$D70,OBJECTIFS!$C$9:$C$39,$F70))</f>
        <v/>
      </c>
      <c r="T70" s="72" t="str">
        <f>IF(OR(AND($D70=OBJECTIFS!$B$6,OBJECTIFS!G$8="dmt"),AND($D70=OBJECTIFS!$B$13,OBJECTIFS!$G$15="dmt"),AND($D70=OBJECTIFS!$B$20,OBJECTIFS!$G$22="dmt"),AND($D70=OBJECTIFS!$B$27,OBJECTIFS!$G$29="dmt"),AND($D70=OBJECTIFS!$B$34,OBJECTIFS!$G$36="dmt"),AND($D70=OBJECTIFS!$B$6,OBJECTIFS!$G$8="taux de chute"),AND($D70=OBJECTIFS!$B$13,OBJECTIFS!$G$15="taux de chute"),AND($D70=OBJECTIFS!$B$20,OBJECTIFS!$G$22="taux de chute"),AND($D70=OBJECTIFS!$B$27,OBJECTIFS!$G$29="taux de chute"),AND($D70=OBJECTIFS!$B$34,OBJECTIFS!$G$36="taux de chute",AND($D70=OBJECTIFS!$B$6,OBJECTIFS!G$8="tx mea"),AND($D70=OBJECTIFS!$B$13,OBJECTIFS!$G$15="tx mea"),AND($D70=OBJECTIFS!$B$20,OBJECTIFS!$G$22="tx mea"),AND($D70=OBJECTIFS!$B$27,OBJECTIFS!$G$29="tx mea"),AND($D70=OBJECTIFS!$B$34,OBJECTIFS!$G$36="tx mea"))),IFERROR(S70/R70,""),IFERROR(R70/S70,""))</f>
        <v/>
      </c>
      <c r="U70" s="152">
        <f>IFERROR(IF(OR(R70="",S70="",T70=""),0,IF(T70&lt;OBJECTIFS!$E$56,0,IF(T70&lt;OBJECTIFS!$G$56,U$8*OBJECTIFS!$F$60,IF(T70&lt;OBJECTIFS!$I$56,U$8*OBJECTIFS!$H$60,U$8)))),0)</f>
        <v>0</v>
      </c>
      <c r="V70" s="20"/>
      <c r="W70" s="72" t="str">
        <f>IF(OR($A70="",$D70="",V70=""),"",SUMIFS(OBJECTIFS!H$9:H$39,OBJECTIFS!$A$9:$A$39,$D70,OBJECTIFS!$C$9:$C$39,$F70))</f>
        <v/>
      </c>
      <c r="X70" s="72" t="str">
        <f>IF(OR(AND($D70=OBJECTIFS!$B$6,OBJECTIFS!H$8="dmt"),AND($D70=OBJECTIFS!$B$13,OBJECTIFS!$H$15="dmt"),AND($D70=OBJECTIFS!$B$20,OBJECTIFS!$H$22="dmt"),AND($D70=OBJECTIFS!$B$27,OBJECTIFS!$H$29="dmt"),AND($D70=OBJECTIFS!$B$34,OBJECTIFS!$H$36="dmt"),AND($D70=OBJECTIFS!$B$6,OBJECTIFS!$H$8="taux de chute"),AND($D70=OBJECTIFS!$B$13,OBJECTIFS!$H$15="taux de chute"),AND($D70=OBJECTIFS!$B$20,OBJECTIFS!$H$22="taux de chute"),AND($D70=OBJECTIFS!$B$27,OBJECTIFS!$H$29="taux de chute"),AND($D70=OBJECTIFS!$B$34,OBJECTIFS!$H$36="taux de chute"),AND($D70=OBJECTIFS!$B$6,OBJECTIFS!H$8="tx mea"),AND($D70=OBJECTIFS!$B$13,OBJECTIFS!$H$15="tx mea"),AND($D70=OBJECTIFS!$B$20,OBJECTIFS!$H$22="tx mea"),AND($D70=OBJECTIFS!$B$27,OBJECTIFS!$H$29="tx mea"),AND($D70=OBJECTIFS!$B$34,OBJECTIFS!$H$36="tx mea")),IFERROR(W70/V70,""),IFERROR(V70/W70,""))</f>
        <v/>
      </c>
      <c r="Y70" s="149">
        <f>IFERROR(IF(OR(V70="",W70="",X70=""),0,IF(X70&lt;OBJECTIFS!$E$56,0,IF(X70&lt;OBJECTIFS!$G$56,Y$8*OBJECTIFS!$F$60,IF(X70&lt;OBJECTIFS!$I$56,Y$8*OBJECTIFS!$H$60,Y$8)))),0)</f>
        <v>0</v>
      </c>
      <c r="Z70" s="124"/>
      <c r="AA70" s="72" t="str">
        <f>IF(OR($A70="",$D70="",Z70=""),"",SUMIFS(OBJECTIFS!I$9:I$39,OBJECTIFS!$A$9:$A$39,$D70,OBJECTIFS!$C$9:$C$39,$F70))</f>
        <v/>
      </c>
      <c r="AB70" s="72" t="str">
        <f>IF(OR(AND($D70=OBJECTIFS!$B$6,OBJECTIFS!I$8="dmt"),AND($D70=OBJECTIFS!$B$13,OBJECTIFS!$I$15="dmt"),AND($D70=OBJECTIFS!$B$20,OBJECTIFS!$I$22="dmt"),AND($D70=OBJECTIFS!$B$27,OBJECTIFS!$I$29="dmt"),AND($D70=OBJECTIFS!$B$34,OBJECTIFS!$I$36="dmt"),AND($D70=OBJECTIFS!$B$6,OBJECTIFS!$I$8="taux de chute"),AND($D70=OBJECTIFS!$B$13,OBJECTIFS!$I$15="taux de chute"),AND($D70=OBJECTIFS!$B$20,OBJECTIFS!$I$22="taux de chute"),AND($D70=OBJECTIFS!$B$27,OBJECTIFS!$I$29="taux de chute"),AND($D70=OBJECTIFS!$B$34,OBJECTIFS!$I$36="taux de chute"),AND($D70=OBJECTIFS!$B$6,OBJECTIFS!I$8="tx mea"),AND($D70=OBJECTIFS!$B$13,OBJECTIFS!$I$15="tx mea"),AND($D70=OBJECTIFS!$B$20,OBJECTIFS!$I$22="tx mea"),AND($D70=OBJECTIFS!$B$27,OBJECTIFS!$I$29="tx mea"),AND($D70=OBJECTIFS!$B$34,OBJECTIFS!$I$36="tx mea")),IFERROR(AA70/Z70,""),IFERROR(Z70/AA70,""))</f>
        <v/>
      </c>
      <c r="AC70" s="155">
        <f>IFERROR(IF(OR(Z70="",AA70="",AB70=""),0,IF(AB70&lt;OBJECTIFS!$E$56,0,IF(AB70&lt;OBJECTIFS!$G$56,AC$8*OBJECTIFS!$F$60,IF(AB70&lt;OBJECTIFS!$I$56,AC$8*OBJECTIFS!$H$60,AC$8)))),0)</f>
        <v>0</v>
      </c>
      <c r="AD70" s="289"/>
      <c r="AE70" s="290"/>
      <c r="AF70" s="158">
        <f t="shared" ca="1" si="3"/>
        <v>0</v>
      </c>
      <c r="AG70" s="52"/>
      <c r="AH70" s="126"/>
      <c r="AI70" s="19"/>
      <c r="AJ70" s="19"/>
      <c r="AK70" s="19"/>
      <c r="AL70" s="19"/>
      <c r="AM70" s="63">
        <f t="shared" si="4"/>
        <v>0</v>
      </c>
      <c r="AN70" s="63">
        <f t="shared" si="8"/>
        <v>22</v>
      </c>
      <c r="AO70" s="64">
        <f t="shared" si="5"/>
        <v>0</v>
      </c>
      <c r="AP70" s="65" t="str">
        <f t="shared" ca="1" si="0"/>
        <v/>
      </c>
      <c r="AQ70" s="66"/>
      <c r="AR70" s="168">
        <f>IFERROR(VLOOKUP(B70,OBJECTIFS!$C$76:$E$137,2,FALSE),0)</f>
        <v>0</v>
      </c>
      <c r="AS70" s="173"/>
      <c r="AT70" s="170">
        <f>IFERROR(VLOOKUP(B70,OBJECTIFS!$H$76:$J$137,2,FALSE),0)</f>
        <v>0</v>
      </c>
      <c r="AU70" s="178">
        <f t="shared" si="6"/>
        <v>0</v>
      </c>
      <c r="AV70" s="173"/>
      <c r="AW70" s="74">
        <f>IFERROR(VLOOKUP(B70,OBJECTIFS!$C$142:$E$203,2,FALSE),0)</f>
        <v>0</v>
      </c>
      <c r="AX70" s="74">
        <f>IFERROR(VLOOKUP(B70,OBJECTIFS!$H$142:$J$203,2,FALSE),0)</f>
        <v>0</v>
      </c>
      <c r="AY70" s="174">
        <f>IFERROR(VLOOKUP(B70,OBJECTIFS!$F$208:$H$269,3,FALSE),0)</f>
        <v>0</v>
      </c>
      <c r="AZ70" s="66"/>
      <c r="BA70" s="75" t="str">
        <f t="shared" ca="1" si="7"/>
        <v/>
      </c>
      <c r="BB70" s="52"/>
      <c r="BC70" s="76">
        <f t="shared" ca="1" si="30"/>
        <v>0</v>
      </c>
      <c r="BD70" s="53" t="str">
        <f t="shared" ca="1" si="2"/>
        <v/>
      </c>
      <c r="BE70" s="77" t="str">
        <f t="shared" ca="1" si="31"/>
        <v/>
      </c>
    </row>
    <row r="71" spans="1:57" x14ac:dyDescent="0.2">
      <c r="A71" s="16"/>
      <c r="B71" s="17"/>
      <c r="C71" s="17"/>
      <c r="D71" s="18"/>
      <c r="E71" s="19"/>
      <c r="F71" s="27"/>
      <c r="H71" s="71" t="str">
        <f>IF(OR(D71="",F71="",A71=""),"",IF(E71="oui",0,IF(D71=OBJECTIFS!$C$45,VLOOKUP(F71,OBJECTIFS!$C$9:$D$11,2,FALSE),IF(D71=OBJECTIFS!$C$46,VLOOKUP(F71,OBJECTIFS!$C$16:$D$18,2,FALSE),IF(D71=OBJECTIFS!$C$47,VLOOKUP(F71,OBJECTIFS!$C$23:$D$25,2,FALSE),IF(D71=OBJECTIFS!$C$48,VLOOKUP(F71,OBJECTIFS!$C$30:$D$32,2,FALSE),IF(D71=OBJECTIFS!$C$49,VLOOKUP(F71,OBJECTIFS!$C$37:$D$39,2,FALSE))))))))</f>
        <v/>
      </c>
      <c r="J71" s="138"/>
      <c r="K71" s="141" t="str">
        <f>IF(OR($A71="",$D71="",J71=""),"",SUMIFS(OBJECTIFS!E$9:E$39,OBJECTIFS!$A$9:$A$39,$D71,OBJECTIFS!$C$9:$C$39,$F71))</f>
        <v/>
      </c>
      <c r="L71" s="72" t="str">
        <f>IF(OR(AND($D71=OBJECTIFS!$B$6,OBJECTIFS!E$8="dmt"),AND($D71=OBJECTIFS!$B$13,OBJECTIFS!$E$15="dmt"),AND($D71=OBJECTIFS!$B$20,OBJECTIFS!$E$22="dmt"),AND($D71=OBJECTIFS!$B$27,OBJECTIFS!$E$29="dmt"),AND($D71=OBJECTIFS!$B$34,OBJECTIFS!$E$36="dmt"),AND($D71=OBJECTIFS!$B$6,OBJECTIFS!$E$8="taux de chute"),AND($D71=OBJECTIFS!$B$13,OBJECTIFS!$E$15="taux de chute"),AND($D71=OBJECTIFS!$B$20,OBJECTIFS!$E$22="taux de chute"),AND($D71=OBJECTIFS!$B$27,OBJECTIFS!$E$29="taux de chute"),AND($D71=OBJECTIFS!$B$34,OBJECTIFS!$E$36="taux de chute"),AND($D71=OBJECTIFS!$B$6,OBJECTIFS!E$8="tx mea"),AND($D71=OBJECTIFS!$B$13,OBJECTIFS!$E$15="tx mea"),AND($D71=OBJECTIFS!$B$20,OBJECTIFS!$E$22="tx mea"),AND($D71=OBJECTIFS!$B$27,OBJECTIFS!$E$29="tx mea"),AND($D71=OBJECTIFS!$B$34,OBJECTIFS!$E$36="tx mea")),IFERROR(K71/J71,""),IFERROR(J71/K71,""))</f>
        <v/>
      </c>
      <c r="M71" s="149">
        <f>IFERROR(IF(OR(J71="",K71="",L71=""),0,IF(L71&lt;OBJECTIFS!$E$56,0,IF(L71&lt;OBJECTIFS!$G$56,M$8*OBJECTIFS!$F$60,IF(L71&lt;OBJECTIFS!$I$56,M$8*OBJECTIFS!$H$60,M$8)))),0)</f>
        <v>0</v>
      </c>
      <c r="N71" s="144"/>
      <c r="O71" s="145" t="str">
        <f>IF(OR($A71="",$D71="",N71=""),"",SUMIFS(OBJECTIFS!F$9:F$39,OBJECTIFS!$A$9:$A$39,$D71,OBJECTIFS!$C$9:$C$39,$F71))</f>
        <v/>
      </c>
      <c r="P71" s="72" t="str">
        <f>IF(OR(AND($D71=OBJECTIFS!$B$6,OBJECTIFS!$F$8="dmt"),AND($D71=OBJECTIFS!$B$13,OBJECTIFS!$F$15="dmt"),AND($D71=OBJECTIFS!$B$20,OBJECTIFS!$F$22="dmt"),AND($D71=OBJECTIFS!$B$27,OBJECTIFS!$F$29="dmt"),AND($D71=OBJECTIFS!$B$34,OBJECTIFS!$F$36="dmt"),AND($D71=OBJECTIFS!$B$6,OBJECTIFS!$F$8="taux de chute"),AND($D71=OBJECTIFS!$B$13,OBJECTIFS!$F$15="taux de chute"),AND($D71=OBJECTIFS!$B$20,OBJECTIFS!$F$22="taux de chute"),AND($D71=OBJECTIFS!$B$27,OBJECTIFS!$F$29="taux de chute"),AND($D71=OBJECTIFS!$B$34,OBJECTIFS!$F$36="taux de chute"),AND($D71=OBJECTIFS!$B$6,OBJECTIFS!$F$8="tx mea"),AND($D71=OBJECTIFS!$B$13,OBJECTIFS!$F$15="tx mea"),AND($D71=OBJECTIFS!$B$20,OBJECTIFS!$F$22="tx mea"),AND($D71=OBJECTIFS!$B$27,OBJECTIFS!$F$29="tx mea"),AND($D71=OBJECTIFS!$B$34,OBJECTIFS!$F$36="tx mea")),IFERROR(O71/N71,""),IFERROR(N71/O71,""))</f>
        <v/>
      </c>
      <c r="Q71" s="149">
        <f>IFERROR(IF(OR(N71="",O71="",P71=""),0,IF(P71&lt;OBJECTIFS!$E$56,0,IF(P71&lt;OBJECTIFS!$G$56,Q$8*OBJECTIFS!$F$60,IF(P71&lt;OBJECTIFS!$I$56,Q$8*OBJECTIFS!$H$60,Q$8)))),0)</f>
        <v>0</v>
      </c>
      <c r="R71" s="121"/>
      <c r="S71" s="73" t="str">
        <f>IF(OR($A71="",$D71="",R71=""),"",SUMIFS(OBJECTIFS!G$9:G$39,OBJECTIFS!$A$9:$A$39,$D71,OBJECTIFS!$C$9:$C$39,$F71))</f>
        <v/>
      </c>
      <c r="T71" s="72" t="str">
        <f>IF(OR(AND($D71=OBJECTIFS!$B$6,OBJECTIFS!G$8="dmt"),AND($D71=OBJECTIFS!$B$13,OBJECTIFS!$G$15="dmt"),AND($D71=OBJECTIFS!$B$20,OBJECTIFS!$G$22="dmt"),AND($D71=OBJECTIFS!$B$27,OBJECTIFS!$G$29="dmt"),AND($D71=OBJECTIFS!$B$34,OBJECTIFS!$G$36="dmt"),AND($D71=OBJECTIFS!$B$6,OBJECTIFS!$G$8="taux de chute"),AND($D71=OBJECTIFS!$B$13,OBJECTIFS!$G$15="taux de chute"),AND($D71=OBJECTIFS!$B$20,OBJECTIFS!$G$22="taux de chute"),AND($D71=OBJECTIFS!$B$27,OBJECTIFS!$G$29="taux de chute"),AND($D71=OBJECTIFS!$B$34,OBJECTIFS!$G$36="taux de chute",AND($D71=OBJECTIFS!$B$6,OBJECTIFS!G$8="tx mea"),AND($D71=OBJECTIFS!$B$13,OBJECTIFS!$G$15="tx mea"),AND($D71=OBJECTIFS!$B$20,OBJECTIFS!$G$22="tx mea"),AND($D71=OBJECTIFS!$B$27,OBJECTIFS!$G$29="tx mea"),AND($D71=OBJECTIFS!$B$34,OBJECTIFS!$G$36="tx mea"))),IFERROR(S71/R71,""),IFERROR(R71/S71,""))</f>
        <v/>
      </c>
      <c r="U71" s="152">
        <f>IFERROR(IF(OR(R71="",S71="",T71=""),0,IF(T71&lt;OBJECTIFS!$E$56,0,IF(T71&lt;OBJECTIFS!$G$56,U$8*OBJECTIFS!$F$60,IF(T71&lt;OBJECTIFS!$I$56,U$8*OBJECTIFS!$H$60,U$8)))),0)</f>
        <v>0</v>
      </c>
      <c r="V71" s="20"/>
      <c r="W71" s="72" t="str">
        <f>IF(OR($A71="",$D71="",V71=""),"",SUMIFS(OBJECTIFS!H$9:H$39,OBJECTIFS!$A$9:$A$39,$D71,OBJECTIFS!$C$9:$C$39,$F71))</f>
        <v/>
      </c>
      <c r="X71" s="72" t="str">
        <f>IF(OR(AND($D71=OBJECTIFS!$B$6,OBJECTIFS!H$8="dmt"),AND($D71=OBJECTIFS!$B$13,OBJECTIFS!$H$15="dmt"),AND($D71=OBJECTIFS!$B$20,OBJECTIFS!$H$22="dmt"),AND($D71=OBJECTIFS!$B$27,OBJECTIFS!$H$29="dmt"),AND($D71=OBJECTIFS!$B$34,OBJECTIFS!$H$36="dmt"),AND($D71=OBJECTIFS!$B$6,OBJECTIFS!$H$8="taux de chute"),AND($D71=OBJECTIFS!$B$13,OBJECTIFS!$H$15="taux de chute"),AND($D71=OBJECTIFS!$B$20,OBJECTIFS!$H$22="taux de chute"),AND($D71=OBJECTIFS!$B$27,OBJECTIFS!$H$29="taux de chute"),AND($D71=OBJECTIFS!$B$34,OBJECTIFS!$H$36="taux de chute"),AND($D71=OBJECTIFS!$B$6,OBJECTIFS!H$8="tx mea"),AND($D71=OBJECTIFS!$B$13,OBJECTIFS!$H$15="tx mea"),AND($D71=OBJECTIFS!$B$20,OBJECTIFS!$H$22="tx mea"),AND($D71=OBJECTIFS!$B$27,OBJECTIFS!$H$29="tx mea"),AND($D71=OBJECTIFS!$B$34,OBJECTIFS!$H$36="tx mea")),IFERROR(W71/V71,""),IFERROR(V71/W71,""))</f>
        <v/>
      </c>
      <c r="Y71" s="149">
        <f>IFERROR(IF(OR(V71="",W71="",X71=""),0,IF(X71&lt;OBJECTIFS!$E$56,0,IF(X71&lt;OBJECTIFS!$G$56,Y$8*OBJECTIFS!$F$60,IF(X71&lt;OBJECTIFS!$I$56,Y$8*OBJECTIFS!$H$60,Y$8)))),0)</f>
        <v>0</v>
      </c>
      <c r="Z71" s="124"/>
      <c r="AA71" s="72" t="str">
        <f>IF(OR($A71="",$D71="",Z71=""),"",SUMIFS(OBJECTIFS!I$9:I$39,OBJECTIFS!$A$9:$A$39,$D71,OBJECTIFS!$C$9:$C$39,$F71))</f>
        <v/>
      </c>
      <c r="AB71" s="72" t="str">
        <f>IF(OR(AND($D71=OBJECTIFS!$B$6,OBJECTIFS!I$8="dmt"),AND($D71=OBJECTIFS!$B$13,OBJECTIFS!$I$15="dmt"),AND($D71=OBJECTIFS!$B$20,OBJECTIFS!$I$22="dmt"),AND($D71=OBJECTIFS!$B$27,OBJECTIFS!$I$29="dmt"),AND($D71=OBJECTIFS!$B$34,OBJECTIFS!$I$36="dmt"),AND($D71=OBJECTIFS!$B$6,OBJECTIFS!$I$8="taux de chute"),AND($D71=OBJECTIFS!$B$13,OBJECTIFS!$I$15="taux de chute"),AND($D71=OBJECTIFS!$B$20,OBJECTIFS!$I$22="taux de chute"),AND($D71=OBJECTIFS!$B$27,OBJECTIFS!$I$29="taux de chute"),AND($D71=OBJECTIFS!$B$34,OBJECTIFS!$I$36="taux de chute"),AND($D71=OBJECTIFS!$B$6,OBJECTIFS!I$8="tx mea"),AND($D71=OBJECTIFS!$B$13,OBJECTIFS!$I$15="tx mea"),AND($D71=OBJECTIFS!$B$20,OBJECTIFS!$I$22="tx mea"),AND($D71=OBJECTIFS!$B$27,OBJECTIFS!$I$29="tx mea"),AND($D71=OBJECTIFS!$B$34,OBJECTIFS!$I$36="tx mea")),IFERROR(AA71/Z71,""),IFERROR(Z71/AA71,""))</f>
        <v/>
      </c>
      <c r="AC71" s="155">
        <f>IFERROR(IF(OR(Z71="",AA71="",AB71=""),0,IF(AB71&lt;OBJECTIFS!$E$56,0,IF(AB71&lt;OBJECTIFS!$G$56,AC$8*OBJECTIFS!$F$60,IF(AB71&lt;OBJECTIFS!$I$56,AC$8*OBJECTIFS!$H$60,AC$8)))),0)</f>
        <v>0</v>
      </c>
      <c r="AD71" s="289"/>
      <c r="AE71" s="290"/>
      <c r="AF71" s="158">
        <f t="shared" ca="1" si="3"/>
        <v>0</v>
      </c>
      <c r="AG71" s="52"/>
      <c r="AH71" s="126"/>
      <c r="AI71" s="19"/>
      <c r="AJ71" s="19"/>
      <c r="AK71" s="19"/>
      <c r="AL71" s="19"/>
      <c r="AM71" s="63">
        <f t="shared" si="4"/>
        <v>0</v>
      </c>
      <c r="AN71" s="63">
        <f t="shared" si="8"/>
        <v>22</v>
      </c>
      <c r="AO71" s="64">
        <f t="shared" si="5"/>
        <v>0</v>
      </c>
      <c r="AP71" s="65" t="str">
        <f t="shared" ca="1" si="0"/>
        <v/>
      </c>
      <c r="AQ71" s="66"/>
      <c r="AR71" s="168">
        <f>IFERROR(VLOOKUP(B71,OBJECTIFS!$C$76:$E$137,2,FALSE),0)</f>
        <v>0</v>
      </c>
      <c r="AS71" s="173"/>
      <c r="AT71" s="170">
        <f>IFERROR(VLOOKUP(B71,OBJECTIFS!$H$76:$J$137,2,FALSE),0)</f>
        <v>0</v>
      </c>
      <c r="AU71" s="178">
        <f t="shared" si="6"/>
        <v>0</v>
      </c>
      <c r="AV71" s="173"/>
      <c r="AW71" s="74">
        <f>IFERROR(VLOOKUP(B71,OBJECTIFS!$C$142:$E$203,2,FALSE),0)</f>
        <v>0</v>
      </c>
      <c r="AX71" s="74">
        <f>IFERROR(VLOOKUP(B71,OBJECTIFS!$H$142:$J$203,2,FALSE),0)</f>
        <v>0</v>
      </c>
      <c r="AY71" s="174">
        <f>IFERROR(VLOOKUP(B71,OBJECTIFS!$F$208:$H$269,3,FALSE),0)</f>
        <v>0</v>
      </c>
      <c r="AZ71" s="66"/>
      <c r="BA71" s="75" t="str">
        <f t="shared" ca="1" si="7"/>
        <v/>
      </c>
      <c r="BB71" s="52"/>
      <c r="BC71" s="76">
        <f t="shared" ca="1" si="30"/>
        <v>0</v>
      </c>
      <c r="BD71" s="53" t="str">
        <f t="shared" ca="1" si="2"/>
        <v/>
      </c>
      <c r="BE71" s="77" t="str">
        <f t="shared" ca="1" si="31"/>
        <v/>
      </c>
    </row>
    <row r="72" spans="1:57" x14ac:dyDescent="0.2">
      <c r="A72" s="16"/>
      <c r="B72" s="17"/>
      <c r="C72" s="17"/>
      <c r="D72" s="18"/>
      <c r="E72" s="19"/>
      <c r="F72" s="27"/>
      <c r="H72" s="71" t="str">
        <f>IF(OR(D72="",F72="",A72=""),"",IF(E72="oui",0,IF(D72=OBJECTIFS!$C$45,VLOOKUP(F72,OBJECTIFS!$C$9:$D$11,2,FALSE),IF(D72=OBJECTIFS!$C$46,VLOOKUP(F72,OBJECTIFS!$C$16:$D$18,2,FALSE),IF(D72=OBJECTIFS!$C$47,VLOOKUP(F72,OBJECTIFS!$C$23:$D$25,2,FALSE),IF(D72=OBJECTIFS!$C$48,VLOOKUP(F72,OBJECTIFS!$C$30:$D$32,2,FALSE),IF(D72=OBJECTIFS!$C$49,VLOOKUP(F72,OBJECTIFS!$C$37:$D$39,2,FALSE))))))))</f>
        <v/>
      </c>
      <c r="J72" s="138"/>
      <c r="K72" s="141" t="str">
        <f>IF(OR($A72="",$D72="",J72=""),"",SUMIFS(OBJECTIFS!E$9:E$39,OBJECTIFS!$A$9:$A$39,$D72,OBJECTIFS!$C$9:$C$39,$F72))</f>
        <v/>
      </c>
      <c r="L72" s="72" t="str">
        <f>IF(OR(AND($D72=OBJECTIFS!$B$6,OBJECTIFS!E$8="dmt"),AND($D72=OBJECTIFS!$B$13,OBJECTIFS!$E$15="dmt"),AND($D72=OBJECTIFS!$B$20,OBJECTIFS!$E$22="dmt"),AND($D72=OBJECTIFS!$B$27,OBJECTIFS!$E$29="dmt"),AND($D72=OBJECTIFS!$B$34,OBJECTIFS!$E$36="dmt"),AND($D72=OBJECTIFS!$B$6,OBJECTIFS!$E$8="taux de chute"),AND($D72=OBJECTIFS!$B$13,OBJECTIFS!$E$15="taux de chute"),AND($D72=OBJECTIFS!$B$20,OBJECTIFS!$E$22="taux de chute"),AND($D72=OBJECTIFS!$B$27,OBJECTIFS!$E$29="taux de chute"),AND($D72=OBJECTIFS!$B$34,OBJECTIFS!$E$36="taux de chute"),AND($D72=OBJECTIFS!$B$6,OBJECTIFS!E$8="tx mea"),AND($D72=OBJECTIFS!$B$13,OBJECTIFS!$E$15="tx mea"),AND($D72=OBJECTIFS!$B$20,OBJECTIFS!$E$22="tx mea"),AND($D72=OBJECTIFS!$B$27,OBJECTIFS!$E$29="tx mea"),AND($D72=OBJECTIFS!$B$34,OBJECTIFS!$E$36="tx mea")),IFERROR(K72/J72,""),IFERROR(J72/K72,""))</f>
        <v/>
      </c>
      <c r="M72" s="149">
        <f>IFERROR(IF(OR(J72="",K72="",L72=""),0,IF(L72&lt;OBJECTIFS!$E$56,0,IF(L72&lt;OBJECTIFS!$G$56,M$8*OBJECTIFS!$F$60,IF(L72&lt;OBJECTIFS!$I$56,M$8*OBJECTIFS!$H$60,M$8)))),0)</f>
        <v>0</v>
      </c>
      <c r="N72" s="144"/>
      <c r="O72" s="145" t="str">
        <f>IF(OR($A72="",$D72="",N72=""),"",SUMIFS(OBJECTIFS!F$9:F$39,OBJECTIFS!$A$9:$A$39,$D72,OBJECTIFS!$C$9:$C$39,$F72))</f>
        <v/>
      </c>
      <c r="P72" s="72" t="str">
        <f>IF(OR(AND($D72=OBJECTIFS!$B$6,OBJECTIFS!$F$8="dmt"),AND($D72=OBJECTIFS!$B$13,OBJECTIFS!$F$15="dmt"),AND($D72=OBJECTIFS!$B$20,OBJECTIFS!$F$22="dmt"),AND($D72=OBJECTIFS!$B$27,OBJECTIFS!$F$29="dmt"),AND($D72=OBJECTIFS!$B$34,OBJECTIFS!$F$36="dmt"),AND($D72=OBJECTIFS!$B$6,OBJECTIFS!$F$8="taux de chute"),AND($D72=OBJECTIFS!$B$13,OBJECTIFS!$F$15="taux de chute"),AND($D72=OBJECTIFS!$B$20,OBJECTIFS!$F$22="taux de chute"),AND($D72=OBJECTIFS!$B$27,OBJECTIFS!$F$29="taux de chute"),AND($D72=OBJECTIFS!$B$34,OBJECTIFS!$F$36="taux de chute"),AND($D72=OBJECTIFS!$B$6,OBJECTIFS!$F$8="tx mea"),AND($D72=OBJECTIFS!$B$13,OBJECTIFS!$F$15="tx mea"),AND($D72=OBJECTIFS!$B$20,OBJECTIFS!$F$22="tx mea"),AND($D72=OBJECTIFS!$B$27,OBJECTIFS!$F$29="tx mea"),AND($D72=OBJECTIFS!$B$34,OBJECTIFS!$F$36="tx mea")),IFERROR(O72/N72,""),IFERROR(N72/O72,""))</f>
        <v/>
      </c>
      <c r="Q72" s="149">
        <f>IFERROR(IF(OR(N72="",O72="",P72=""),0,IF(P72&lt;OBJECTIFS!$E$56,0,IF(P72&lt;OBJECTIFS!$G$56,Q$8*OBJECTIFS!$F$60,IF(P72&lt;OBJECTIFS!$I$56,Q$8*OBJECTIFS!$H$60,Q$8)))),0)</f>
        <v>0</v>
      </c>
      <c r="R72" s="121"/>
      <c r="S72" s="73" t="str">
        <f>IF(OR($A72="",$D72="",R72=""),"",SUMIFS(OBJECTIFS!G$9:G$39,OBJECTIFS!$A$9:$A$39,$D72,OBJECTIFS!$C$9:$C$39,$F72))</f>
        <v/>
      </c>
      <c r="T72" s="72" t="str">
        <f>IF(OR(AND($D72=OBJECTIFS!$B$6,OBJECTIFS!G$8="dmt"),AND($D72=OBJECTIFS!$B$13,OBJECTIFS!$G$15="dmt"),AND($D72=OBJECTIFS!$B$20,OBJECTIFS!$G$22="dmt"),AND($D72=OBJECTIFS!$B$27,OBJECTIFS!$G$29="dmt"),AND($D72=OBJECTIFS!$B$34,OBJECTIFS!$G$36="dmt"),AND($D72=OBJECTIFS!$B$6,OBJECTIFS!$G$8="taux de chute"),AND($D72=OBJECTIFS!$B$13,OBJECTIFS!$G$15="taux de chute"),AND($D72=OBJECTIFS!$B$20,OBJECTIFS!$G$22="taux de chute"),AND($D72=OBJECTIFS!$B$27,OBJECTIFS!$G$29="taux de chute"),AND($D72=OBJECTIFS!$B$34,OBJECTIFS!$G$36="taux de chute",AND($D72=OBJECTIFS!$B$6,OBJECTIFS!G$8="tx mea"),AND($D72=OBJECTIFS!$B$13,OBJECTIFS!$G$15="tx mea"),AND($D72=OBJECTIFS!$B$20,OBJECTIFS!$G$22="tx mea"),AND($D72=OBJECTIFS!$B$27,OBJECTIFS!$G$29="tx mea"),AND($D72=OBJECTIFS!$B$34,OBJECTIFS!$G$36="tx mea"))),IFERROR(S72/R72,""),IFERROR(R72/S72,""))</f>
        <v/>
      </c>
      <c r="U72" s="152">
        <f>IFERROR(IF(OR(R72="",S72="",T72=""),0,IF(T72&lt;OBJECTIFS!$E$56,0,IF(T72&lt;OBJECTIFS!$G$56,U$8*OBJECTIFS!$F$60,IF(T72&lt;OBJECTIFS!$I$56,U$8*OBJECTIFS!$H$60,U$8)))),0)</f>
        <v>0</v>
      </c>
      <c r="V72" s="20"/>
      <c r="W72" s="72" t="str">
        <f>IF(OR($A72="",$D72="",V72=""),"",SUMIFS(OBJECTIFS!H$9:H$39,OBJECTIFS!$A$9:$A$39,$D72,OBJECTIFS!$C$9:$C$39,$F72))</f>
        <v/>
      </c>
      <c r="X72" s="72" t="str">
        <f>IF(OR(AND($D72=OBJECTIFS!$B$6,OBJECTIFS!H$8="dmt"),AND($D72=OBJECTIFS!$B$13,OBJECTIFS!$H$15="dmt"),AND($D72=OBJECTIFS!$B$20,OBJECTIFS!$H$22="dmt"),AND($D72=OBJECTIFS!$B$27,OBJECTIFS!$H$29="dmt"),AND($D72=OBJECTIFS!$B$34,OBJECTIFS!$H$36="dmt"),AND($D72=OBJECTIFS!$B$6,OBJECTIFS!$H$8="taux de chute"),AND($D72=OBJECTIFS!$B$13,OBJECTIFS!$H$15="taux de chute"),AND($D72=OBJECTIFS!$B$20,OBJECTIFS!$H$22="taux de chute"),AND($D72=OBJECTIFS!$B$27,OBJECTIFS!$H$29="taux de chute"),AND($D72=OBJECTIFS!$B$34,OBJECTIFS!$H$36="taux de chute"),AND($D72=OBJECTIFS!$B$6,OBJECTIFS!H$8="tx mea"),AND($D72=OBJECTIFS!$B$13,OBJECTIFS!$H$15="tx mea"),AND($D72=OBJECTIFS!$B$20,OBJECTIFS!$H$22="tx mea"),AND($D72=OBJECTIFS!$B$27,OBJECTIFS!$H$29="tx mea"),AND($D72=OBJECTIFS!$B$34,OBJECTIFS!$H$36="tx mea")),IFERROR(W72/V72,""),IFERROR(V72/W72,""))</f>
        <v/>
      </c>
      <c r="Y72" s="149">
        <f>IFERROR(IF(OR(V72="",W72="",X72=""),0,IF(X72&lt;OBJECTIFS!$E$56,0,IF(X72&lt;OBJECTIFS!$G$56,Y$8*OBJECTIFS!$F$60,IF(X72&lt;OBJECTIFS!$I$56,Y$8*OBJECTIFS!$H$60,Y$8)))),0)</f>
        <v>0</v>
      </c>
      <c r="Z72" s="124"/>
      <c r="AA72" s="72" t="str">
        <f>IF(OR($A72="",$D72="",Z72=""),"",SUMIFS(OBJECTIFS!I$9:I$39,OBJECTIFS!$A$9:$A$39,$D72,OBJECTIFS!$C$9:$C$39,$F72))</f>
        <v/>
      </c>
      <c r="AB72" s="72" t="str">
        <f>IF(OR(AND($D72=OBJECTIFS!$B$6,OBJECTIFS!I$8="dmt"),AND($D72=OBJECTIFS!$B$13,OBJECTIFS!$I$15="dmt"),AND($D72=OBJECTIFS!$B$20,OBJECTIFS!$I$22="dmt"),AND($D72=OBJECTIFS!$B$27,OBJECTIFS!$I$29="dmt"),AND($D72=OBJECTIFS!$B$34,OBJECTIFS!$I$36="dmt"),AND($D72=OBJECTIFS!$B$6,OBJECTIFS!$I$8="taux de chute"),AND($D72=OBJECTIFS!$B$13,OBJECTIFS!$I$15="taux de chute"),AND($D72=OBJECTIFS!$B$20,OBJECTIFS!$I$22="taux de chute"),AND($D72=OBJECTIFS!$B$27,OBJECTIFS!$I$29="taux de chute"),AND($D72=OBJECTIFS!$B$34,OBJECTIFS!$I$36="taux de chute"),AND($D72=OBJECTIFS!$B$6,OBJECTIFS!I$8="tx mea"),AND($D72=OBJECTIFS!$B$13,OBJECTIFS!$I$15="tx mea"),AND($D72=OBJECTIFS!$B$20,OBJECTIFS!$I$22="tx mea"),AND($D72=OBJECTIFS!$B$27,OBJECTIFS!$I$29="tx mea"),AND($D72=OBJECTIFS!$B$34,OBJECTIFS!$I$36="tx mea")),IFERROR(AA72/Z72,""),IFERROR(Z72/AA72,""))</f>
        <v/>
      </c>
      <c r="AC72" s="155">
        <f>IFERROR(IF(OR(Z72="",AA72="",AB72=""),0,IF(AB72&lt;OBJECTIFS!$E$56,0,IF(AB72&lt;OBJECTIFS!$G$56,AC$8*OBJECTIFS!$F$60,IF(AB72&lt;OBJECTIFS!$I$56,AC$8*OBJECTIFS!$H$60,AC$8)))),0)</f>
        <v>0</v>
      </c>
      <c r="AD72" s="289"/>
      <c r="AE72" s="290"/>
      <c r="AF72" s="158">
        <f t="shared" ca="1" si="3"/>
        <v>0</v>
      </c>
      <c r="AG72" s="52"/>
      <c r="AH72" s="126"/>
      <c r="AI72" s="19"/>
      <c r="AJ72" s="19"/>
      <c r="AK72" s="19"/>
      <c r="AL72" s="19"/>
      <c r="AM72" s="63">
        <f t="shared" si="4"/>
        <v>0</v>
      </c>
      <c r="AN72" s="63">
        <f t="shared" si="8"/>
        <v>22</v>
      </c>
      <c r="AO72" s="64">
        <f t="shared" si="5"/>
        <v>0</v>
      </c>
      <c r="AP72" s="65" t="str">
        <f t="shared" ca="1" si="0"/>
        <v/>
      </c>
      <c r="AQ72" s="66"/>
      <c r="AR72" s="168">
        <f>IFERROR(VLOOKUP(B72,OBJECTIFS!$C$76:$E$137,2,FALSE),0)</f>
        <v>0</v>
      </c>
      <c r="AS72" s="173"/>
      <c r="AT72" s="170">
        <f>IFERROR(VLOOKUP(B72,OBJECTIFS!$H$76:$J$137,2,FALSE),0)</f>
        <v>0</v>
      </c>
      <c r="AU72" s="178">
        <f t="shared" si="6"/>
        <v>0</v>
      </c>
      <c r="AV72" s="173"/>
      <c r="AW72" s="74">
        <f>IFERROR(VLOOKUP(B72,OBJECTIFS!$C$142:$E$203,2,FALSE),0)</f>
        <v>0</v>
      </c>
      <c r="AX72" s="74">
        <f>IFERROR(VLOOKUP(B72,OBJECTIFS!$H$142:$J$203,2,FALSE),0)</f>
        <v>0</v>
      </c>
      <c r="AY72" s="174">
        <f>IFERROR(VLOOKUP(B72,OBJECTIFS!$F$208:$H$269,3,FALSE),0)</f>
        <v>0</v>
      </c>
      <c r="AZ72" s="66"/>
      <c r="BA72" s="75" t="str">
        <f t="shared" ca="1" si="7"/>
        <v/>
      </c>
      <c r="BB72" s="52"/>
      <c r="BC72" s="76">
        <f t="shared" ca="1" si="30"/>
        <v>0</v>
      </c>
      <c r="BD72" s="53" t="str">
        <f t="shared" ca="1" si="2"/>
        <v/>
      </c>
      <c r="BE72" s="77" t="str">
        <f t="shared" ca="1" si="31"/>
        <v/>
      </c>
    </row>
    <row r="73" spans="1:57" x14ac:dyDescent="0.2">
      <c r="A73" s="16"/>
      <c r="B73" s="17"/>
      <c r="C73" s="17"/>
      <c r="D73" s="18"/>
      <c r="E73" s="19"/>
      <c r="F73" s="27"/>
      <c r="H73" s="71" t="str">
        <f>IF(OR(D73="",F73="",A73=""),"",IF(E73="oui",0,IF(D73=OBJECTIFS!$C$45,VLOOKUP(F73,OBJECTIFS!$C$9:$D$11,2,FALSE),IF(D73=OBJECTIFS!$C$46,VLOOKUP(F73,OBJECTIFS!$C$16:$D$18,2,FALSE),IF(D73=OBJECTIFS!$C$47,VLOOKUP(F73,OBJECTIFS!$C$23:$D$25,2,FALSE),IF(D73=OBJECTIFS!$C$48,VLOOKUP(F73,OBJECTIFS!$C$30:$D$32,2,FALSE),IF(D73=OBJECTIFS!$C$49,VLOOKUP(F73,OBJECTIFS!$C$37:$D$39,2,FALSE))))))))</f>
        <v/>
      </c>
      <c r="J73" s="138"/>
      <c r="K73" s="141" t="str">
        <f>IF(OR($A73="",$D73="",J73=""),"",SUMIFS(OBJECTIFS!E$9:E$39,OBJECTIFS!$A$9:$A$39,$D73,OBJECTIFS!$C$9:$C$39,$F73))</f>
        <v/>
      </c>
      <c r="L73" s="72" t="str">
        <f>IF(OR(AND($D73=OBJECTIFS!$B$6,OBJECTIFS!E$8="dmt"),AND($D73=OBJECTIFS!$B$13,OBJECTIFS!$E$15="dmt"),AND($D73=OBJECTIFS!$B$20,OBJECTIFS!$E$22="dmt"),AND($D73=OBJECTIFS!$B$27,OBJECTIFS!$E$29="dmt"),AND($D73=OBJECTIFS!$B$34,OBJECTIFS!$E$36="dmt"),AND($D73=OBJECTIFS!$B$6,OBJECTIFS!$E$8="taux de chute"),AND($D73=OBJECTIFS!$B$13,OBJECTIFS!$E$15="taux de chute"),AND($D73=OBJECTIFS!$B$20,OBJECTIFS!$E$22="taux de chute"),AND($D73=OBJECTIFS!$B$27,OBJECTIFS!$E$29="taux de chute"),AND($D73=OBJECTIFS!$B$34,OBJECTIFS!$E$36="taux de chute"),AND($D73=OBJECTIFS!$B$6,OBJECTIFS!E$8="tx mea"),AND($D73=OBJECTIFS!$B$13,OBJECTIFS!$E$15="tx mea"),AND($D73=OBJECTIFS!$B$20,OBJECTIFS!$E$22="tx mea"),AND($D73=OBJECTIFS!$B$27,OBJECTIFS!$E$29="tx mea"),AND($D73=OBJECTIFS!$B$34,OBJECTIFS!$E$36="tx mea")),IFERROR(K73/J73,""),IFERROR(J73/K73,""))</f>
        <v/>
      </c>
      <c r="M73" s="149">
        <f>IFERROR(IF(OR(J73="",K73="",L73=""),0,IF(L73&lt;OBJECTIFS!$E$56,0,IF(L73&lt;OBJECTIFS!$G$56,M$8*OBJECTIFS!$F$60,IF(L73&lt;OBJECTIFS!$I$56,M$8*OBJECTIFS!$H$60,M$8)))),0)</f>
        <v>0</v>
      </c>
      <c r="N73" s="144"/>
      <c r="O73" s="145" t="str">
        <f>IF(OR($A73="",$D73="",N73=""),"",SUMIFS(OBJECTIFS!F$9:F$39,OBJECTIFS!$A$9:$A$39,$D73,OBJECTIFS!$C$9:$C$39,$F73))</f>
        <v/>
      </c>
      <c r="P73" s="72" t="str">
        <f>IF(OR(AND($D73=OBJECTIFS!$B$6,OBJECTIFS!$F$8="dmt"),AND($D73=OBJECTIFS!$B$13,OBJECTIFS!$F$15="dmt"),AND($D73=OBJECTIFS!$B$20,OBJECTIFS!$F$22="dmt"),AND($D73=OBJECTIFS!$B$27,OBJECTIFS!$F$29="dmt"),AND($D73=OBJECTIFS!$B$34,OBJECTIFS!$F$36="dmt"),AND($D73=OBJECTIFS!$B$6,OBJECTIFS!$F$8="taux de chute"),AND($D73=OBJECTIFS!$B$13,OBJECTIFS!$F$15="taux de chute"),AND($D73=OBJECTIFS!$B$20,OBJECTIFS!$F$22="taux de chute"),AND($D73=OBJECTIFS!$B$27,OBJECTIFS!$F$29="taux de chute"),AND($D73=OBJECTIFS!$B$34,OBJECTIFS!$F$36="taux de chute"),AND($D73=OBJECTIFS!$B$6,OBJECTIFS!$F$8="tx mea"),AND($D73=OBJECTIFS!$B$13,OBJECTIFS!$F$15="tx mea"),AND($D73=OBJECTIFS!$B$20,OBJECTIFS!$F$22="tx mea"),AND($D73=OBJECTIFS!$B$27,OBJECTIFS!$F$29="tx mea"),AND($D73=OBJECTIFS!$B$34,OBJECTIFS!$F$36="tx mea")),IFERROR(O73/N73,""),IFERROR(N73/O73,""))</f>
        <v/>
      </c>
      <c r="Q73" s="149">
        <f>IFERROR(IF(OR(N73="",O73="",P73=""),0,IF(P73&lt;OBJECTIFS!$E$56,0,IF(P73&lt;OBJECTIFS!$G$56,Q$8*OBJECTIFS!$F$60,IF(P73&lt;OBJECTIFS!$I$56,Q$8*OBJECTIFS!$H$60,Q$8)))),0)</f>
        <v>0</v>
      </c>
      <c r="R73" s="121"/>
      <c r="S73" s="73" t="str">
        <f>IF(OR($A73="",$D73="",R73=""),"",SUMIFS(OBJECTIFS!G$9:G$39,OBJECTIFS!$A$9:$A$39,$D73,OBJECTIFS!$C$9:$C$39,$F73))</f>
        <v/>
      </c>
      <c r="T73" s="72" t="str">
        <f>IF(OR(AND($D73=OBJECTIFS!$B$6,OBJECTIFS!G$8="dmt"),AND($D73=OBJECTIFS!$B$13,OBJECTIFS!$G$15="dmt"),AND($D73=OBJECTIFS!$B$20,OBJECTIFS!$G$22="dmt"),AND($D73=OBJECTIFS!$B$27,OBJECTIFS!$G$29="dmt"),AND($D73=OBJECTIFS!$B$34,OBJECTIFS!$G$36="dmt"),AND($D73=OBJECTIFS!$B$6,OBJECTIFS!$G$8="taux de chute"),AND($D73=OBJECTIFS!$B$13,OBJECTIFS!$G$15="taux de chute"),AND($D73=OBJECTIFS!$B$20,OBJECTIFS!$G$22="taux de chute"),AND($D73=OBJECTIFS!$B$27,OBJECTIFS!$G$29="taux de chute"),AND($D73=OBJECTIFS!$B$34,OBJECTIFS!$G$36="taux de chute",AND($D73=OBJECTIFS!$B$6,OBJECTIFS!G$8="tx mea"),AND($D73=OBJECTIFS!$B$13,OBJECTIFS!$G$15="tx mea"),AND($D73=OBJECTIFS!$B$20,OBJECTIFS!$G$22="tx mea"),AND($D73=OBJECTIFS!$B$27,OBJECTIFS!$G$29="tx mea"),AND($D73=OBJECTIFS!$B$34,OBJECTIFS!$G$36="tx mea"))),IFERROR(S73/R73,""),IFERROR(R73/S73,""))</f>
        <v/>
      </c>
      <c r="U73" s="152">
        <f>IFERROR(IF(OR(R73="",S73="",T73=""),0,IF(T73&lt;OBJECTIFS!$E$56,0,IF(T73&lt;OBJECTIFS!$G$56,U$8*OBJECTIFS!$F$60,IF(T73&lt;OBJECTIFS!$I$56,U$8*OBJECTIFS!$H$60,U$8)))),0)</f>
        <v>0</v>
      </c>
      <c r="V73" s="20"/>
      <c r="W73" s="72" t="str">
        <f>IF(OR($A73="",$D73="",V73=""),"",SUMIFS(OBJECTIFS!H$9:H$39,OBJECTIFS!$A$9:$A$39,$D73,OBJECTIFS!$C$9:$C$39,$F73))</f>
        <v/>
      </c>
      <c r="X73" s="72" t="str">
        <f>IF(OR(AND($D73=OBJECTIFS!$B$6,OBJECTIFS!H$8="dmt"),AND($D73=OBJECTIFS!$B$13,OBJECTIFS!$H$15="dmt"),AND($D73=OBJECTIFS!$B$20,OBJECTIFS!$H$22="dmt"),AND($D73=OBJECTIFS!$B$27,OBJECTIFS!$H$29="dmt"),AND($D73=OBJECTIFS!$B$34,OBJECTIFS!$H$36="dmt"),AND($D73=OBJECTIFS!$B$6,OBJECTIFS!$H$8="taux de chute"),AND($D73=OBJECTIFS!$B$13,OBJECTIFS!$H$15="taux de chute"),AND($D73=OBJECTIFS!$B$20,OBJECTIFS!$H$22="taux de chute"),AND($D73=OBJECTIFS!$B$27,OBJECTIFS!$H$29="taux de chute"),AND($D73=OBJECTIFS!$B$34,OBJECTIFS!$H$36="taux de chute"),AND($D73=OBJECTIFS!$B$6,OBJECTIFS!H$8="tx mea"),AND($D73=OBJECTIFS!$B$13,OBJECTIFS!$H$15="tx mea"),AND($D73=OBJECTIFS!$B$20,OBJECTIFS!$H$22="tx mea"),AND($D73=OBJECTIFS!$B$27,OBJECTIFS!$H$29="tx mea"),AND($D73=OBJECTIFS!$B$34,OBJECTIFS!$H$36="tx mea")),IFERROR(W73/V73,""),IFERROR(V73/W73,""))</f>
        <v/>
      </c>
      <c r="Y73" s="149">
        <f>IFERROR(IF(OR(V73="",W73="",X73=""),0,IF(X73&lt;OBJECTIFS!$E$56,0,IF(X73&lt;OBJECTIFS!$G$56,Y$8*OBJECTIFS!$F$60,IF(X73&lt;OBJECTIFS!$I$56,Y$8*OBJECTIFS!$H$60,Y$8)))),0)</f>
        <v>0</v>
      </c>
      <c r="Z73" s="124"/>
      <c r="AA73" s="72" t="str">
        <f>IF(OR($A73="",$D73="",Z73=""),"",SUMIFS(OBJECTIFS!I$9:I$39,OBJECTIFS!$A$9:$A$39,$D73,OBJECTIFS!$C$9:$C$39,$F73))</f>
        <v/>
      </c>
      <c r="AB73" s="72" t="str">
        <f>IF(OR(AND($D73=OBJECTIFS!$B$6,OBJECTIFS!I$8="dmt"),AND($D73=OBJECTIFS!$B$13,OBJECTIFS!$I$15="dmt"),AND($D73=OBJECTIFS!$B$20,OBJECTIFS!$I$22="dmt"),AND($D73=OBJECTIFS!$B$27,OBJECTIFS!$I$29="dmt"),AND($D73=OBJECTIFS!$B$34,OBJECTIFS!$I$36="dmt"),AND($D73=OBJECTIFS!$B$6,OBJECTIFS!$I$8="taux de chute"),AND($D73=OBJECTIFS!$B$13,OBJECTIFS!$I$15="taux de chute"),AND($D73=OBJECTIFS!$B$20,OBJECTIFS!$I$22="taux de chute"),AND($D73=OBJECTIFS!$B$27,OBJECTIFS!$I$29="taux de chute"),AND($D73=OBJECTIFS!$B$34,OBJECTIFS!$I$36="taux de chute"),AND($D73=OBJECTIFS!$B$6,OBJECTIFS!I$8="tx mea"),AND($D73=OBJECTIFS!$B$13,OBJECTIFS!$I$15="tx mea"),AND($D73=OBJECTIFS!$B$20,OBJECTIFS!$I$22="tx mea"),AND($D73=OBJECTIFS!$B$27,OBJECTIFS!$I$29="tx mea"),AND($D73=OBJECTIFS!$B$34,OBJECTIFS!$I$36="tx mea")),IFERROR(AA73/Z73,""),IFERROR(Z73/AA73,""))</f>
        <v/>
      </c>
      <c r="AC73" s="155">
        <f>IFERROR(IF(OR(Z73="",AA73="",AB73=""),0,IF(AB73&lt;OBJECTIFS!$E$56,0,IF(AB73&lt;OBJECTIFS!$G$56,AC$8*OBJECTIFS!$F$60,IF(AB73&lt;OBJECTIFS!$I$56,AC$8*OBJECTIFS!$H$60,AC$8)))),0)</f>
        <v>0</v>
      </c>
      <c r="AD73" s="289"/>
      <c r="AE73" s="290"/>
      <c r="AF73" s="158">
        <f t="shared" ca="1" si="3"/>
        <v>0</v>
      </c>
      <c r="AG73" s="52"/>
      <c r="AH73" s="126"/>
      <c r="AI73" s="19"/>
      <c r="AJ73" s="19"/>
      <c r="AK73" s="19"/>
      <c r="AL73" s="19"/>
      <c r="AM73" s="63">
        <f t="shared" si="4"/>
        <v>0</v>
      </c>
      <c r="AN73" s="63">
        <f t="shared" si="8"/>
        <v>22</v>
      </c>
      <c r="AO73" s="64">
        <f t="shared" si="5"/>
        <v>0</v>
      </c>
      <c r="AP73" s="65" t="str">
        <f t="shared" ca="1" si="0"/>
        <v/>
      </c>
      <c r="AQ73" s="66"/>
      <c r="AR73" s="168">
        <f>IFERROR(VLOOKUP(B73,OBJECTIFS!$C$76:$E$137,2,FALSE),0)</f>
        <v>0</v>
      </c>
      <c r="AS73" s="173"/>
      <c r="AT73" s="170">
        <f>IFERROR(VLOOKUP(B73,OBJECTIFS!$H$76:$J$137,2,FALSE),0)</f>
        <v>0</v>
      </c>
      <c r="AU73" s="178">
        <f t="shared" si="6"/>
        <v>0</v>
      </c>
      <c r="AV73" s="173"/>
      <c r="AW73" s="74">
        <f>IFERROR(VLOOKUP(B73,OBJECTIFS!$C$142:$E$203,2,FALSE),0)</f>
        <v>0</v>
      </c>
      <c r="AX73" s="74">
        <f>IFERROR(VLOOKUP(B73,OBJECTIFS!$H$142:$J$203,2,FALSE),0)</f>
        <v>0</v>
      </c>
      <c r="AY73" s="174">
        <f>IFERROR(VLOOKUP(B73,OBJECTIFS!$F$208:$H$269,3,FALSE),0)</f>
        <v>0</v>
      </c>
      <c r="AZ73" s="66"/>
      <c r="BA73" s="75" t="str">
        <f t="shared" ca="1" si="7"/>
        <v/>
      </c>
      <c r="BB73" s="52"/>
      <c r="BC73" s="76">
        <f t="shared" ref="BC73:BC79" ca="1" si="32">IFERROR(IF(OR(AI73&gt;=2,AJ73&gt;=8,AND(AI73=1,AJ73&gt;=4)),0,IF(OR(AND(AI73=1,AJ73&lt;4),AND(AI73=0,AJ73&gt;=4,AJ73&lt;8)),0.5,1))*AF73*(AN73-AM73)/AN73,"")</f>
        <v>0</v>
      </c>
      <c r="BD73" s="53" t="str">
        <f t="shared" ca="1" si="2"/>
        <v/>
      </c>
      <c r="BE73" s="77" t="str">
        <f t="shared" ca="1" si="31"/>
        <v/>
      </c>
    </row>
    <row r="74" spans="1:57" x14ac:dyDescent="0.2">
      <c r="A74" s="16"/>
      <c r="B74" s="17"/>
      <c r="C74" s="17"/>
      <c r="D74" s="18"/>
      <c r="E74" s="19"/>
      <c r="F74" s="27"/>
      <c r="H74" s="71" t="str">
        <f>IF(OR(D74="",F74="",A74=""),"",IF(E74="oui",0,IF(D74=OBJECTIFS!$C$45,VLOOKUP(F74,OBJECTIFS!$C$9:$D$11,2,FALSE),IF(D74=OBJECTIFS!$C$46,VLOOKUP(F74,OBJECTIFS!$C$16:$D$18,2,FALSE),IF(D74=OBJECTIFS!$C$47,VLOOKUP(F74,OBJECTIFS!$C$23:$D$25,2,FALSE),IF(D74=OBJECTIFS!$C$48,VLOOKUP(F74,OBJECTIFS!$C$30:$D$32,2,FALSE),IF(D74=OBJECTIFS!$C$49,VLOOKUP(F74,OBJECTIFS!$C$37:$D$39,2,FALSE))))))))</f>
        <v/>
      </c>
      <c r="J74" s="138"/>
      <c r="K74" s="141" t="str">
        <f>IF(OR($A74="",$D74="",J74=""),"",SUMIFS(OBJECTIFS!E$9:E$39,OBJECTIFS!$A$9:$A$39,$D74,OBJECTIFS!$C$9:$C$39,$F74))</f>
        <v/>
      </c>
      <c r="L74" s="72" t="str">
        <f>IF(OR(AND($D74=OBJECTIFS!$B$6,OBJECTIFS!E$8="dmt"),AND($D74=OBJECTIFS!$B$13,OBJECTIFS!$E$15="dmt"),AND($D74=OBJECTIFS!$B$20,OBJECTIFS!$E$22="dmt"),AND($D74=OBJECTIFS!$B$27,OBJECTIFS!$E$29="dmt"),AND($D74=OBJECTIFS!$B$34,OBJECTIFS!$E$36="dmt"),AND($D74=OBJECTIFS!$B$6,OBJECTIFS!$E$8="taux de chute"),AND($D74=OBJECTIFS!$B$13,OBJECTIFS!$E$15="taux de chute"),AND($D74=OBJECTIFS!$B$20,OBJECTIFS!$E$22="taux de chute"),AND($D74=OBJECTIFS!$B$27,OBJECTIFS!$E$29="taux de chute"),AND($D74=OBJECTIFS!$B$34,OBJECTIFS!$E$36="taux de chute"),AND($D74=OBJECTIFS!$B$6,OBJECTIFS!E$8="tx mea"),AND($D74=OBJECTIFS!$B$13,OBJECTIFS!$E$15="tx mea"),AND($D74=OBJECTIFS!$B$20,OBJECTIFS!$E$22="tx mea"),AND($D74=OBJECTIFS!$B$27,OBJECTIFS!$E$29="tx mea"),AND($D74=OBJECTIFS!$B$34,OBJECTIFS!$E$36="tx mea")),IFERROR(K74/J74,""),IFERROR(J74/K74,""))</f>
        <v/>
      </c>
      <c r="M74" s="149">
        <f>IFERROR(IF(OR(J74="",K74="",L74=""),0,IF(L74&lt;OBJECTIFS!$E$56,0,IF(L74&lt;OBJECTIFS!$G$56,M$8*OBJECTIFS!$F$60,IF(L74&lt;OBJECTIFS!$I$56,M$8*OBJECTIFS!$H$60,M$8)))),0)</f>
        <v>0</v>
      </c>
      <c r="N74" s="144"/>
      <c r="O74" s="145" t="str">
        <f>IF(OR($A74="",$D74="",N74=""),"",SUMIFS(OBJECTIFS!F$9:F$39,OBJECTIFS!$A$9:$A$39,$D74,OBJECTIFS!$C$9:$C$39,$F74))</f>
        <v/>
      </c>
      <c r="P74" s="72" t="str">
        <f>IF(OR(AND($D74=OBJECTIFS!$B$6,OBJECTIFS!$F$8="dmt"),AND($D74=OBJECTIFS!$B$13,OBJECTIFS!$F$15="dmt"),AND($D74=OBJECTIFS!$B$20,OBJECTIFS!$F$22="dmt"),AND($D74=OBJECTIFS!$B$27,OBJECTIFS!$F$29="dmt"),AND($D74=OBJECTIFS!$B$34,OBJECTIFS!$F$36="dmt"),AND($D74=OBJECTIFS!$B$6,OBJECTIFS!$F$8="taux de chute"),AND($D74=OBJECTIFS!$B$13,OBJECTIFS!$F$15="taux de chute"),AND($D74=OBJECTIFS!$B$20,OBJECTIFS!$F$22="taux de chute"),AND($D74=OBJECTIFS!$B$27,OBJECTIFS!$F$29="taux de chute"),AND($D74=OBJECTIFS!$B$34,OBJECTIFS!$F$36="taux de chute"),AND($D74=OBJECTIFS!$B$6,OBJECTIFS!$F$8="tx mea"),AND($D74=OBJECTIFS!$B$13,OBJECTIFS!$F$15="tx mea"),AND($D74=OBJECTIFS!$B$20,OBJECTIFS!$F$22="tx mea"),AND($D74=OBJECTIFS!$B$27,OBJECTIFS!$F$29="tx mea"),AND($D74=OBJECTIFS!$B$34,OBJECTIFS!$F$36="tx mea")),IFERROR(O74/N74,""),IFERROR(N74/O74,""))</f>
        <v/>
      </c>
      <c r="Q74" s="149">
        <f>IFERROR(IF(OR(N74="",O74="",P74=""),0,IF(P74&lt;OBJECTIFS!$E$56,0,IF(P74&lt;OBJECTIFS!$G$56,Q$8*OBJECTIFS!$F$60,IF(P74&lt;OBJECTIFS!$I$56,Q$8*OBJECTIFS!$H$60,Q$8)))),0)</f>
        <v>0</v>
      </c>
      <c r="R74" s="121"/>
      <c r="S74" s="73" t="str">
        <f>IF(OR($A74="",$D74="",R74=""),"",SUMIFS(OBJECTIFS!G$9:G$39,OBJECTIFS!$A$9:$A$39,$D74,OBJECTIFS!$C$9:$C$39,$F74))</f>
        <v/>
      </c>
      <c r="T74" s="72" t="str">
        <f>IF(OR(AND($D74=OBJECTIFS!$B$6,OBJECTIFS!G$8="dmt"),AND($D74=OBJECTIFS!$B$13,OBJECTIFS!$G$15="dmt"),AND($D74=OBJECTIFS!$B$20,OBJECTIFS!$G$22="dmt"),AND($D74=OBJECTIFS!$B$27,OBJECTIFS!$G$29="dmt"),AND($D74=OBJECTIFS!$B$34,OBJECTIFS!$G$36="dmt"),AND($D74=OBJECTIFS!$B$6,OBJECTIFS!$G$8="taux de chute"),AND($D74=OBJECTIFS!$B$13,OBJECTIFS!$G$15="taux de chute"),AND($D74=OBJECTIFS!$B$20,OBJECTIFS!$G$22="taux de chute"),AND($D74=OBJECTIFS!$B$27,OBJECTIFS!$G$29="taux de chute"),AND($D74=OBJECTIFS!$B$34,OBJECTIFS!$G$36="taux de chute",AND($D74=OBJECTIFS!$B$6,OBJECTIFS!G$8="tx mea"),AND($D74=OBJECTIFS!$B$13,OBJECTIFS!$G$15="tx mea"),AND($D74=OBJECTIFS!$B$20,OBJECTIFS!$G$22="tx mea"),AND($D74=OBJECTIFS!$B$27,OBJECTIFS!$G$29="tx mea"),AND($D74=OBJECTIFS!$B$34,OBJECTIFS!$G$36="tx mea"))),IFERROR(S74/R74,""),IFERROR(R74/S74,""))</f>
        <v/>
      </c>
      <c r="U74" s="152">
        <f>IFERROR(IF(OR(R74="",S74="",T74=""),0,IF(T74&lt;OBJECTIFS!$E$56,0,IF(T74&lt;OBJECTIFS!$G$56,U$8*OBJECTIFS!$F$60,IF(T74&lt;OBJECTIFS!$I$56,U$8*OBJECTIFS!$H$60,U$8)))),0)</f>
        <v>0</v>
      </c>
      <c r="V74" s="20"/>
      <c r="W74" s="72" t="str">
        <f>IF(OR($A74="",$D74="",V74=""),"",SUMIFS(OBJECTIFS!H$9:H$39,OBJECTIFS!$A$9:$A$39,$D74,OBJECTIFS!$C$9:$C$39,$F74))</f>
        <v/>
      </c>
      <c r="X74" s="72" t="str">
        <f>IF(OR(AND($D74=OBJECTIFS!$B$6,OBJECTIFS!H$8="dmt"),AND($D74=OBJECTIFS!$B$13,OBJECTIFS!$H$15="dmt"),AND($D74=OBJECTIFS!$B$20,OBJECTIFS!$H$22="dmt"),AND($D74=OBJECTIFS!$B$27,OBJECTIFS!$H$29="dmt"),AND($D74=OBJECTIFS!$B$34,OBJECTIFS!$H$36="dmt"),AND($D74=OBJECTIFS!$B$6,OBJECTIFS!$H$8="taux de chute"),AND($D74=OBJECTIFS!$B$13,OBJECTIFS!$H$15="taux de chute"),AND($D74=OBJECTIFS!$B$20,OBJECTIFS!$H$22="taux de chute"),AND($D74=OBJECTIFS!$B$27,OBJECTIFS!$H$29="taux de chute"),AND($D74=OBJECTIFS!$B$34,OBJECTIFS!$H$36="taux de chute"),AND($D74=OBJECTIFS!$B$6,OBJECTIFS!H$8="tx mea"),AND($D74=OBJECTIFS!$B$13,OBJECTIFS!$H$15="tx mea"),AND($D74=OBJECTIFS!$B$20,OBJECTIFS!$H$22="tx mea"),AND($D74=OBJECTIFS!$B$27,OBJECTIFS!$H$29="tx mea"),AND($D74=OBJECTIFS!$B$34,OBJECTIFS!$H$36="tx mea")),IFERROR(W74/V74,""),IFERROR(V74/W74,""))</f>
        <v/>
      </c>
      <c r="Y74" s="149">
        <f>IFERROR(IF(OR(V74="",W74="",X74=""),0,IF(X74&lt;OBJECTIFS!$E$56,0,IF(X74&lt;OBJECTIFS!$G$56,Y$8*OBJECTIFS!$F$60,IF(X74&lt;OBJECTIFS!$I$56,Y$8*OBJECTIFS!$H$60,Y$8)))),0)</f>
        <v>0</v>
      </c>
      <c r="Z74" s="124"/>
      <c r="AA74" s="72" t="str">
        <f>IF(OR($A74="",$D74="",Z74=""),"",SUMIFS(OBJECTIFS!I$9:I$39,OBJECTIFS!$A$9:$A$39,$D74,OBJECTIFS!$C$9:$C$39,$F74))</f>
        <v/>
      </c>
      <c r="AB74" s="72" t="str">
        <f>IF(OR(AND($D74=OBJECTIFS!$B$6,OBJECTIFS!I$8="dmt"),AND($D74=OBJECTIFS!$B$13,OBJECTIFS!$I$15="dmt"),AND($D74=OBJECTIFS!$B$20,OBJECTIFS!$I$22="dmt"),AND($D74=OBJECTIFS!$B$27,OBJECTIFS!$I$29="dmt"),AND($D74=OBJECTIFS!$B$34,OBJECTIFS!$I$36="dmt"),AND($D74=OBJECTIFS!$B$6,OBJECTIFS!$I$8="taux de chute"),AND($D74=OBJECTIFS!$B$13,OBJECTIFS!$I$15="taux de chute"),AND($D74=OBJECTIFS!$B$20,OBJECTIFS!$I$22="taux de chute"),AND($D74=OBJECTIFS!$B$27,OBJECTIFS!$I$29="taux de chute"),AND($D74=OBJECTIFS!$B$34,OBJECTIFS!$I$36="taux de chute"),AND($D74=OBJECTIFS!$B$6,OBJECTIFS!I$8="tx mea"),AND($D74=OBJECTIFS!$B$13,OBJECTIFS!$I$15="tx mea"),AND($D74=OBJECTIFS!$B$20,OBJECTIFS!$I$22="tx mea"),AND($D74=OBJECTIFS!$B$27,OBJECTIFS!$I$29="tx mea"),AND($D74=OBJECTIFS!$B$34,OBJECTIFS!$I$36="tx mea")),IFERROR(AA74/Z74,""),IFERROR(Z74/AA74,""))</f>
        <v/>
      </c>
      <c r="AC74" s="155">
        <f>IFERROR(IF(OR(Z74="",AA74="",AB74=""),0,IF(AB74&lt;OBJECTIFS!$E$56,0,IF(AB74&lt;OBJECTIFS!$G$56,AC$8*OBJECTIFS!$F$60,IF(AB74&lt;OBJECTIFS!$I$56,AC$8*OBJECTIFS!$H$60,AC$8)))),0)</f>
        <v>0</v>
      </c>
      <c r="AD74" s="289"/>
      <c r="AE74" s="290"/>
      <c r="AF74" s="158">
        <f t="shared" ref="AF74:AF79" ca="1" si="33">IF(AD74&gt;=1,0,IF(AD74=1,SUMIF($J$7:$AC$8,"Nb de points",$J74:$AC74)/2,SUMIF($J$7:$AC$8,"Nb de points",$J74:$AC74)))</f>
        <v>0</v>
      </c>
      <c r="AG74" s="52"/>
      <c r="AH74" s="126"/>
      <c r="AI74" s="19"/>
      <c r="AJ74" s="19"/>
      <c r="AK74" s="19"/>
      <c r="AL74" s="19"/>
      <c r="AM74" s="63">
        <f t="shared" si="4"/>
        <v>0</v>
      </c>
      <c r="AN74" s="63">
        <f t="shared" si="8"/>
        <v>22</v>
      </c>
      <c r="AO74" s="64">
        <f t="shared" si="5"/>
        <v>0</v>
      </c>
      <c r="AP74" s="65" t="str">
        <f t="shared" ca="1" si="0"/>
        <v/>
      </c>
      <c r="AQ74" s="66"/>
      <c r="AR74" s="168">
        <f>IFERROR(VLOOKUP(B74,OBJECTIFS!$C$76:$E$137,2,FALSE),0)</f>
        <v>0</v>
      </c>
      <c r="AS74" s="173"/>
      <c r="AT74" s="170">
        <f>IFERROR(VLOOKUP(B74,OBJECTIFS!$H$76:$J$137,2,FALSE),0)</f>
        <v>0</v>
      </c>
      <c r="AU74" s="178">
        <f t="shared" ref="AU74:AU79" si="34">IF($B$5="interne",AT74/191*AH74,AT74/176*AH74)</f>
        <v>0</v>
      </c>
      <c r="AV74" s="173"/>
      <c r="AW74" s="74">
        <f>IFERROR(VLOOKUP(B74,OBJECTIFS!$C$142:$E$203,2,FALSE),0)</f>
        <v>0</v>
      </c>
      <c r="AX74" s="74">
        <f>IFERROR(VLOOKUP(B74,OBJECTIFS!$H$142:$J$203,2,FALSE),0)</f>
        <v>0</v>
      </c>
      <c r="AY74" s="174">
        <f>IFERROR(VLOOKUP(B74,OBJECTIFS!$F$208:$H$269,3,FALSE),0)</f>
        <v>0</v>
      </c>
      <c r="AZ74" s="66"/>
      <c r="BA74" s="75" t="str">
        <f t="shared" ref="BA74:BA79" ca="1" si="35">IFERROR((AP74+SUM(AW74:AY74)+AU74+AR74),"")</f>
        <v/>
      </c>
      <c r="BB74" s="52"/>
      <c r="BC74" s="76">
        <f t="shared" ca="1" si="32"/>
        <v>0</v>
      </c>
      <c r="BD74" s="53" t="str">
        <f t="shared" ca="1" si="2"/>
        <v/>
      </c>
      <c r="BE74" s="77" t="str">
        <f t="shared" ca="1" si="31"/>
        <v/>
      </c>
    </row>
    <row r="75" spans="1:57" x14ac:dyDescent="0.2">
      <c r="A75" s="16"/>
      <c r="B75" s="17"/>
      <c r="C75" s="17"/>
      <c r="D75" s="18"/>
      <c r="E75" s="19"/>
      <c r="F75" s="27"/>
      <c r="H75" s="71" t="str">
        <f>IF(OR(D75="",F75="",A75=""),"",IF(E75="oui",0,IF(D75=OBJECTIFS!$C$45,VLOOKUP(F75,OBJECTIFS!$C$9:$D$11,2,FALSE),IF(D75=OBJECTIFS!$C$46,VLOOKUP(F75,OBJECTIFS!$C$16:$D$18,2,FALSE),IF(D75=OBJECTIFS!$C$47,VLOOKUP(F75,OBJECTIFS!$C$23:$D$25,2,FALSE),IF(D75=OBJECTIFS!$C$48,VLOOKUP(F75,OBJECTIFS!$C$30:$D$32,2,FALSE),IF(D75=OBJECTIFS!$C$49,VLOOKUP(F75,OBJECTIFS!$C$37:$D$39,2,FALSE))))))))</f>
        <v/>
      </c>
      <c r="J75" s="138"/>
      <c r="K75" s="141" t="str">
        <f>IF(OR($A75="",$D75="",J75=""),"",SUMIFS(OBJECTIFS!E$9:E$39,OBJECTIFS!$A$9:$A$39,$D75,OBJECTIFS!$C$9:$C$39,$F75))</f>
        <v/>
      </c>
      <c r="L75" s="72" t="str">
        <f>IF(OR(AND($D75=OBJECTIFS!$B$6,OBJECTIFS!E$8="dmt"),AND($D75=OBJECTIFS!$B$13,OBJECTIFS!$E$15="dmt"),AND($D75=OBJECTIFS!$B$20,OBJECTIFS!$E$22="dmt"),AND($D75=OBJECTIFS!$B$27,OBJECTIFS!$E$29="dmt"),AND($D75=OBJECTIFS!$B$34,OBJECTIFS!$E$36="dmt"),AND($D75=OBJECTIFS!$B$6,OBJECTIFS!$E$8="taux de chute"),AND($D75=OBJECTIFS!$B$13,OBJECTIFS!$E$15="taux de chute"),AND($D75=OBJECTIFS!$B$20,OBJECTIFS!$E$22="taux de chute"),AND($D75=OBJECTIFS!$B$27,OBJECTIFS!$E$29="taux de chute"),AND($D75=OBJECTIFS!$B$34,OBJECTIFS!$E$36="taux de chute"),AND($D75=OBJECTIFS!$B$6,OBJECTIFS!E$8="tx mea"),AND($D75=OBJECTIFS!$B$13,OBJECTIFS!$E$15="tx mea"),AND($D75=OBJECTIFS!$B$20,OBJECTIFS!$E$22="tx mea"),AND($D75=OBJECTIFS!$B$27,OBJECTIFS!$E$29="tx mea"),AND($D75=OBJECTIFS!$B$34,OBJECTIFS!$E$36="tx mea")),IFERROR(K75/J75,""),IFERROR(J75/K75,""))</f>
        <v/>
      </c>
      <c r="M75" s="149">
        <f>IFERROR(IF(OR(J75="",K75="",L75=""),0,IF(L75&lt;OBJECTIFS!$E$56,0,IF(L75&lt;OBJECTIFS!$G$56,M$8*OBJECTIFS!$F$60,IF(L75&lt;OBJECTIFS!$I$56,M$8*OBJECTIFS!$H$60,M$8)))),0)</f>
        <v>0</v>
      </c>
      <c r="N75" s="144"/>
      <c r="O75" s="145" t="str">
        <f>IF(OR($A75="",$D75="",N75=""),"",SUMIFS(OBJECTIFS!F$9:F$39,OBJECTIFS!$A$9:$A$39,$D75,OBJECTIFS!$C$9:$C$39,$F75))</f>
        <v/>
      </c>
      <c r="P75" s="72" t="str">
        <f>IF(OR(AND($D75=OBJECTIFS!$B$6,OBJECTIFS!$F$8="dmt"),AND($D75=OBJECTIFS!$B$13,OBJECTIFS!$F$15="dmt"),AND($D75=OBJECTIFS!$B$20,OBJECTIFS!$F$22="dmt"),AND($D75=OBJECTIFS!$B$27,OBJECTIFS!$F$29="dmt"),AND($D75=OBJECTIFS!$B$34,OBJECTIFS!$F$36="dmt"),AND($D75=OBJECTIFS!$B$6,OBJECTIFS!$F$8="taux de chute"),AND($D75=OBJECTIFS!$B$13,OBJECTIFS!$F$15="taux de chute"),AND($D75=OBJECTIFS!$B$20,OBJECTIFS!$F$22="taux de chute"),AND($D75=OBJECTIFS!$B$27,OBJECTIFS!$F$29="taux de chute"),AND($D75=OBJECTIFS!$B$34,OBJECTIFS!$F$36="taux de chute"),AND($D75=OBJECTIFS!$B$6,OBJECTIFS!$F$8="tx mea"),AND($D75=OBJECTIFS!$B$13,OBJECTIFS!$F$15="tx mea"),AND($D75=OBJECTIFS!$B$20,OBJECTIFS!$F$22="tx mea"),AND($D75=OBJECTIFS!$B$27,OBJECTIFS!$F$29="tx mea"),AND($D75=OBJECTIFS!$B$34,OBJECTIFS!$F$36="tx mea")),IFERROR(O75/N75,""),IFERROR(N75/O75,""))</f>
        <v/>
      </c>
      <c r="Q75" s="149">
        <f>IFERROR(IF(OR(N75="",O75="",P75=""),0,IF(P75&lt;OBJECTIFS!$E$56,0,IF(P75&lt;OBJECTIFS!$G$56,Q$8*OBJECTIFS!$F$60,IF(P75&lt;OBJECTIFS!$I$56,Q$8*OBJECTIFS!$H$60,Q$8)))),0)</f>
        <v>0</v>
      </c>
      <c r="R75" s="121"/>
      <c r="S75" s="73" t="str">
        <f>IF(OR($A75="",$D75="",R75=""),"",SUMIFS(OBJECTIFS!G$9:G$39,OBJECTIFS!$A$9:$A$39,$D75,OBJECTIFS!$C$9:$C$39,$F75))</f>
        <v/>
      </c>
      <c r="T75" s="72" t="str">
        <f>IF(OR(AND($D75=OBJECTIFS!$B$6,OBJECTIFS!G$8="dmt"),AND($D75=OBJECTIFS!$B$13,OBJECTIFS!$G$15="dmt"),AND($D75=OBJECTIFS!$B$20,OBJECTIFS!$G$22="dmt"),AND($D75=OBJECTIFS!$B$27,OBJECTIFS!$G$29="dmt"),AND($D75=OBJECTIFS!$B$34,OBJECTIFS!$G$36="dmt"),AND($D75=OBJECTIFS!$B$6,OBJECTIFS!$G$8="taux de chute"),AND($D75=OBJECTIFS!$B$13,OBJECTIFS!$G$15="taux de chute"),AND($D75=OBJECTIFS!$B$20,OBJECTIFS!$G$22="taux de chute"),AND($D75=OBJECTIFS!$B$27,OBJECTIFS!$G$29="taux de chute"),AND($D75=OBJECTIFS!$B$34,OBJECTIFS!$G$36="taux de chute",AND($D75=OBJECTIFS!$B$6,OBJECTIFS!G$8="tx mea"),AND($D75=OBJECTIFS!$B$13,OBJECTIFS!$G$15="tx mea"),AND($D75=OBJECTIFS!$B$20,OBJECTIFS!$G$22="tx mea"),AND($D75=OBJECTIFS!$B$27,OBJECTIFS!$G$29="tx mea"),AND($D75=OBJECTIFS!$B$34,OBJECTIFS!$G$36="tx mea"))),IFERROR(S75/R75,""),IFERROR(R75/S75,""))</f>
        <v/>
      </c>
      <c r="U75" s="152">
        <f>IFERROR(IF(OR(R75="",S75="",T75=""),0,IF(T75&lt;OBJECTIFS!$E$56,0,IF(T75&lt;OBJECTIFS!$G$56,U$8*OBJECTIFS!$F$60,IF(T75&lt;OBJECTIFS!$I$56,U$8*OBJECTIFS!$H$60,U$8)))),0)</f>
        <v>0</v>
      </c>
      <c r="V75" s="20"/>
      <c r="W75" s="72" t="str">
        <f>IF(OR($A75="",$D75="",V75=""),"",SUMIFS(OBJECTIFS!H$9:H$39,OBJECTIFS!$A$9:$A$39,$D75,OBJECTIFS!$C$9:$C$39,$F75))</f>
        <v/>
      </c>
      <c r="X75" s="72" t="str">
        <f>IF(OR(AND($D75=OBJECTIFS!$B$6,OBJECTIFS!H$8="dmt"),AND($D75=OBJECTIFS!$B$13,OBJECTIFS!$H$15="dmt"),AND($D75=OBJECTIFS!$B$20,OBJECTIFS!$H$22="dmt"),AND($D75=OBJECTIFS!$B$27,OBJECTIFS!$H$29="dmt"),AND($D75=OBJECTIFS!$B$34,OBJECTIFS!$H$36="dmt"),AND($D75=OBJECTIFS!$B$6,OBJECTIFS!$H$8="taux de chute"),AND($D75=OBJECTIFS!$B$13,OBJECTIFS!$H$15="taux de chute"),AND($D75=OBJECTIFS!$B$20,OBJECTIFS!$H$22="taux de chute"),AND($D75=OBJECTIFS!$B$27,OBJECTIFS!$H$29="taux de chute"),AND($D75=OBJECTIFS!$B$34,OBJECTIFS!$H$36="taux de chute"),AND($D75=OBJECTIFS!$B$6,OBJECTIFS!H$8="tx mea"),AND($D75=OBJECTIFS!$B$13,OBJECTIFS!$H$15="tx mea"),AND($D75=OBJECTIFS!$B$20,OBJECTIFS!$H$22="tx mea"),AND($D75=OBJECTIFS!$B$27,OBJECTIFS!$H$29="tx mea"),AND($D75=OBJECTIFS!$B$34,OBJECTIFS!$H$36="tx mea")),IFERROR(W75/V75,""),IFERROR(V75/W75,""))</f>
        <v/>
      </c>
      <c r="Y75" s="149">
        <f>IFERROR(IF(OR(V75="",W75="",X75=""),0,IF(X75&lt;OBJECTIFS!$E$56,0,IF(X75&lt;OBJECTIFS!$G$56,Y$8*OBJECTIFS!$F$60,IF(X75&lt;OBJECTIFS!$I$56,Y$8*OBJECTIFS!$H$60,Y$8)))),0)</f>
        <v>0</v>
      </c>
      <c r="Z75" s="124"/>
      <c r="AA75" s="72" t="str">
        <f>IF(OR($A75="",$D75="",Z75=""),"",SUMIFS(OBJECTIFS!I$9:I$39,OBJECTIFS!$A$9:$A$39,$D75,OBJECTIFS!$C$9:$C$39,$F75))</f>
        <v/>
      </c>
      <c r="AB75" s="72" t="str">
        <f>IF(OR(AND($D75=OBJECTIFS!$B$6,OBJECTIFS!I$8="dmt"),AND($D75=OBJECTIFS!$B$13,OBJECTIFS!$I$15="dmt"),AND($D75=OBJECTIFS!$B$20,OBJECTIFS!$I$22="dmt"),AND($D75=OBJECTIFS!$B$27,OBJECTIFS!$I$29="dmt"),AND($D75=OBJECTIFS!$B$34,OBJECTIFS!$I$36="dmt"),AND($D75=OBJECTIFS!$B$6,OBJECTIFS!$I$8="taux de chute"),AND($D75=OBJECTIFS!$B$13,OBJECTIFS!$I$15="taux de chute"),AND($D75=OBJECTIFS!$B$20,OBJECTIFS!$I$22="taux de chute"),AND($D75=OBJECTIFS!$B$27,OBJECTIFS!$I$29="taux de chute"),AND($D75=OBJECTIFS!$B$34,OBJECTIFS!$I$36="taux de chute"),AND($D75=OBJECTIFS!$B$6,OBJECTIFS!I$8="tx mea"),AND($D75=OBJECTIFS!$B$13,OBJECTIFS!$I$15="tx mea"),AND($D75=OBJECTIFS!$B$20,OBJECTIFS!$I$22="tx mea"),AND($D75=OBJECTIFS!$B$27,OBJECTIFS!$I$29="tx mea"),AND($D75=OBJECTIFS!$B$34,OBJECTIFS!$I$36="tx mea")),IFERROR(AA75/Z75,""),IFERROR(Z75/AA75,""))</f>
        <v/>
      </c>
      <c r="AC75" s="155">
        <f>IFERROR(IF(OR(Z75="",AA75="",AB75=""),0,IF(AB75&lt;OBJECTIFS!$E$56,0,IF(AB75&lt;OBJECTIFS!$G$56,AC$8*OBJECTIFS!$F$60,IF(AB75&lt;OBJECTIFS!$I$56,AC$8*OBJECTIFS!$H$60,AC$8)))),0)</f>
        <v>0</v>
      </c>
      <c r="AD75" s="289"/>
      <c r="AE75" s="290"/>
      <c r="AF75" s="158">
        <f t="shared" ca="1" si="33"/>
        <v>0</v>
      </c>
      <c r="AG75" s="52"/>
      <c r="AH75" s="126"/>
      <c r="AI75" s="19"/>
      <c r="AJ75" s="19"/>
      <c r="AK75" s="19"/>
      <c r="AL75" s="19"/>
      <c r="AM75" s="63">
        <f t="shared" si="4"/>
        <v>0</v>
      </c>
      <c r="AN75" s="63">
        <f t="shared" si="8"/>
        <v>22</v>
      </c>
      <c r="AO75" s="64">
        <f t="shared" si="5"/>
        <v>0</v>
      </c>
      <c r="AP75" s="65" t="str">
        <f t="shared" ca="1" si="0"/>
        <v/>
      </c>
      <c r="AQ75" s="66"/>
      <c r="AR75" s="168">
        <f>IFERROR(VLOOKUP(B75,OBJECTIFS!$C$76:$E$137,2,FALSE),0)</f>
        <v>0</v>
      </c>
      <c r="AS75" s="173"/>
      <c r="AT75" s="170">
        <f>IFERROR(VLOOKUP(B75,OBJECTIFS!$H$76:$J$137,2,FALSE),0)</f>
        <v>0</v>
      </c>
      <c r="AU75" s="178">
        <f t="shared" si="34"/>
        <v>0</v>
      </c>
      <c r="AV75" s="173"/>
      <c r="AW75" s="74">
        <f>IFERROR(VLOOKUP(B75,OBJECTIFS!$C$142:$E$203,2,FALSE),0)</f>
        <v>0</v>
      </c>
      <c r="AX75" s="74">
        <f>IFERROR(VLOOKUP(B75,OBJECTIFS!$H$142:$J$203,2,FALSE),0)</f>
        <v>0</v>
      </c>
      <c r="AY75" s="174">
        <f>IFERROR(VLOOKUP(B75,OBJECTIFS!$F$208:$H$269,3,FALSE),0)</f>
        <v>0</v>
      </c>
      <c r="AZ75" s="66"/>
      <c r="BA75" s="75" t="str">
        <f t="shared" ca="1" si="35"/>
        <v/>
      </c>
      <c r="BB75" s="52"/>
      <c r="BC75" s="76">
        <f t="shared" ca="1" si="32"/>
        <v>0</v>
      </c>
      <c r="BD75" s="53" t="str">
        <f t="shared" ca="1" si="2"/>
        <v/>
      </c>
      <c r="BE75" s="77" t="str">
        <f t="shared" ca="1" si="31"/>
        <v/>
      </c>
    </row>
    <row r="76" spans="1:57" x14ac:dyDescent="0.2">
      <c r="A76" s="16"/>
      <c r="B76" s="17"/>
      <c r="C76" s="17"/>
      <c r="D76" s="18"/>
      <c r="E76" s="19"/>
      <c r="F76" s="27"/>
      <c r="H76" s="71" t="str">
        <f>IF(OR(D76="",F76="",A76=""),"",IF(E76="oui",0,IF(D76=OBJECTIFS!$C$45,VLOOKUP(F76,OBJECTIFS!$C$9:$D$11,2,FALSE),IF(D76=OBJECTIFS!$C$46,VLOOKUP(F76,OBJECTIFS!$C$16:$D$18,2,FALSE),IF(D76=OBJECTIFS!$C$47,VLOOKUP(F76,OBJECTIFS!$C$23:$D$25,2,FALSE),IF(D76=OBJECTIFS!$C$48,VLOOKUP(F76,OBJECTIFS!$C$30:$D$32,2,FALSE),IF(D76=OBJECTIFS!$C$49,VLOOKUP(F76,OBJECTIFS!$C$37:$D$39,2,FALSE))))))))</f>
        <v/>
      </c>
      <c r="J76" s="138"/>
      <c r="K76" s="141" t="str">
        <f>IF(OR($A76="",$D76="",J76=""),"",SUMIFS(OBJECTIFS!E$9:E$39,OBJECTIFS!$A$9:$A$39,$D76,OBJECTIFS!$C$9:$C$39,$F76))</f>
        <v/>
      </c>
      <c r="L76" s="72" t="str">
        <f>IF(OR(AND($D76=OBJECTIFS!$B$6,OBJECTIFS!E$8="dmt"),AND($D76=OBJECTIFS!$B$13,OBJECTIFS!$E$15="dmt"),AND($D76=OBJECTIFS!$B$20,OBJECTIFS!$E$22="dmt"),AND($D76=OBJECTIFS!$B$27,OBJECTIFS!$E$29="dmt"),AND($D76=OBJECTIFS!$B$34,OBJECTIFS!$E$36="dmt"),AND($D76=OBJECTIFS!$B$6,OBJECTIFS!$E$8="taux de chute"),AND($D76=OBJECTIFS!$B$13,OBJECTIFS!$E$15="taux de chute"),AND($D76=OBJECTIFS!$B$20,OBJECTIFS!$E$22="taux de chute"),AND($D76=OBJECTIFS!$B$27,OBJECTIFS!$E$29="taux de chute"),AND($D76=OBJECTIFS!$B$34,OBJECTIFS!$E$36="taux de chute"),AND($D76=OBJECTIFS!$B$6,OBJECTIFS!E$8="tx mea"),AND($D76=OBJECTIFS!$B$13,OBJECTIFS!$E$15="tx mea"),AND($D76=OBJECTIFS!$B$20,OBJECTIFS!$E$22="tx mea"),AND($D76=OBJECTIFS!$B$27,OBJECTIFS!$E$29="tx mea"),AND($D76=OBJECTIFS!$B$34,OBJECTIFS!$E$36="tx mea")),IFERROR(K76/J76,""),IFERROR(J76/K76,""))</f>
        <v/>
      </c>
      <c r="M76" s="149">
        <f>IFERROR(IF(OR(J76="",K76="",L76=""),0,IF(L76&lt;OBJECTIFS!$E$56,0,IF(L76&lt;OBJECTIFS!$G$56,M$8*OBJECTIFS!$F$60,IF(L76&lt;OBJECTIFS!$I$56,M$8*OBJECTIFS!$H$60,M$8)))),0)</f>
        <v>0</v>
      </c>
      <c r="N76" s="144"/>
      <c r="O76" s="145" t="str">
        <f>IF(OR($A76="",$D76="",N76=""),"",SUMIFS(OBJECTIFS!F$9:F$39,OBJECTIFS!$A$9:$A$39,$D76,OBJECTIFS!$C$9:$C$39,$F76))</f>
        <v/>
      </c>
      <c r="P76" s="72" t="str">
        <f>IF(OR(AND($D76=OBJECTIFS!$B$6,OBJECTIFS!$F$8="dmt"),AND($D76=OBJECTIFS!$B$13,OBJECTIFS!$F$15="dmt"),AND($D76=OBJECTIFS!$B$20,OBJECTIFS!$F$22="dmt"),AND($D76=OBJECTIFS!$B$27,OBJECTIFS!$F$29="dmt"),AND($D76=OBJECTIFS!$B$34,OBJECTIFS!$F$36="dmt"),AND($D76=OBJECTIFS!$B$6,OBJECTIFS!$F$8="taux de chute"),AND($D76=OBJECTIFS!$B$13,OBJECTIFS!$F$15="taux de chute"),AND($D76=OBJECTIFS!$B$20,OBJECTIFS!$F$22="taux de chute"),AND($D76=OBJECTIFS!$B$27,OBJECTIFS!$F$29="taux de chute"),AND($D76=OBJECTIFS!$B$34,OBJECTIFS!$F$36="taux de chute"),AND($D76=OBJECTIFS!$B$6,OBJECTIFS!$F$8="tx mea"),AND($D76=OBJECTIFS!$B$13,OBJECTIFS!$F$15="tx mea"),AND($D76=OBJECTIFS!$B$20,OBJECTIFS!$F$22="tx mea"),AND($D76=OBJECTIFS!$B$27,OBJECTIFS!$F$29="tx mea"),AND($D76=OBJECTIFS!$B$34,OBJECTIFS!$F$36="tx mea")),IFERROR(O76/N76,""),IFERROR(N76/O76,""))</f>
        <v/>
      </c>
      <c r="Q76" s="149">
        <f>IFERROR(IF(OR(N76="",O76="",P76=""),0,IF(P76&lt;OBJECTIFS!$E$56,0,IF(P76&lt;OBJECTIFS!$G$56,Q$8*OBJECTIFS!$F$60,IF(P76&lt;OBJECTIFS!$I$56,Q$8*OBJECTIFS!$H$60,Q$8)))),0)</f>
        <v>0</v>
      </c>
      <c r="R76" s="121"/>
      <c r="S76" s="73" t="str">
        <f>IF(OR($A76="",$D76="",R76=""),"",SUMIFS(OBJECTIFS!G$9:G$39,OBJECTIFS!$A$9:$A$39,$D76,OBJECTIFS!$C$9:$C$39,$F76))</f>
        <v/>
      </c>
      <c r="T76" s="72" t="str">
        <f>IF(OR(AND($D76=OBJECTIFS!$B$6,OBJECTIFS!G$8="dmt"),AND($D76=OBJECTIFS!$B$13,OBJECTIFS!$G$15="dmt"),AND($D76=OBJECTIFS!$B$20,OBJECTIFS!$G$22="dmt"),AND($D76=OBJECTIFS!$B$27,OBJECTIFS!$G$29="dmt"),AND($D76=OBJECTIFS!$B$34,OBJECTIFS!$G$36="dmt"),AND($D76=OBJECTIFS!$B$6,OBJECTIFS!$G$8="taux de chute"),AND($D76=OBJECTIFS!$B$13,OBJECTIFS!$G$15="taux de chute"),AND($D76=OBJECTIFS!$B$20,OBJECTIFS!$G$22="taux de chute"),AND($D76=OBJECTIFS!$B$27,OBJECTIFS!$G$29="taux de chute"),AND($D76=OBJECTIFS!$B$34,OBJECTIFS!$G$36="taux de chute",AND($D76=OBJECTIFS!$B$6,OBJECTIFS!G$8="tx mea"),AND($D76=OBJECTIFS!$B$13,OBJECTIFS!$G$15="tx mea"),AND($D76=OBJECTIFS!$B$20,OBJECTIFS!$G$22="tx mea"),AND($D76=OBJECTIFS!$B$27,OBJECTIFS!$G$29="tx mea"),AND($D76=OBJECTIFS!$B$34,OBJECTIFS!$G$36="tx mea"))),IFERROR(S76/R76,""),IFERROR(R76/S76,""))</f>
        <v/>
      </c>
      <c r="U76" s="152">
        <f>IFERROR(IF(OR(R76="",S76="",T76=""),0,IF(T76&lt;OBJECTIFS!$E$56,0,IF(T76&lt;OBJECTIFS!$G$56,U$8*OBJECTIFS!$F$60,IF(T76&lt;OBJECTIFS!$I$56,U$8*OBJECTIFS!$H$60,U$8)))),0)</f>
        <v>0</v>
      </c>
      <c r="V76" s="20"/>
      <c r="W76" s="72" t="str">
        <f>IF(OR($A76="",$D76="",V76=""),"",SUMIFS(OBJECTIFS!H$9:H$39,OBJECTIFS!$A$9:$A$39,$D76,OBJECTIFS!$C$9:$C$39,$F76))</f>
        <v/>
      </c>
      <c r="X76" s="72" t="str">
        <f>IF(OR(AND($D76=OBJECTIFS!$B$6,OBJECTIFS!H$8="dmt"),AND($D76=OBJECTIFS!$B$13,OBJECTIFS!$H$15="dmt"),AND($D76=OBJECTIFS!$B$20,OBJECTIFS!$H$22="dmt"),AND($D76=OBJECTIFS!$B$27,OBJECTIFS!$H$29="dmt"),AND($D76=OBJECTIFS!$B$34,OBJECTIFS!$H$36="dmt"),AND($D76=OBJECTIFS!$B$6,OBJECTIFS!$H$8="taux de chute"),AND($D76=OBJECTIFS!$B$13,OBJECTIFS!$H$15="taux de chute"),AND($D76=OBJECTIFS!$B$20,OBJECTIFS!$H$22="taux de chute"),AND($D76=OBJECTIFS!$B$27,OBJECTIFS!$H$29="taux de chute"),AND($D76=OBJECTIFS!$B$34,OBJECTIFS!$H$36="taux de chute"),AND($D76=OBJECTIFS!$B$6,OBJECTIFS!H$8="tx mea"),AND($D76=OBJECTIFS!$B$13,OBJECTIFS!$H$15="tx mea"),AND($D76=OBJECTIFS!$B$20,OBJECTIFS!$H$22="tx mea"),AND($D76=OBJECTIFS!$B$27,OBJECTIFS!$H$29="tx mea"),AND($D76=OBJECTIFS!$B$34,OBJECTIFS!$H$36="tx mea")),IFERROR(W76/V76,""),IFERROR(V76/W76,""))</f>
        <v/>
      </c>
      <c r="Y76" s="149">
        <f>IFERROR(IF(OR(V76="",W76="",X76=""),0,IF(X76&lt;OBJECTIFS!$E$56,0,IF(X76&lt;OBJECTIFS!$G$56,Y$8*OBJECTIFS!$F$60,IF(X76&lt;OBJECTIFS!$I$56,Y$8*OBJECTIFS!$H$60,Y$8)))),0)</f>
        <v>0</v>
      </c>
      <c r="Z76" s="124"/>
      <c r="AA76" s="72" t="str">
        <f>IF(OR($A76="",$D76="",Z76=""),"",SUMIFS(OBJECTIFS!I$9:I$39,OBJECTIFS!$A$9:$A$39,$D76,OBJECTIFS!$C$9:$C$39,$F76))</f>
        <v/>
      </c>
      <c r="AB76" s="72" t="str">
        <f>IF(OR(AND($D76=OBJECTIFS!$B$6,OBJECTIFS!I$8="dmt"),AND($D76=OBJECTIFS!$B$13,OBJECTIFS!$I$15="dmt"),AND($D76=OBJECTIFS!$B$20,OBJECTIFS!$I$22="dmt"),AND($D76=OBJECTIFS!$B$27,OBJECTIFS!$I$29="dmt"),AND($D76=OBJECTIFS!$B$34,OBJECTIFS!$I$36="dmt"),AND($D76=OBJECTIFS!$B$6,OBJECTIFS!$I$8="taux de chute"),AND($D76=OBJECTIFS!$B$13,OBJECTIFS!$I$15="taux de chute"),AND($D76=OBJECTIFS!$B$20,OBJECTIFS!$I$22="taux de chute"),AND($D76=OBJECTIFS!$B$27,OBJECTIFS!$I$29="taux de chute"),AND($D76=OBJECTIFS!$B$34,OBJECTIFS!$I$36="taux de chute"),AND($D76=OBJECTIFS!$B$6,OBJECTIFS!I$8="tx mea"),AND($D76=OBJECTIFS!$B$13,OBJECTIFS!$I$15="tx mea"),AND($D76=OBJECTIFS!$B$20,OBJECTIFS!$I$22="tx mea"),AND($D76=OBJECTIFS!$B$27,OBJECTIFS!$I$29="tx mea"),AND($D76=OBJECTIFS!$B$34,OBJECTIFS!$I$36="tx mea")),IFERROR(AA76/Z76,""),IFERROR(Z76/AA76,""))</f>
        <v/>
      </c>
      <c r="AC76" s="155">
        <f>IFERROR(IF(OR(Z76="",AA76="",AB76=""),0,IF(AB76&lt;OBJECTIFS!$E$56,0,IF(AB76&lt;OBJECTIFS!$G$56,AC$8*OBJECTIFS!$F$60,IF(AB76&lt;OBJECTIFS!$I$56,AC$8*OBJECTIFS!$H$60,AC$8)))),0)</f>
        <v>0</v>
      </c>
      <c r="AD76" s="289"/>
      <c r="AE76" s="290"/>
      <c r="AF76" s="158">
        <f t="shared" ca="1" si="33"/>
        <v>0</v>
      </c>
      <c r="AG76" s="52"/>
      <c r="AH76" s="126"/>
      <c r="AI76" s="19"/>
      <c r="AJ76" s="19"/>
      <c r="AK76" s="19"/>
      <c r="AL76" s="19"/>
      <c r="AM76" s="63">
        <f t="shared" si="4"/>
        <v>0</v>
      </c>
      <c r="AN76" s="63">
        <f t="shared" si="8"/>
        <v>22</v>
      </c>
      <c r="AO76" s="64">
        <f t="shared" si="5"/>
        <v>0</v>
      </c>
      <c r="AP76" s="65" t="str">
        <f t="shared" ca="1" si="0"/>
        <v/>
      </c>
      <c r="AQ76" s="66"/>
      <c r="AR76" s="168">
        <f>IFERROR(VLOOKUP(B76,OBJECTIFS!$C$76:$E$137,2,FALSE),0)</f>
        <v>0</v>
      </c>
      <c r="AS76" s="173"/>
      <c r="AT76" s="170">
        <f>IFERROR(VLOOKUP(B76,OBJECTIFS!$H$76:$J$137,2,FALSE),0)</f>
        <v>0</v>
      </c>
      <c r="AU76" s="178">
        <f t="shared" si="34"/>
        <v>0</v>
      </c>
      <c r="AV76" s="173"/>
      <c r="AW76" s="74">
        <f>IFERROR(VLOOKUP(B76,OBJECTIFS!$C$142:$E$203,2,FALSE),0)</f>
        <v>0</v>
      </c>
      <c r="AX76" s="74">
        <f>IFERROR(VLOOKUP(B76,OBJECTIFS!$H$142:$J$203,2,FALSE),0)</f>
        <v>0</v>
      </c>
      <c r="AY76" s="174">
        <f>IFERROR(VLOOKUP(B76,OBJECTIFS!$F$208:$H$269,3,FALSE),0)</f>
        <v>0</v>
      </c>
      <c r="AZ76" s="66"/>
      <c r="BA76" s="75" t="str">
        <f t="shared" ca="1" si="35"/>
        <v/>
      </c>
      <c r="BB76" s="52"/>
      <c r="BC76" s="76">
        <f t="shared" ca="1" si="32"/>
        <v>0</v>
      </c>
      <c r="BD76" s="53" t="str">
        <f t="shared" ca="1" si="2"/>
        <v/>
      </c>
      <c r="BE76" s="77" t="str">
        <f t="shared" ca="1" si="31"/>
        <v/>
      </c>
    </row>
    <row r="77" spans="1:57" x14ac:dyDescent="0.2">
      <c r="A77" s="16"/>
      <c r="B77" s="17"/>
      <c r="C77" s="17"/>
      <c r="D77" s="18"/>
      <c r="E77" s="19"/>
      <c r="F77" s="27"/>
      <c r="H77" s="71" t="str">
        <f>IF(OR(D77="",F77="",A77=""),"",IF(E77="oui",0,IF(D77=OBJECTIFS!$C$45,VLOOKUP(F77,OBJECTIFS!$C$9:$D$11,2,FALSE),IF(D77=OBJECTIFS!$C$46,VLOOKUP(F77,OBJECTIFS!$C$16:$D$18,2,FALSE),IF(D77=OBJECTIFS!$C$47,VLOOKUP(F77,OBJECTIFS!$C$23:$D$25,2,FALSE),IF(D77=OBJECTIFS!$C$48,VLOOKUP(F77,OBJECTIFS!$C$30:$D$32,2,FALSE),IF(D77=OBJECTIFS!$C$49,VLOOKUP(F77,OBJECTIFS!$C$37:$D$39,2,FALSE))))))))</f>
        <v/>
      </c>
      <c r="J77" s="138"/>
      <c r="K77" s="141" t="str">
        <f>IF(OR($A77="",$D77="",J77=""),"",SUMIFS(OBJECTIFS!E$9:E$39,OBJECTIFS!$A$9:$A$39,$D77,OBJECTIFS!$C$9:$C$39,$F77))</f>
        <v/>
      </c>
      <c r="L77" s="72" t="str">
        <f>IF(OR(AND($D77=OBJECTIFS!$B$6,OBJECTIFS!E$8="dmt"),AND($D77=OBJECTIFS!$B$13,OBJECTIFS!$E$15="dmt"),AND($D77=OBJECTIFS!$B$20,OBJECTIFS!$E$22="dmt"),AND($D77=OBJECTIFS!$B$27,OBJECTIFS!$E$29="dmt"),AND($D77=OBJECTIFS!$B$34,OBJECTIFS!$E$36="dmt"),AND($D77=OBJECTIFS!$B$6,OBJECTIFS!$E$8="taux de chute"),AND($D77=OBJECTIFS!$B$13,OBJECTIFS!$E$15="taux de chute"),AND($D77=OBJECTIFS!$B$20,OBJECTIFS!$E$22="taux de chute"),AND($D77=OBJECTIFS!$B$27,OBJECTIFS!$E$29="taux de chute"),AND($D77=OBJECTIFS!$B$34,OBJECTIFS!$E$36="taux de chute"),AND($D77=OBJECTIFS!$B$6,OBJECTIFS!E$8="tx mea"),AND($D77=OBJECTIFS!$B$13,OBJECTIFS!$E$15="tx mea"),AND($D77=OBJECTIFS!$B$20,OBJECTIFS!$E$22="tx mea"),AND($D77=OBJECTIFS!$B$27,OBJECTIFS!$E$29="tx mea"),AND($D77=OBJECTIFS!$B$34,OBJECTIFS!$E$36="tx mea")),IFERROR(K77/J77,""),IFERROR(J77/K77,""))</f>
        <v/>
      </c>
      <c r="M77" s="149">
        <f>IFERROR(IF(OR(J77="",K77="",L77=""),0,IF(L77&lt;OBJECTIFS!$E$56,0,IF(L77&lt;OBJECTIFS!$G$56,M$8*OBJECTIFS!$F$60,IF(L77&lt;OBJECTIFS!$I$56,M$8*OBJECTIFS!$H$60,M$8)))),0)</f>
        <v>0</v>
      </c>
      <c r="N77" s="144"/>
      <c r="O77" s="145" t="str">
        <f>IF(OR($A77="",$D77="",N77=""),"",SUMIFS(OBJECTIFS!F$9:F$39,OBJECTIFS!$A$9:$A$39,$D77,OBJECTIFS!$C$9:$C$39,$F77))</f>
        <v/>
      </c>
      <c r="P77" s="72" t="str">
        <f>IF(OR(AND($D77=OBJECTIFS!$B$6,OBJECTIFS!$F$8="dmt"),AND($D77=OBJECTIFS!$B$13,OBJECTIFS!$F$15="dmt"),AND($D77=OBJECTIFS!$B$20,OBJECTIFS!$F$22="dmt"),AND($D77=OBJECTIFS!$B$27,OBJECTIFS!$F$29="dmt"),AND($D77=OBJECTIFS!$B$34,OBJECTIFS!$F$36="dmt"),AND($D77=OBJECTIFS!$B$6,OBJECTIFS!$F$8="taux de chute"),AND($D77=OBJECTIFS!$B$13,OBJECTIFS!$F$15="taux de chute"),AND($D77=OBJECTIFS!$B$20,OBJECTIFS!$F$22="taux de chute"),AND($D77=OBJECTIFS!$B$27,OBJECTIFS!$F$29="taux de chute"),AND($D77=OBJECTIFS!$B$34,OBJECTIFS!$F$36="taux de chute"),AND($D77=OBJECTIFS!$B$6,OBJECTIFS!$F$8="tx mea"),AND($D77=OBJECTIFS!$B$13,OBJECTIFS!$F$15="tx mea"),AND($D77=OBJECTIFS!$B$20,OBJECTIFS!$F$22="tx mea"),AND($D77=OBJECTIFS!$B$27,OBJECTIFS!$F$29="tx mea"),AND($D77=OBJECTIFS!$B$34,OBJECTIFS!$F$36="tx mea")),IFERROR(O77/N77,""),IFERROR(N77/O77,""))</f>
        <v/>
      </c>
      <c r="Q77" s="149">
        <f>IFERROR(IF(OR(N77="",O77="",P77=""),0,IF(P77&lt;OBJECTIFS!$E$56,0,IF(P77&lt;OBJECTIFS!$G$56,Q$8*OBJECTIFS!$F$60,IF(P77&lt;OBJECTIFS!$I$56,Q$8*OBJECTIFS!$H$60,Q$8)))),0)</f>
        <v>0</v>
      </c>
      <c r="R77" s="121"/>
      <c r="S77" s="73" t="str">
        <f>IF(OR($A77="",$D77="",R77=""),"",SUMIFS(OBJECTIFS!G$9:G$39,OBJECTIFS!$A$9:$A$39,$D77,OBJECTIFS!$C$9:$C$39,$F77))</f>
        <v/>
      </c>
      <c r="T77" s="72" t="str">
        <f>IF(OR(AND($D77=OBJECTIFS!$B$6,OBJECTIFS!G$8="dmt"),AND($D77=OBJECTIFS!$B$13,OBJECTIFS!$G$15="dmt"),AND($D77=OBJECTIFS!$B$20,OBJECTIFS!$G$22="dmt"),AND($D77=OBJECTIFS!$B$27,OBJECTIFS!$G$29="dmt"),AND($D77=OBJECTIFS!$B$34,OBJECTIFS!$G$36="dmt"),AND($D77=OBJECTIFS!$B$6,OBJECTIFS!$G$8="taux de chute"),AND($D77=OBJECTIFS!$B$13,OBJECTIFS!$G$15="taux de chute"),AND($D77=OBJECTIFS!$B$20,OBJECTIFS!$G$22="taux de chute"),AND($D77=OBJECTIFS!$B$27,OBJECTIFS!$G$29="taux de chute"),AND($D77=OBJECTIFS!$B$34,OBJECTIFS!$G$36="taux de chute",AND($D77=OBJECTIFS!$B$6,OBJECTIFS!G$8="tx mea"),AND($D77=OBJECTIFS!$B$13,OBJECTIFS!$G$15="tx mea"),AND($D77=OBJECTIFS!$B$20,OBJECTIFS!$G$22="tx mea"),AND($D77=OBJECTIFS!$B$27,OBJECTIFS!$G$29="tx mea"),AND($D77=OBJECTIFS!$B$34,OBJECTIFS!$G$36="tx mea"))),IFERROR(S77/R77,""),IFERROR(R77/S77,""))</f>
        <v/>
      </c>
      <c r="U77" s="152">
        <f>IFERROR(IF(OR(R77="",S77="",T77=""),0,IF(T77&lt;OBJECTIFS!$E$56,0,IF(T77&lt;OBJECTIFS!$G$56,U$8*OBJECTIFS!$F$60,IF(T77&lt;OBJECTIFS!$I$56,U$8*OBJECTIFS!$H$60,U$8)))),0)</f>
        <v>0</v>
      </c>
      <c r="V77" s="20"/>
      <c r="W77" s="72" t="str">
        <f>IF(OR($A77="",$D77="",V77=""),"",SUMIFS(OBJECTIFS!H$9:H$39,OBJECTIFS!$A$9:$A$39,$D77,OBJECTIFS!$C$9:$C$39,$F77))</f>
        <v/>
      </c>
      <c r="X77" s="72" t="str">
        <f>IF(OR(AND($D77=OBJECTIFS!$B$6,OBJECTIFS!H$8="dmt"),AND($D77=OBJECTIFS!$B$13,OBJECTIFS!$H$15="dmt"),AND($D77=OBJECTIFS!$B$20,OBJECTIFS!$H$22="dmt"),AND($D77=OBJECTIFS!$B$27,OBJECTIFS!$H$29="dmt"),AND($D77=OBJECTIFS!$B$34,OBJECTIFS!$H$36="dmt"),AND($D77=OBJECTIFS!$B$6,OBJECTIFS!$H$8="taux de chute"),AND($D77=OBJECTIFS!$B$13,OBJECTIFS!$H$15="taux de chute"),AND($D77=OBJECTIFS!$B$20,OBJECTIFS!$H$22="taux de chute"),AND($D77=OBJECTIFS!$B$27,OBJECTIFS!$H$29="taux de chute"),AND($D77=OBJECTIFS!$B$34,OBJECTIFS!$H$36="taux de chute"),AND($D77=OBJECTIFS!$B$6,OBJECTIFS!H$8="tx mea"),AND($D77=OBJECTIFS!$B$13,OBJECTIFS!$H$15="tx mea"),AND($D77=OBJECTIFS!$B$20,OBJECTIFS!$H$22="tx mea"),AND($D77=OBJECTIFS!$B$27,OBJECTIFS!$H$29="tx mea"),AND($D77=OBJECTIFS!$B$34,OBJECTIFS!$H$36="tx mea")),IFERROR(W77/V77,""),IFERROR(V77/W77,""))</f>
        <v/>
      </c>
      <c r="Y77" s="149">
        <f>IFERROR(IF(OR(V77="",W77="",X77=""),0,IF(X77&lt;OBJECTIFS!$E$56,0,IF(X77&lt;OBJECTIFS!$G$56,Y$8*OBJECTIFS!$F$60,IF(X77&lt;OBJECTIFS!$I$56,Y$8*OBJECTIFS!$H$60,Y$8)))),0)</f>
        <v>0</v>
      </c>
      <c r="Z77" s="124"/>
      <c r="AA77" s="72" t="str">
        <f>IF(OR($A77="",$D77="",Z77=""),"",SUMIFS(OBJECTIFS!I$9:I$39,OBJECTIFS!$A$9:$A$39,$D77,OBJECTIFS!$C$9:$C$39,$F77))</f>
        <v/>
      </c>
      <c r="AB77" s="72" t="str">
        <f>IF(OR(AND($D77=OBJECTIFS!$B$6,OBJECTIFS!I$8="dmt"),AND($D77=OBJECTIFS!$B$13,OBJECTIFS!$I$15="dmt"),AND($D77=OBJECTIFS!$B$20,OBJECTIFS!$I$22="dmt"),AND($D77=OBJECTIFS!$B$27,OBJECTIFS!$I$29="dmt"),AND($D77=OBJECTIFS!$B$34,OBJECTIFS!$I$36="dmt"),AND($D77=OBJECTIFS!$B$6,OBJECTIFS!$I$8="taux de chute"),AND($D77=OBJECTIFS!$B$13,OBJECTIFS!$I$15="taux de chute"),AND($D77=OBJECTIFS!$B$20,OBJECTIFS!$I$22="taux de chute"),AND($D77=OBJECTIFS!$B$27,OBJECTIFS!$I$29="taux de chute"),AND($D77=OBJECTIFS!$B$34,OBJECTIFS!$I$36="taux de chute"),AND($D77=OBJECTIFS!$B$6,OBJECTIFS!I$8="tx mea"),AND($D77=OBJECTIFS!$B$13,OBJECTIFS!$I$15="tx mea"),AND($D77=OBJECTIFS!$B$20,OBJECTIFS!$I$22="tx mea"),AND($D77=OBJECTIFS!$B$27,OBJECTIFS!$I$29="tx mea"),AND($D77=OBJECTIFS!$B$34,OBJECTIFS!$I$36="tx mea")),IFERROR(AA77/Z77,""),IFERROR(Z77/AA77,""))</f>
        <v/>
      </c>
      <c r="AC77" s="155">
        <f>IFERROR(IF(OR(Z77="",AA77="",AB77=""),0,IF(AB77&lt;OBJECTIFS!$E$56,0,IF(AB77&lt;OBJECTIFS!$G$56,AC$8*OBJECTIFS!$F$60,IF(AB77&lt;OBJECTIFS!$I$56,AC$8*OBJECTIFS!$H$60,AC$8)))),0)</f>
        <v>0</v>
      </c>
      <c r="AD77" s="289"/>
      <c r="AE77" s="290"/>
      <c r="AF77" s="158">
        <f t="shared" ca="1" si="33"/>
        <v>0</v>
      </c>
      <c r="AG77" s="52"/>
      <c r="AH77" s="126"/>
      <c r="AI77" s="19"/>
      <c r="AJ77" s="19"/>
      <c r="AK77" s="19"/>
      <c r="AL77" s="19"/>
      <c r="AM77" s="63">
        <f t="shared" si="4"/>
        <v>0</v>
      </c>
      <c r="AN77" s="63">
        <f t="shared" si="8"/>
        <v>22</v>
      </c>
      <c r="AO77" s="64">
        <f t="shared" si="5"/>
        <v>0</v>
      </c>
      <c r="AP77" s="65" t="str">
        <f t="shared" ca="1" si="0"/>
        <v/>
      </c>
      <c r="AQ77" s="66"/>
      <c r="AR77" s="168">
        <f>IFERROR(VLOOKUP(B77,OBJECTIFS!$C$76:$E$137,2,FALSE),0)</f>
        <v>0</v>
      </c>
      <c r="AS77" s="173"/>
      <c r="AT77" s="170">
        <f>IFERROR(VLOOKUP(B77,OBJECTIFS!$H$76:$J$137,2,FALSE),0)</f>
        <v>0</v>
      </c>
      <c r="AU77" s="178">
        <f t="shared" si="34"/>
        <v>0</v>
      </c>
      <c r="AV77" s="173"/>
      <c r="AW77" s="74">
        <f>IFERROR(VLOOKUP(B77,OBJECTIFS!$C$142:$E$203,2,FALSE),0)</f>
        <v>0</v>
      </c>
      <c r="AX77" s="74">
        <f>IFERROR(VLOOKUP(B77,OBJECTIFS!$H$142:$J$203,2,FALSE),0)</f>
        <v>0</v>
      </c>
      <c r="AY77" s="174">
        <f>IFERROR(VLOOKUP(B77,OBJECTIFS!$F$208:$H$269,3,FALSE),0)</f>
        <v>0</v>
      </c>
      <c r="AZ77" s="66"/>
      <c r="BA77" s="75" t="str">
        <f t="shared" ca="1" si="35"/>
        <v/>
      </c>
      <c r="BB77" s="52"/>
      <c r="BC77" s="76">
        <f t="shared" ca="1" si="32"/>
        <v>0</v>
      </c>
      <c r="BD77" s="53" t="str">
        <f t="shared" ca="1" si="2"/>
        <v/>
      </c>
      <c r="BE77" s="77" t="str">
        <f t="shared" ca="1" si="31"/>
        <v/>
      </c>
    </row>
    <row r="78" spans="1:57" x14ac:dyDescent="0.2">
      <c r="A78" s="16"/>
      <c r="B78" s="17"/>
      <c r="C78" s="17"/>
      <c r="D78" s="18"/>
      <c r="E78" s="19"/>
      <c r="F78" s="27"/>
      <c r="H78" s="71" t="str">
        <f>IF(OR(D78="",F78="",A78=""),"",IF(E78="oui",0,IF(D78=OBJECTIFS!$C$45,VLOOKUP(F78,OBJECTIFS!$C$9:$D$11,2,FALSE),IF(D78=OBJECTIFS!$C$46,VLOOKUP(F78,OBJECTIFS!$C$16:$D$18,2,FALSE),IF(D78=OBJECTIFS!$C$47,VLOOKUP(F78,OBJECTIFS!$C$23:$D$25,2,FALSE),IF(D78=OBJECTIFS!$C$48,VLOOKUP(F78,OBJECTIFS!$C$30:$D$32,2,FALSE),IF(D78=OBJECTIFS!$C$49,VLOOKUP(F78,OBJECTIFS!$C$37:$D$39,2,FALSE))))))))</f>
        <v/>
      </c>
      <c r="J78" s="138"/>
      <c r="K78" s="141" t="str">
        <f>IF(OR($A78="",$D78="",J78=""),"",SUMIFS(OBJECTIFS!E$9:E$39,OBJECTIFS!$A$9:$A$39,$D78,OBJECTIFS!$C$9:$C$39,$F78))</f>
        <v/>
      </c>
      <c r="L78" s="72" t="str">
        <f>IF(OR(AND($D78=OBJECTIFS!$B$6,OBJECTIFS!E$8="dmt"),AND($D78=OBJECTIFS!$B$13,OBJECTIFS!$E$15="dmt"),AND($D78=OBJECTIFS!$B$20,OBJECTIFS!$E$22="dmt"),AND($D78=OBJECTIFS!$B$27,OBJECTIFS!$E$29="dmt"),AND($D78=OBJECTIFS!$B$34,OBJECTIFS!$E$36="dmt"),AND($D78=OBJECTIFS!$B$6,OBJECTIFS!$E$8="taux de chute"),AND($D78=OBJECTIFS!$B$13,OBJECTIFS!$E$15="taux de chute"),AND($D78=OBJECTIFS!$B$20,OBJECTIFS!$E$22="taux de chute"),AND($D78=OBJECTIFS!$B$27,OBJECTIFS!$E$29="taux de chute"),AND($D78=OBJECTIFS!$B$34,OBJECTIFS!$E$36="taux de chute"),AND($D78=OBJECTIFS!$B$6,OBJECTIFS!E$8="tx mea"),AND($D78=OBJECTIFS!$B$13,OBJECTIFS!$E$15="tx mea"),AND($D78=OBJECTIFS!$B$20,OBJECTIFS!$E$22="tx mea"),AND($D78=OBJECTIFS!$B$27,OBJECTIFS!$E$29="tx mea"),AND($D78=OBJECTIFS!$B$34,OBJECTIFS!$E$36="tx mea")),IFERROR(K78/J78,""),IFERROR(J78/K78,""))</f>
        <v/>
      </c>
      <c r="M78" s="149">
        <f>IFERROR(IF(OR(J78="",K78="",L78=""),0,IF(L78&lt;OBJECTIFS!$E$56,0,IF(L78&lt;OBJECTIFS!$G$56,M$8*OBJECTIFS!$F$60,IF(L78&lt;OBJECTIFS!$I$56,M$8*OBJECTIFS!$H$60,M$8)))),0)</f>
        <v>0</v>
      </c>
      <c r="N78" s="144"/>
      <c r="O78" s="145" t="str">
        <f>IF(OR($A78="",$D78="",N78=""),"",SUMIFS(OBJECTIFS!F$9:F$39,OBJECTIFS!$A$9:$A$39,$D78,OBJECTIFS!$C$9:$C$39,$F78))</f>
        <v/>
      </c>
      <c r="P78" s="72" t="str">
        <f>IF(OR(AND($D78=OBJECTIFS!$B$6,OBJECTIFS!$F$8="dmt"),AND($D78=OBJECTIFS!$B$13,OBJECTIFS!$F$15="dmt"),AND($D78=OBJECTIFS!$B$20,OBJECTIFS!$F$22="dmt"),AND($D78=OBJECTIFS!$B$27,OBJECTIFS!$F$29="dmt"),AND($D78=OBJECTIFS!$B$34,OBJECTIFS!$F$36="dmt"),AND($D78=OBJECTIFS!$B$6,OBJECTIFS!$F$8="taux de chute"),AND($D78=OBJECTIFS!$B$13,OBJECTIFS!$F$15="taux de chute"),AND($D78=OBJECTIFS!$B$20,OBJECTIFS!$F$22="taux de chute"),AND($D78=OBJECTIFS!$B$27,OBJECTIFS!$F$29="taux de chute"),AND($D78=OBJECTIFS!$B$34,OBJECTIFS!$F$36="taux de chute"),AND($D78=OBJECTIFS!$B$6,OBJECTIFS!$F$8="tx mea"),AND($D78=OBJECTIFS!$B$13,OBJECTIFS!$F$15="tx mea"),AND($D78=OBJECTIFS!$B$20,OBJECTIFS!$F$22="tx mea"),AND($D78=OBJECTIFS!$B$27,OBJECTIFS!$F$29="tx mea"),AND($D78=OBJECTIFS!$B$34,OBJECTIFS!$F$36="tx mea")),IFERROR(O78/N78,""),IFERROR(N78/O78,""))</f>
        <v/>
      </c>
      <c r="Q78" s="149">
        <f>IFERROR(IF(OR(N78="",O78="",P78=""),0,IF(P78&lt;OBJECTIFS!$E$56,0,IF(P78&lt;OBJECTIFS!$G$56,Q$8*OBJECTIFS!$F$60,IF(P78&lt;OBJECTIFS!$I$56,Q$8*OBJECTIFS!$H$60,Q$8)))),0)</f>
        <v>0</v>
      </c>
      <c r="R78" s="121"/>
      <c r="S78" s="73" t="str">
        <f>IF(OR($A78="",$D78="",R78=""),"",SUMIFS(OBJECTIFS!G$9:G$39,OBJECTIFS!$A$9:$A$39,$D78,OBJECTIFS!$C$9:$C$39,$F78))</f>
        <v/>
      </c>
      <c r="T78" s="72" t="str">
        <f>IF(OR(AND($D78=OBJECTIFS!$B$6,OBJECTIFS!G$8="dmt"),AND($D78=OBJECTIFS!$B$13,OBJECTIFS!$G$15="dmt"),AND($D78=OBJECTIFS!$B$20,OBJECTIFS!$G$22="dmt"),AND($D78=OBJECTIFS!$B$27,OBJECTIFS!$G$29="dmt"),AND($D78=OBJECTIFS!$B$34,OBJECTIFS!$G$36="dmt"),AND($D78=OBJECTIFS!$B$6,OBJECTIFS!$G$8="taux de chute"),AND($D78=OBJECTIFS!$B$13,OBJECTIFS!$G$15="taux de chute"),AND($D78=OBJECTIFS!$B$20,OBJECTIFS!$G$22="taux de chute"),AND($D78=OBJECTIFS!$B$27,OBJECTIFS!$G$29="taux de chute"),AND($D78=OBJECTIFS!$B$34,OBJECTIFS!$G$36="taux de chute",AND($D78=OBJECTIFS!$B$6,OBJECTIFS!G$8="tx mea"),AND($D78=OBJECTIFS!$B$13,OBJECTIFS!$G$15="tx mea"),AND($D78=OBJECTIFS!$B$20,OBJECTIFS!$G$22="tx mea"),AND($D78=OBJECTIFS!$B$27,OBJECTIFS!$G$29="tx mea"),AND($D78=OBJECTIFS!$B$34,OBJECTIFS!$G$36="tx mea"))),IFERROR(S78/R78,""),IFERROR(R78/S78,""))</f>
        <v/>
      </c>
      <c r="U78" s="152">
        <f>IFERROR(IF(OR(R78="",S78="",T78=""),0,IF(T78&lt;OBJECTIFS!$E$56,0,IF(T78&lt;OBJECTIFS!$G$56,U$8*OBJECTIFS!$F$60,IF(T78&lt;OBJECTIFS!$I$56,U$8*OBJECTIFS!$H$60,U$8)))),0)</f>
        <v>0</v>
      </c>
      <c r="V78" s="20"/>
      <c r="W78" s="72" t="str">
        <f>IF(OR($A78="",$D78="",V78=""),"",SUMIFS(OBJECTIFS!H$9:H$39,OBJECTIFS!$A$9:$A$39,$D78,OBJECTIFS!$C$9:$C$39,$F78))</f>
        <v/>
      </c>
      <c r="X78" s="72" t="str">
        <f>IF(OR(AND($D78=OBJECTIFS!$B$6,OBJECTIFS!H$8="dmt"),AND($D78=OBJECTIFS!$B$13,OBJECTIFS!$H$15="dmt"),AND($D78=OBJECTIFS!$B$20,OBJECTIFS!$H$22="dmt"),AND($D78=OBJECTIFS!$B$27,OBJECTIFS!$H$29="dmt"),AND($D78=OBJECTIFS!$B$34,OBJECTIFS!$H$36="dmt"),AND($D78=OBJECTIFS!$B$6,OBJECTIFS!$H$8="taux de chute"),AND($D78=OBJECTIFS!$B$13,OBJECTIFS!$H$15="taux de chute"),AND($D78=OBJECTIFS!$B$20,OBJECTIFS!$H$22="taux de chute"),AND($D78=OBJECTIFS!$B$27,OBJECTIFS!$H$29="taux de chute"),AND($D78=OBJECTIFS!$B$34,OBJECTIFS!$H$36="taux de chute"),AND($D78=OBJECTIFS!$B$6,OBJECTIFS!H$8="tx mea"),AND($D78=OBJECTIFS!$B$13,OBJECTIFS!$H$15="tx mea"),AND($D78=OBJECTIFS!$B$20,OBJECTIFS!$H$22="tx mea"),AND($D78=OBJECTIFS!$B$27,OBJECTIFS!$H$29="tx mea"),AND($D78=OBJECTIFS!$B$34,OBJECTIFS!$H$36="tx mea")),IFERROR(W78/V78,""),IFERROR(V78/W78,""))</f>
        <v/>
      </c>
      <c r="Y78" s="149">
        <f>IFERROR(IF(OR(V78="",W78="",X78=""),0,IF(X78&lt;OBJECTIFS!$E$56,0,IF(X78&lt;OBJECTIFS!$G$56,Y$8*OBJECTIFS!$F$60,IF(X78&lt;OBJECTIFS!$I$56,Y$8*OBJECTIFS!$H$60,Y$8)))),0)</f>
        <v>0</v>
      </c>
      <c r="Z78" s="124"/>
      <c r="AA78" s="72" t="str">
        <f>IF(OR($A78="",$D78="",Z78=""),"",SUMIFS(OBJECTIFS!I$9:I$39,OBJECTIFS!$A$9:$A$39,$D78,OBJECTIFS!$C$9:$C$39,$F78))</f>
        <v/>
      </c>
      <c r="AB78" s="72" t="str">
        <f>IF(OR(AND($D78=OBJECTIFS!$B$6,OBJECTIFS!I$8="dmt"),AND($D78=OBJECTIFS!$B$13,OBJECTIFS!$I$15="dmt"),AND($D78=OBJECTIFS!$B$20,OBJECTIFS!$I$22="dmt"),AND($D78=OBJECTIFS!$B$27,OBJECTIFS!$I$29="dmt"),AND($D78=OBJECTIFS!$B$34,OBJECTIFS!$I$36="dmt"),AND($D78=OBJECTIFS!$B$6,OBJECTIFS!$I$8="taux de chute"),AND($D78=OBJECTIFS!$B$13,OBJECTIFS!$I$15="taux de chute"),AND($D78=OBJECTIFS!$B$20,OBJECTIFS!$I$22="taux de chute"),AND($D78=OBJECTIFS!$B$27,OBJECTIFS!$I$29="taux de chute"),AND($D78=OBJECTIFS!$B$34,OBJECTIFS!$I$36="taux de chute"),AND($D78=OBJECTIFS!$B$6,OBJECTIFS!I$8="tx mea"),AND($D78=OBJECTIFS!$B$13,OBJECTIFS!$I$15="tx mea"),AND($D78=OBJECTIFS!$B$20,OBJECTIFS!$I$22="tx mea"),AND($D78=OBJECTIFS!$B$27,OBJECTIFS!$I$29="tx mea"),AND($D78=OBJECTIFS!$B$34,OBJECTIFS!$I$36="tx mea")),IFERROR(AA78/Z78,""),IFERROR(Z78/AA78,""))</f>
        <v/>
      </c>
      <c r="AC78" s="155">
        <f>IFERROR(IF(OR(Z78="",AA78="",AB78=""),0,IF(AB78&lt;OBJECTIFS!$E$56,0,IF(AB78&lt;OBJECTIFS!$G$56,AC$8*OBJECTIFS!$F$60,IF(AB78&lt;OBJECTIFS!$I$56,AC$8*OBJECTIFS!$H$60,AC$8)))),0)</f>
        <v>0</v>
      </c>
      <c r="AD78" s="289"/>
      <c r="AE78" s="290"/>
      <c r="AF78" s="158">
        <f t="shared" ca="1" si="33"/>
        <v>0</v>
      </c>
      <c r="AG78" s="52"/>
      <c r="AH78" s="126"/>
      <c r="AI78" s="19"/>
      <c r="AJ78" s="19"/>
      <c r="AK78" s="19"/>
      <c r="AL78" s="19"/>
      <c r="AM78" s="63">
        <f t="shared" si="4"/>
        <v>0</v>
      </c>
      <c r="AN78" s="63">
        <f t="shared" si="8"/>
        <v>22</v>
      </c>
      <c r="AO78" s="64">
        <f t="shared" si="5"/>
        <v>0</v>
      </c>
      <c r="AP78" s="65" t="str">
        <f t="shared" ca="1" si="0"/>
        <v/>
      </c>
      <c r="AQ78" s="66"/>
      <c r="AR78" s="168">
        <f>IFERROR(VLOOKUP(B78,OBJECTIFS!$C$76:$E$137,2,FALSE),0)</f>
        <v>0</v>
      </c>
      <c r="AS78" s="173"/>
      <c r="AT78" s="170">
        <f>IFERROR(VLOOKUP(B78,OBJECTIFS!$H$76:$J$137,2,FALSE),0)</f>
        <v>0</v>
      </c>
      <c r="AU78" s="178">
        <f t="shared" si="34"/>
        <v>0</v>
      </c>
      <c r="AV78" s="173"/>
      <c r="AW78" s="74">
        <f>IFERROR(VLOOKUP(B78,OBJECTIFS!$C$142:$E$203,2,FALSE),0)</f>
        <v>0</v>
      </c>
      <c r="AX78" s="74">
        <f>IFERROR(VLOOKUP(B78,OBJECTIFS!$H$142:$J$203,2,FALSE),0)</f>
        <v>0</v>
      </c>
      <c r="AY78" s="174">
        <f>IFERROR(VLOOKUP(B78,OBJECTIFS!$F$208:$H$269,3,FALSE),0)</f>
        <v>0</v>
      </c>
      <c r="AZ78" s="66"/>
      <c r="BA78" s="75" t="str">
        <f t="shared" ca="1" si="35"/>
        <v/>
      </c>
      <c r="BB78" s="52"/>
      <c r="BC78" s="76">
        <f t="shared" ca="1" si="32"/>
        <v>0</v>
      </c>
      <c r="BD78" s="53" t="str">
        <f t="shared" ca="1" si="2"/>
        <v/>
      </c>
      <c r="BE78" s="77" t="str">
        <f t="shared" ca="1" si="31"/>
        <v/>
      </c>
    </row>
    <row r="79" spans="1:57" x14ac:dyDescent="0.2">
      <c r="A79" s="21"/>
      <c r="B79" s="22"/>
      <c r="C79" s="22"/>
      <c r="D79" s="23"/>
      <c r="E79" s="24"/>
      <c r="F79" s="28"/>
      <c r="H79" s="79" t="str">
        <f>IF(OR(D79="",F79="",A79=""),"",IF(E79="oui",0,IF(D79=OBJECTIFS!$C$45,VLOOKUP(F79,OBJECTIFS!$C$9:$D$11,2,FALSE),IF(D79=OBJECTIFS!$C$46,VLOOKUP(F79,OBJECTIFS!$C$16:$D$18,2,FALSE),IF(D79=OBJECTIFS!$C$47,VLOOKUP(F79,OBJECTIFS!$C$23:$D$25,2,FALSE),IF(D79=OBJECTIFS!$C$48,VLOOKUP(F79,OBJECTIFS!$C$30:$D$32,2,FALSE),IF(D79=OBJECTIFS!$C$49,VLOOKUP(F79,OBJECTIFS!$C$37:$D$39,2,FALSE))))))))</f>
        <v/>
      </c>
      <c r="J79" s="139"/>
      <c r="K79" s="141" t="str">
        <f>IF(OR($A79="",$D79="",J79=""),"",SUMIFS(OBJECTIFS!E$9:E$39,OBJECTIFS!$A$9:$A$39,$D79,OBJECTIFS!$C$9:$C$39,$F79))</f>
        <v/>
      </c>
      <c r="L79" s="72" t="str">
        <f>IF(OR(AND($D79=OBJECTIFS!$B$6,OBJECTIFS!E$8="dmt"),AND($D79=OBJECTIFS!$B$13,OBJECTIFS!$E$15="dmt"),AND($D79=OBJECTIFS!$B$20,OBJECTIFS!$E$22="dmt"),AND($D79=OBJECTIFS!$B$27,OBJECTIFS!$E$29="dmt"),AND($D79=OBJECTIFS!$B$34,OBJECTIFS!$E$36="dmt"),AND($D79=OBJECTIFS!$B$6,OBJECTIFS!$E$8="taux de chute"),AND($D79=OBJECTIFS!$B$13,OBJECTIFS!$E$15="taux de chute"),AND($D79=OBJECTIFS!$B$20,OBJECTIFS!$E$22="taux de chute"),AND($D79=OBJECTIFS!$B$27,OBJECTIFS!$E$29="taux de chute"),AND($D79=OBJECTIFS!$B$34,OBJECTIFS!$E$36="taux de chute"),AND($D79=OBJECTIFS!$B$6,OBJECTIFS!E$8="tx mea"),AND($D79=OBJECTIFS!$B$13,OBJECTIFS!$E$15="tx mea"),AND($D79=OBJECTIFS!$B$20,OBJECTIFS!$E$22="tx mea"),AND($D79=OBJECTIFS!$B$27,OBJECTIFS!$E$29="tx mea"),AND($D79=OBJECTIFS!$B$34,OBJECTIFS!$E$36="tx mea")),IFERROR(K79/J79,""),IFERROR(J79/K79,""))</f>
        <v/>
      </c>
      <c r="M79" s="150">
        <f>IFERROR(IF(OR(J79="",K79="",L79=""),0,IF(L79&lt;OBJECTIFS!$E$56,0,IF(L79&lt;OBJECTIFS!$G$56,M$8*OBJECTIFS!$F$60,IF(L79&lt;OBJECTIFS!$I$56,M$8*OBJECTIFS!$H$60,M$8)))),0)</f>
        <v>0</v>
      </c>
      <c r="N79" s="146"/>
      <c r="O79" s="145" t="str">
        <f>IF(OR($A79="",$D79="",N79=""),"",SUMIFS(OBJECTIFS!F$9:F$39,OBJECTIFS!$A$9:$A$39,$D79,OBJECTIFS!$C$9:$C$39,$F79))</f>
        <v/>
      </c>
      <c r="P79" s="72" t="str">
        <f>IF(OR(AND($D79=OBJECTIFS!$B$6,OBJECTIFS!$F$8="dmt"),AND($D79=OBJECTIFS!$B$13,OBJECTIFS!$F$15="dmt"),AND($D79=OBJECTIFS!$B$20,OBJECTIFS!$F$22="dmt"),AND($D79=OBJECTIFS!$B$27,OBJECTIFS!$F$29="dmt"),AND($D79=OBJECTIFS!$B$34,OBJECTIFS!$F$36="dmt"),AND($D79=OBJECTIFS!$B$6,OBJECTIFS!$F$8="taux de chute"),AND($D79=OBJECTIFS!$B$13,OBJECTIFS!$F$15="taux de chute"),AND($D79=OBJECTIFS!$B$20,OBJECTIFS!$F$22="taux de chute"),AND($D79=OBJECTIFS!$B$27,OBJECTIFS!$F$29="taux de chute"),AND($D79=OBJECTIFS!$B$34,OBJECTIFS!$F$36="taux de chute"),AND($D79=OBJECTIFS!$B$6,OBJECTIFS!$F$8="tx mea"),AND($D79=OBJECTIFS!$B$13,OBJECTIFS!$F$15="tx mea"),AND($D79=OBJECTIFS!$B$20,OBJECTIFS!$F$22="tx mea"),AND($D79=OBJECTIFS!$B$27,OBJECTIFS!$F$29="tx mea"),AND($D79=OBJECTIFS!$B$34,OBJECTIFS!$F$36="tx mea")),IFERROR(O79/N79,""),IFERROR(N79/O79,""))</f>
        <v/>
      </c>
      <c r="Q79" s="150">
        <f>IFERROR(IF(OR(N79="",O79="",P79=""),0,IF(P79&lt;OBJECTIFS!$E$56,0,IF(P79&lt;OBJECTIFS!$G$56,Q$8*OBJECTIFS!$F$60,IF(P79&lt;OBJECTIFS!$I$56,Q$8*OBJECTIFS!$H$60,Q$8)))),0)</f>
        <v>0</v>
      </c>
      <c r="R79" s="122"/>
      <c r="S79" s="81" t="str">
        <f>IF(OR($A79="",$D79="",R79=""),"",SUMIFS(OBJECTIFS!G$9:G$39,OBJECTIFS!$A$9:$A$39,$D79,OBJECTIFS!$C$9:$C$39,$F79))</f>
        <v/>
      </c>
      <c r="T79" s="72" t="str">
        <f>IF(OR(AND($D79=OBJECTIFS!$B$6,OBJECTIFS!G$8="dmt"),AND($D79=OBJECTIFS!$B$13,OBJECTIFS!$G$15="dmt"),AND($D79=OBJECTIFS!$B$20,OBJECTIFS!$G$22="dmt"),AND($D79=OBJECTIFS!$B$27,OBJECTIFS!$G$29="dmt"),AND($D79=OBJECTIFS!$B$34,OBJECTIFS!$G$36="dmt"),AND($D79=OBJECTIFS!$B$6,OBJECTIFS!$G$8="taux de chute"),AND($D79=OBJECTIFS!$B$13,OBJECTIFS!$G$15="taux de chute"),AND($D79=OBJECTIFS!$B$20,OBJECTIFS!$G$22="taux de chute"),AND($D79=OBJECTIFS!$B$27,OBJECTIFS!$G$29="taux de chute"),AND($D79=OBJECTIFS!$B$34,OBJECTIFS!$G$36="taux de chute",AND($D79=OBJECTIFS!$B$6,OBJECTIFS!G$8="tx mea"),AND($D79=OBJECTIFS!$B$13,OBJECTIFS!$G$15="tx mea"),AND($D79=OBJECTIFS!$B$20,OBJECTIFS!$G$22="tx mea"),AND($D79=OBJECTIFS!$B$27,OBJECTIFS!$G$29="tx mea"),AND($D79=OBJECTIFS!$B$34,OBJECTIFS!$G$36="tx mea"))),IFERROR(S79/R79,""),IFERROR(R79/S79,""))</f>
        <v/>
      </c>
      <c r="U79" s="153">
        <f>IFERROR(IF(OR(R79="",S79="",T79=""),0,IF(T79&lt;OBJECTIFS!$E$56,0,IF(T79&lt;OBJECTIFS!$G$56,U$8*OBJECTIFS!$F$60,IF(T79&lt;OBJECTIFS!$I$56,U$8*OBJECTIFS!$H$60,U$8)))),0)</f>
        <v>0</v>
      </c>
      <c r="V79" s="25"/>
      <c r="W79" s="80" t="str">
        <f>IF(OR($A79="",$D79="",V79=""),"",SUMIFS(OBJECTIFS!H$9:H$39,OBJECTIFS!$A$9:$A$39,$D79,OBJECTIFS!$C$9:$C$39,$F79))</f>
        <v/>
      </c>
      <c r="X79" s="72" t="str">
        <f>IF(OR(AND($D79=OBJECTIFS!$B$6,OBJECTIFS!H$8="dmt"),AND($D79=OBJECTIFS!$B$13,OBJECTIFS!$H$15="dmt"),AND($D79=OBJECTIFS!$B$20,OBJECTIFS!$H$22="dmt"),AND($D79=OBJECTIFS!$B$27,OBJECTIFS!$H$29="dmt"),AND($D79=OBJECTIFS!$B$34,OBJECTIFS!$H$36="dmt"),AND($D79=OBJECTIFS!$B$6,OBJECTIFS!$H$8="taux de chute"),AND($D79=OBJECTIFS!$B$13,OBJECTIFS!$H$15="taux de chute"),AND($D79=OBJECTIFS!$B$20,OBJECTIFS!$H$22="taux de chute"),AND($D79=OBJECTIFS!$B$27,OBJECTIFS!$H$29="taux de chute"),AND($D79=OBJECTIFS!$B$34,OBJECTIFS!$H$36="taux de chute"),AND($D79=OBJECTIFS!$B$6,OBJECTIFS!H$8="tx mea"),AND($D79=OBJECTIFS!$B$13,OBJECTIFS!$H$15="tx mea"),AND($D79=OBJECTIFS!$B$20,OBJECTIFS!$H$22="tx mea"),AND($D79=OBJECTIFS!$B$27,OBJECTIFS!$H$29="tx mea"),AND($D79=OBJECTIFS!$B$34,OBJECTIFS!$H$36="tx mea")),IFERROR(W79/V79,""),IFERROR(V79/W79,""))</f>
        <v/>
      </c>
      <c r="Y79" s="150">
        <f>IFERROR(IF(OR(V79="",W79="",X79=""),0,IF(X79&lt;OBJECTIFS!$E$56,0,IF(X79&lt;OBJECTIFS!$G$56,Y$8*OBJECTIFS!$F$60,IF(X79&lt;OBJECTIFS!$I$56,Y$8*OBJECTIFS!$H$60,Y$8)))),0)</f>
        <v>0</v>
      </c>
      <c r="Z79" s="125"/>
      <c r="AA79" s="80" t="str">
        <f>IF(OR($A79="",$D79="",Z79=""),"",SUMIFS(OBJECTIFS!I$9:I$39,OBJECTIFS!$A$9:$A$39,$D79,OBJECTIFS!$C$9:$C$39,$F79))</f>
        <v/>
      </c>
      <c r="AB79" s="72" t="str">
        <f>IF(OR(AND($D79=OBJECTIFS!$B$6,OBJECTIFS!I$8="dmt"),AND($D79=OBJECTIFS!$B$13,OBJECTIFS!$I$15="dmt"),AND($D79=OBJECTIFS!$B$20,OBJECTIFS!$I$22="dmt"),AND($D79=OBJECTIFS!$B$27,OBJECTIFS!$I$29="dmt"),AND($D79=OBJECTIFS!$B$34,OBJECTIFS!$I$36="dmt"),AND($D79=OBJECTIFS!$B$6,OBJECTIFS!$I$8="taux de chute"),AND($D79=OBJECTIFS!$B$13,OBJECTIFS!$I$15="taux de chute"),AND($D79=OBJECTIFS!$B$20,OBJECTIFS!$I$22="taux de chute"),AND($D79=OBJECTIFS!$B$27,OBJECTIFS!$I$29="taux de chute"),AND($D79=OBJECTIFS!$B$34,OBJECTIFS!$I$36="taux de chute"),AND($D79=OBJECTIFS!$B$6,OBJECTIFS!I$8="tx mea"),AND($D79=OBJECTIFS!$B$13,OBJECTIFS!$I$15="tx mea"),AND($D79=OBJECTIFS!$B$20,OBJECTIFS!$I$22="tx mea"),AND($D79=OBJECTIFS!$B$27,OBJECTIFS!$I$29="tx mea"),AND($D79=OBJECTIFS!$B$34,OBJECTIFS!$I$36="tx mea")),IFERROR(AA79/Z79,""),IFERROR(Z79/AA79,""))</f>
        <v/>
      </c>
      <c r="AC79" s="156">
        <f>IFERROR(IF(OR(Z79="",AA79="",AB79=""),0,IF(AB79&lt;OBJECTIFS!$E$56,0,IF(AB79&lt;OBJECTIFS!$G$56,AC$8*OBJECTIFS!$F$60,IF(AB79&lt;OBJECTIFS!$I$56,AC$8*OBJECTIFS!$H$60,AC$8)))),0)</f>
        <v>0</v>
      </c>
      <c r="AD79" s="312"/>
      <c r="AE79" s="313"/>
      <c r="AF79" s="158">
        <f t="shared" ca="1" si="33"/>
        <v>0</v>
      </c>
      <c r="AG79" s="52"/>
      <c r="AH79" s="127"/>
      <c r="AI79" s="24"/>
      <c r="AJ79" s="24"/>
      <c r="AK79" s="24"/>
      <c r="AL79" s="24"/>
      <c r="AM79" s="82">
        <f t="shared" si="4"/>
        <v>0</v>
      </c>
      <c r="AN79" s="82">
        <f t="shared" si="8"/>
        <v>22</v>
      </c>
      <c r="AO79" s="83">
        <f t="shared" si="5"/>
        <v>0</v>
      </c>
      <c r="AP79" s="84" t="str">
        <f t="shared" ref="AP79" ca="1" si="36">IFERROR((H79*AF79/100)*(1+AO79),"")</f>
        <v/>
      </c>
      <c r="AQ79" s="66"/>
      <c r="AR79" s="169">
        <f>IFERROR(VLOOKUP(B79,OBJECTIFS!$C$76:$E$137,2,FALSE),0)</f>
        <v>0</v>
      </c>
      <c r="AS79" s="173"/>
      <c r="AT79" s="171">
        <f>IFERROR(VLOOKUP(B79,OBJECTIFS!$H$76:$J$137,2,FALSE),0)</f>
        <v>0</v>
      </c>
      <c r="AU79" s="179">
        <f t="shared" si="34"/>
        <v>0</v>
      </c>
      <c r="AV79" s="173"/>
      <c r="AW79" s="85">
        <f>IFERROR(VLOOKUP(B79,OBJECTIFS!$C$142:$E$203,2,FALSE),0)</f>
        <v>0</v>
      </c>
      <c r="AX79" s="85">
        <f>IFERROR(VLOOKUP(B79,OBJECTIFS!$H$142:$J$203,2,FALSE),0)</f>
        <v>0</v>
      </c>
      <c r="AY79" s="175">
        <f>IFERROR(VLOOKUP(B79,OBJECTIFS!$F$208:$H$269,3,FALSE),0)</f>
        <v>0</v>
      </c>
      <c r="AZ79" s="66"/>
      <c r="BA79" s="86" t="str">
        <f t="shared" ca="1" si="35"/>
        <v/>
      </c>
      <c r="BB79" s="52"/>
      <c r="BC79" s="87">
        <f t="shared" ca="1" si="32"/>
        <v>0</v>
      </c>
      <c r="BD79" s="53" t="str">
        <f t="shared" ref="BD79" ca="1" si="37">IF(BE79="","","è")</f>
        <v/>
      </c>
      <c r="BE79" s="88" t="str">
        <f t="shared" ca="1" si="31"/>
        <v/>
      </c>
    </row>
    <row r="80" spans="1:57" x14ac:dyDescent="0.2">
      <c r="AR80" s="50" t="str">
        <f>IF(SUM(AR9:AR79)=SUM(OBJECTIFS!D76:E137),"OK","ALERTE")</f>
        <v>OK</v>
      </c>
      <c r="AT80" s="50" t="str">
        <f>IF(SUM(AT9:AT79)=SUM(OBJECTIFS!I76:J137),"OK","ALERTE")</f>
        <v>OK</v>
      </c>
      <c r="AW80" s="50" t="str">
        <f>IF(SUM(AW9:AW79)=SUM(OBJECTIFS!D142:E203),"OK","ALERTE")</f>
        <v>OK</v>
      </c>
      <c r="AX80" s="50" t="str">
        <f>IF(SUM(AX9:AX79)=SUM(OBJECTIFS!I142:J203),"OK","ALERTE")</f>
        <v>OK</v>
      </c>
      <c r="AY80" s="50" t="str">
        <f>IF(SUM(AY9:AY79)=SUM(OBJECTIFS!H208:H269),"OK","ALERTE")</f>
        <v>OK</v>
      </c>
    </row>
    <row r="81" spans="1:53" x14ac:dyDescent="0.2">
      <c r="J81" s="303" t="str">
        <f>J7</f>
        <v>DMT</v>
      </c>
      <c r="K81" s="304"/>
      <c r="L81" s="305"/>
      <c r="N81" s="303" t="str">
        <f>N7</f>
        <v>CVR</v>
      </c>
      <c r="O81" s="304"/>
      <c r="P81" s="305"/>
      <c r="R81" s="303" t="str">
        <f>R7</f>
        <v>Avg NBR</v>
      </c>
      <c r="S81" s="304"/>
      <c r="T81" s="305"/>
      <c r="V81" s="303" t="str">
        <f>V7</f>
        <v>Tx MEA</v>
      </c>
      <c r="W81" s="304"/>
      <c r="X81" s="305"/>
      <c r="Z81" s="303" t="str">
        <f>Z7</f>
        <v>Note qualité</v>
      </c>
      <c r="AA81" s="304"/>
      <c r="AB81" s="305"/>
      <c r="AR81" s="294" t="s">
        <v>73</v>
      </c>
      <c r="AS81" s="295"/>
      <c r="AT81" s="295"/>
      <c r="AU81" s="295"/>
      <c r="AV81" s="295"/>
      <c r="AW81" s="295"/>
      <c r="AX81" s="296"/>
      <c r="AY81" s="294" t="s">
        <v>154</v>
      </c>
      <c r="AZ81" s="296"/>
      <c r="BA81" s="89" t="str">
        <f ca="1">IFERROR(AVERAGE($BA$9:$BA$79),"")</f>
        <v/>
      </c>
    </row>
    <row r="82" spans="1:53" x14ac:dyDescent="0.2">
      <c r="A82" s="90" t="s">
        <v>136</v>
      </c>
      <c r="J82" s="91" t="s">
        <v>74</v>
      </c>
      <c r="K82" s="91" t="s">
        <v>68</v>
      </c>
      <c r="L82" s="91" t="s">
        <v>75</v>
      </c>
      <c r="N82" s="91" t="s">
        <v>74</v>
      </c>
      <c r="O82" s="91" t="s">
        <v>68</v>
      </c>
      <c r="P82" s="91" t="s">
        <v>75</v>
      </c>
      <c r="R82" s="91" t="s">
        <v>74</v>
      </c>
      <c r="S82" s="91" t="s">
        <v>68</v>
      </c>
      <c r="T82" s="91" t="s">
        <v>75</v>
      </c>
      <c r="V82" s="91" t="s">
        <v>74</v>
      </c>
      <c r="W82" s="91" t="s">
        <v>68</v>
      </c>
      <c r="X82" s="91" t="s">
        <v>75</v>
      </c>
      <c r="Z82" s="91" t="s">
        <v>74</v>
      </c>
      <c r="AA82" s="91" t="s">
        <v>68</v>
      </c>
      <c r="AB82" s="91" t="s">
        <v>75</v>
      </c>
      <c r="AR82" s="297"/>
      <c r="AS82" s="298"/>
      <c r="AT82" s="298"/>
      <c r="AU82" s="298"/>
      <c r="AV82" s="298"/>
      <c r="AW82" s="298"/>
      <c r="AX82" s="299"/>
      <c r="AY82" s="297" t="s">
        <v>63</v>
      </c>
      <c r="AZ82" s="299"/>
      <c r="BA82" s="89" t="str">
        <f>IFERROR(SUMIF($F$9:$F$79,AY82,$BA$9:$BA$79)/COUNTIF($F$9:$F$79,AY82),"")</f>
        <v/>
      </c>
    </row>
    <row r="83" spans="1:53" x14ac:dyDescent="0.2">
      <c r="J83" s="138" t="str">
        <f>IFERROR(AVERAGEIFS(J$9:J$79,$C$9:$C$79,$A$82),"")</f>
        <v/>
      </c>
      <c r="K83" s="141" t="str">
        <f>IFERROR(AVERAGEIFS(K$9:K$79,$C$9:$C$79,$A$82),"")</f>
        <v/>
      </c>
      <c r="L83" s="92" t="str">
        <f>IFERROR(J83/K83,"")</f>
        <v/>
      </c>
      <c r="N83" s="144" t="str">
        <f>IFERROR(AVERAGEIFS(N$9:N$79,$C$9:$C$79,$A$82),"")</f>
        <v/>
      </c>
      <c r="O83" s="145" t="str">
        <f>IFERROR(AVERAGEIFS(O$9:O$79,$C$9:$C$79,$A$82),"")</f>
        <v/>
      </c>
      <c r="P83" s="92" t="str">
        <f>IFERROR(N83/O83,"")</f>
        <v/>
      </c>
      <c r="R83" s="121" t="str">
        <f>IFERROR(AVERAGEIFS(R$9:R$79,$C$9:$C$79,$A$82),"")</f>
        <v/>
      </c>
      <c r="S83" s="73" t="str">
        <f>IFERROR(AVERAGEIFS(S$9:S$79,$C$9:$C$79,$A$82),"")</f>
        <v/>
      </c>
      <c r="T83" s="92" t="str">
        <f>IFERROR(R83/S83,"")</f>
        <v/>
      </c>
      <c r="V83" s="20" t="str">
        <f>IFERROR(AVERAGEIFS(V$9:V$79,$C$9:$C$79,$A$82),"")</f>
        <v/>
      </c>
      <c r="W83" s="72" t="str">
        <f>IFERROR(AVERAGEIFS(W$9:W$79,$C$9:$C$79,$A$82),"")</f>
        <v/>
      </c>
      <c r="X83" s="92" t="str">
        <f>IFERROR(V83/W83,"")</f>
        <v/>
      </c>
      <c r="Z83" s="124" t="str">
        <f>IFERROR(AVERAGEIFS(Z$9:Z$79,$C$9:$C$79,$A$82),"")</f>
        <v/>
      </c>
      <c r="AA83" s="72" t="str">
        <f>IFERROR(AVERAGEIFS(AA$9:AA$79,$C$9:$C$79,$A$82),"")</f>
        <v/>
      </c>
      <c r="AB83" s="92" t="str">
        <f>IFERROR(Z83/AA83,"")</f>
        <v/>
      </c>
      <c r="AR83" s="297"/>
      <c r="AS83" s="298"/>
      <c r="AT83" s="298"/>
      <c r="AU83" s="298"/>
      <c r="AV83" s="298"/>
      <c r="AW83" s="298"/>
      <c r="AX83" s="299"/>
      <c r="AY83" s="297" t="s">
        <v>27</v>
      </c>
      <c r="AZ83" s="299"/>
      <c r="BA83" s="89" t="str">
        <f>IFERROR(SUMIF($F$9:$F$79,AY83,$BA$9:$BA$79)/COUNTIF($F$9:$F$79,AY83),"")</f>
        <v/>
      </c>
    </row>
    <row r="84" spans="1:53" x14ac:dyDescent="0.2">
      <c r="AR84" s="300"/>
      <c r="AS84" s="301"/>
      <c r="AT84" s="301"/>
      <c r="AU84" s="301"/>
      <c r="AV84" s="301"/>
      <c r="AW84" s="301"/>
      <c r="AX84" s="302"/>
      <c r="AY84" s="300" t="s">
        <v>64</v>
      </c>
      <c r="AZ84" s="302"/>
      <c r="BA84" s="89" t="str">
        <f>IFERROR(SUMIF($F$9:$F$79,AY84,$BA$9:$BA$79)/COUNTIF($F$9:$F$79,AY84),"")</f>
        <v/>
      </c>
    </row>
    <row r="85" spans="1:53" ht="16.5" customHeight="1" x14ac:dyDescent="0.2">
      <c r="AR85" s="291" t="s">
        <v>76</v>
      </c>
      <c r="AS85" s="292"/>
      <c r="AT85" s="292"/>
      <c r="AU85" s="292"/>
      <c r="AV85" s="292"/>
      <c r="AW85" s="292"/>
      <c r="AX85" s="292"/>
      <c r="AY85" s="292"/>
      <c r="AZ85" s="293"/>
      <c r="BA85" s="93">
        <f ca="1">SUM(BA9:BA79)</f>
        <v>0</v>
      </c>
    </row>
    <row r="86" spans="1:53" ht="4.5" customHeight="1" x14ac:dyDescent="0.2">
      <c r="BA86" s="50" t="str">
        <f>IFERROR(SUMIF($E$9:$E$78,#REF!,$BA$9:$BA$79)/COUNTIF($E$9:$E$78,#REF!),"")</f>
        <v/>
      </c>
    </row>
  </sheetData>
  <sheetProtection formatCells="0" formatColumns="0" formatRows="0" autoFilter="0" pivotTables="0"/>
  <autoFilter ref="A8:BE13">
    <filterColumn colId="29" showButton="0"/>
  </autoFilter>
  <mergeCells count="143">
    <mergeCell ref="AY81:AZ81"/>
    <mergeCell ref="AY82:AZ82"/>
    <mergeCell ref="AY83:AZ83"/>
    <mergeCell ref="AY84:AZ84"/>
    <mergeCell ref="AD62:AE62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44:AE44"/>
    <mergeCell ref="AD45:AE45"/>
    <mergeCell ref="AD46:AE46"/>
    <mergeCell ref="AD47:AE47"/>
    <mergeCell ref="AD48:AE48"/>
    <mergeCell ref="AD49:AE49"/>
    <mergeCell ref="AD50:AE50"/>
    <mergeCell ref="AD60:AE60"/>
    <mergeCell ref="AD61:AE61"/>
    <mergeCell ref="R81:T81"/>
    <mergeCell ref="N81:P81"/>
    <mergeCell ref="V81:X81"/>
    <mergeCell ref="Z81:AB81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R85:AZ85"/>
    <mergeCell ref="AR81:AX84"/>
    <mergeCell ref="J81:L81"/>
    <mergeCell ref="B2:D2"/>
    <mergeCell ref="B3:D3"/>
    <mergeCell ref="AD76:AE76"/>
    <mergeCell ref="AD77:AE77"/>
    <mergeCell ref="AD78:AE78"/>
    <mergeCell ref="AD75:AE75"/>
    <mergeCell ref="AD15:AE15"/>
    <mergeCell ref="AD16:AE16"/>
    <mergeCell ref="AD17:AE17"/>
    <mergeCell ref="AL7:AL8"/>
    <mergeCell ref="AM7:AM8"/>
    <mergeCell ref="AN7:AN8"/>
    <mergeCell ref="AD9:AE9"/>
    <mergeCell ref="AD10:AE10"/>
    <mergeCell ref="AD11:AE11"/>
    <mergeCell ref="AA7:AA8"/>
    <mergeCell ref="AB7:AB8"/>
    <mergeCell ref="AD7:AE8"/>
    <mergeCell ref="AH7:AH8"/>
    <mergeCell ref="AJ7:AJ8"/>
    <mergeCell ref="AD79:AE79"/>
    <mergeCell ref="AI7:AI8"/>
    <mergeCell ref="AT3:AY3"/>
    <mergeCell ref="AT4:AY4"/>
    <mergeCell ref="AD70:AE70"/>
    <mergeCell ref="AD71:AE71"/>
    <mergeCell ref="AD72:AE72"/>
    <mergeCell ref="AD73:AE73"/>
    <mergeCell ref="AD74:AE74"/>
    <mergeCell ref="AD64:AE64"/>
    <mergeCell ref="AD65:AE65"/>
    <mergeCell ref="AD66:AE66"/>
    <mergeCell ref="AD67:AE67"/>
    <mergeCell ref="AD68:AE68"/>
    <mergeCell ref="AD69:AE69"/>
    <mergeCell ref="AD18:AE18"/>
    <mergeCell ref="AD19:AE19"/>
    <mergeCell ref="AD20:AE20"/>
    <mergeCell ref="AD21:AE21"/>
    <mergeCell ref="AD22:AE22"/>
    <mergeCell ref="AD63:AE63"/>
    <mergeCell ref="AD12:AE12"/>
    <mergeCell ref="AD13:AE13"/>
    <mergeCell ref="AD14:AE14"/>
    <mergeCell ref="AD23:AE23"/>
    <mergeCell ref="AH3:AL3"/>
    <mergeCell ref="AM3:AO3"/>
    <mergeCell ref="H6:H8"/>
    <mergeCell ref="AK7:AK8"/>
    <mergeCell ref="AT2:AY2"/>
    <mergeCell ref="BE6:BE8"/>
    <mergeCell ref="J7:J8"/>
    <mergeCell ref="K7:K8"/>
    <mergeCell ref="L7:L8"/>
    <mergeCell ref="N7:N8"/>
    <mergeCell ref="O7:O8"/>
    <mergeCell ref="P7:P8"/>
    <mergeCell ref="R7:R8"/>
    <mergeCell ref="S7:S8"/>
    <mergeCell ref="T7:T8"/>
    <mergeCell ref="BA6:BA8"/>
    <mergeCell ref="BC6:BC8"/>
    <mergeCell ref="AP6:AP8"/>
    <mergeCell ref="J6:U6"/>
    <mergeCell ref="V6:AC6"/>
    <mergeCell ref="AD6:AE6"/>
    <mergeCell ref="AF6:AF8"/>
    <mergeCell ref="AH6:AN6"/>
    <mergeCell ref="AO6:AO8"/>
    <mergeCell ref="AR7:AR8"/>
    <mergeCell ref="AT7:AT8"/>
    <mergeCell ref="AR6:AY6"/>
    <mergeCell ref="AW7:AW8"/>
    <mergeCell ref="AX7:AX8"/>
    <mergeCell ref="AY7:AY8"/>
    <mergeCell ref="AU7:AU8"/>
    <mergeCell ref="AR1:AY1"/>
    <mergeCell ref="A6:A8"/>
    <mergeCell ref="J1:T1"/>
    <mergeCell ref="AH1:AO1"/>
    <mergeCell ref="J2:N2"/>
    <mergeCell ref="O2:T2"/>
    <mergeCell ref="AH2:AL2"/>
    <mergeCell ref="AM2:AO2"/>
    <mergeCell ref="B6:B8"/>
    <mergeCell ref="C6:C8"/>
    <mergeCell ref="D6:D8"/>
    <mergeCell ref="E6:E8"/>
    <mergeCell ref="F6:F8"/>
    <mergeCell ref="V7:V8"/>
    <mergeCell ref="W7:W8"/>
    <mergeCell ref="X7:X8"/>
    <mergeCell ref="Z7:Z8"/>
  </mergeCells>
  <conditionalFormatting sqref="A84:AQ84 U81:U83 Y81:Y83 AC82:AQ83 AC81:AS81 A85:AU1048576 A80:AQ80 A81:Q83 A1:AU5 A9:AU79 A8:AQ8 AS8 A7:AU7 A6:AR6 AZ1:XFD80 AW1:AY5 AW85:XFD1048576 AW7:AY7 AW9:AY79 BA81:XFD84">
    <cfRule type="containsBlanks" dxfId="45" priority="43">
      <formula>LEN(TRIM(A1))=0</formula>
    </cfRule>
  </conditionalFormatting>
  <conditionalFormatting sqref="BC9:BC79">
    <cfRule type="dataBar" priority="40">
      <dataBar>
        <cfvo type="min"/>
        <cfvo type="max"/>
        <color rgb="FFD6007B"/>
      </dataBar>
    </cfRule>
  </conditionalFormatting>
  <conditionalFormatting sqref="BA9:BA79">
    <cfRule type="dataBar" priority="39">
      <dataBar>
        <cfvo type="min"/>
        <cfvo type="max"/>
        <color rgb="FF638EC6"/>
      </dataBar>
    </cfRule>
  </conditionalFormatting>
  <conditionalFormatting sqref="BE9:BE79">
    <cfRule type="notContainsBlanks" dxfId="44" priority="38" stopIfTrue="1">
      <formula>LEN(TRIM(BE9))&gt;0</formula>
    </cfRule>
  </conditionalFormatting>
  <conditionalFormatting sqref="AO9:AO79">
    <cfRule type="cellIs" dxfId="43" priority="37" operator="lessThan">
      <formula>0</formula>
    </cfRule>
  </conditionalFormatting>
  <conditionalFormatting sqref="AZ86">
    <cfRule type="containsBlanks" dxfId="42" priority="35">
      <formula>LEN(TRIM(AZ86))=0</formula>
    </cfRule>
  </conditionalFormatting>
  <conditionalFormatting sqref="A2">
    <cfRule type="containsBlanks" dxfId="41" priority="34">
      <formula>LEN(TRIM(A2))=0</formula>
    </cfRule>
  </conditionalFormatting>
  <conditionalFormatting sqref="A2">
    <cfRule type="containsText" dxfId="40" priority="33" operator="containsText" text="EG">
      <formula>NOT(ISERROR(SEARCH("EG",A2)))</formula>
    </cfRule>
  </conditionalFormatting>
  <conditionalFormatting sqref="A3">
    <cfRule type="containsBlanks" dxfId="39" priority="32">
      <formula>LEN(TRIM(A3))=0</formula>
    </cfRule>
  </conditionalFormatting>
  <conditionalFormatting sqref="A3">
    <cfRule type="containsText" dxfId="38" priority="31" operator="containsText" text="EG">
      <formula>NOT(ISERROR(SEARCH("EG",A3)))</formula>
    </cfRule>
  </conditionalFormatting>
  <conditionalFormatting sqref="B2">
    <cfRule type="containsBlanks" dxfId="37" priority="29" stopIfTrue="1">
      <formula>LEN(TRIM(B2))=0</formula>
    </cfRule>
  </conditionalFormatting>
  <conditionalFormatting sqref="B2">
    <cfRule type="containsBlanks" dxfId="36" priority="30">
      <formula>LEN(TRIM(B2))=0</formula>
    </cfRule>
  </conditionalFormatting>
  <conditionalFormatting sqref="B3">
    <cfRule type="containsBlanks" dxfId="35" priority="27" stopIfTrue="1">
      <formula>LEN(TRIM(B3))=0</formula>
    </cfRule>
  </conditionalFormatting>
  <conditionalFormatting sqref="B3">
    <cfRule type="containsBlanks" dxfId="34" priority="28">
      <formula>LEN(TRIM(B3))=0</formula>
    </cfRule>
  </conditionalFormatting>
  <conditionalFormatting sqref="R81:T82 T83">
    <cfRule type="containsBlanks" dxfId="33" priority="26">
      <formula>LEN(TRIM(R81))=0</formula>
    </cfRule>
  </conditionalFormatting>
  <conditionalFormatting sqref="V81:X82 X83">
    <cfRule type="containsBlanks" dxfId="32" priority="25">
      <formula>LEN(TRIM(V81))=0</formula>
    </cfRule>
  </conditionalFormatting>
  <conditionalFormatting sqref="Z81:AB82 AB83">
    <cfRule type="containsBlanks" dxfId="31" priority="24">
      <formula>LEN(TRIM(Z81))=0</formula>
    </cfRule>
  </conditionalFormatting>
  <conditionalFormatting sqref="AR80:AU80 AW80:AY80">
    <cfRule type="containsBlanks" dxfId="30" priority="10">
      <formula>LEN(TRIM(AR80))=0</formula>
    </cfRule>
  </conditionalFormatting>
  <conditionalFormatting sqref="AR80:AU80 AW80:AY80">
    <cfRule type="cellIs" dxfId="29" priority="8" operator="equal">
      <formula>"ALERTE"</formula>
    </cfRule>
    <cfRule type="cellIs" dxfId="28" priority="9" operator="equal">
      <formula>"OK"</formula>
    </cfRule>
  </conditionalFormatting>
  <conditionalFormatting sqref="R83:S83">
    <cfRule type="containsBlanks" dxfId="27" priority="7">
      <formula>LEN(TRIM(R83))=0</formula>
    </cfRule>
  </conditionalFormatting>
  <conditionalFormatting sqref="V83:W83">
    <cfRule type="containsBlanks" dxfId="26" priority="6">
      <formula>LEN(TRIM(V83))=0</formula>
    </cfRule>
  </conditionalFormatting>
  <conditionalFormatting sqref="Z83:AA83">
    <cfRule type="containsBlanks" dxfId="25" priority="5">
      <formula>LEN(TRIM(Z83))=0</formula>
    </cfRule>
  </conditionalFormatting>
  <conditionalFormatting sqref="AV81 AV85:AV1048576 AV1:AV5 AV7:AV79">
    <cfRule type="containsBlanks" dxfId="24" priority="4">
      <formula>LEN(TRIM(AV1))=0</formula>
    </cfRule>
  </conditionalFormatting>
  <conditionalFormatting sqref="AV80">
    <cfRule type="containsBlanks" dxfId="23" priority="3">
      <formula>LEN(TRIM(AV80))=0</formula>
    </cfRule>
  </conditionalFormatting>
  <conditionalFormatting sqref="AV80">
    <cfRule type="cellIs" dxfId="22" priority="1" operator="equal">
      <formula>"ALERTE"</formula>
    </cfRule>
    <cfRule type="cellIs" dxfId="21" priority="2" operator="equal">
      <formula>"OK"</formula>
    </cfRule>
  </conditionalFormatting>
  <dataValidations count="3">
    <dataValidation type="list" allowBlank="1" showInputMessage="1" showErrorMessage="1" sqref="A82">
      <formula1>$C$9:$C$79</formula1>
    </dataValidation>
    <dataValidation type="list" allowBlank="1" showInputMessage="1" showErrorMessage="1" sqref="E9:E79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D9:D79</xm:sqref>
        </x14:dataValidation>
        <x14:dataValidation type="list" allowBlank="1" showInputMessage="1" showErrorMessage="1">
          <x14:formula1>
            <xm:f>OBJECTIFS!$C$9:$C$11</xm:f>
          </x14:formula1>
          <xm:sqref>F9:F79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zoomScaleNormal="100" workbookViewId="0">
      <selection activeCell="F48" sqref="F48"/>
    </sheetView>
  </sheetViews>
  <sheetFormatPr baseColWidth="10" defaultColWidth="11.42578125" defaultRowHeight="15" outlineLevelRow="1" x14ac:dyDescent="0.3"/>
  <cols>
    <col min="1" max="1" width="0.7109375" style="94" customWidth="1"/>
    <col min="2" max="2" width="22.28515625" style="94" bestFit="1" customWidth="1"/>
    <col min="3" max="3" width="12.28515625" style="94" bestFit="1" customWidth="1"/>
    <col min="4" max="4" width="13.28515625" style="94" bestFit="1" customWidth="1"/>
    <col min="5" max="5" width="19.5703125" style="96" customWidth="1"/>
    <col min="6" max="10" width="19.5703125" style="94" customWidth="1"/>
    <col min="11" max="11" width="1.7109375" style="94" customWidth="1"/>
    <col min="12" max="13" width="11.42578125" style="94" customWidth="1"/>
    <col min="14" max="15" width="11.42578125" style="94"/>
    <col min="16" max="16" width="11.42578125" style="94" customWidth="1"/>
    <col min="17" max="16384" width="11.42578125" style="94"/>
  </cols>
  <sheetData>
    <row r="1" spans="1:17" x14ac:dyDescent="0.3">
      <c r="B1" s="95" t="s">
        <v>18</v>
      </c>
      <c r="C1" s="340"/>
      <c r="D1" s="340"/>
      <c r="F1" s="96"/>
      <c r="G1" s="96"/>
      <c r="H1" s="96"/>
    </row>
    <row r="2" spans="1:17" x14ac:dyDescent="0.3">
      <c r="B2" s="97" t="s">
        <v>19</v>
      </c>
      <c r="C2" s="42"/>
      <c r="D2" s="42"/>
      <c r="F2" s="96"/>
      <c r="G2" s="96"/>
      <c r="H2" s="96"/>
      <c r="I2" s="99"/>
    </row>
    <row r="3" spans="1:17" ht="4.5" customHeight="1" x14ac:dyDescent="0.3">
      <c r="C3" s="98"/>
      <c r="D3" s="98"/>
    </row>
    <row r="4" spans="1:17" x14ac:dyDescent="0.3">
      <c r="B4" s="98"/>
      <c r="C4" s="96"/>
      <c r="D4" s="100" t="s">
        <v>52</v>
      </c>
      <c r="E4" s="182">
        <v>45</v>
      </c>
      <c r="F4" s="182">
        <v>10</v>
      </c>
      <c r="G4" s="182">
        <v>10</v>
      </c>
      <c r="H4" s="182">
        <v>15</v>
      </c>
      <c r="I4" s="182">
        <v>20</v>
      </c>
      <c r="J4" s="182" t="s">
        <v>78</v>
      </c>
    </row>
    <row r="5" spans="1:17" ht="15.75" customHeight="1" x14ac:dyDescent="0.3">
      <c r="E5" s="166" t="str">
        <f>E8</f>
        <v>DMT</v>
      </c>
      <c r="F5" s="166" t="str">
        <f t="shared" ref="F5:I5" si="0">F8</f>
        <v>CVR</v>
      </c>
      <c r="G5" s="166" t="str">
        <f t="shared" si="0"/>
        <v>Avg NBR</v>
      </c>
      <c r="H5" s="166" t="str">
        <f t="shared" si="0"/>
        <v>Tx MEA</v>
      </c>
      <c r="I5" s="166" t="str">
        <f t="shared" si="0"/>
        <v>Note qualité</v>
      </c>
      <c r="J5" s="166" t="s">
        <v>77</v>
      </c>
    </row>
    <row r="6" spans="1:17" ht="15" customHeight="1" x14ac:dyDescent="0.3">
      <c r="A6" s="94" t="str">
        <f>B6</f>
        <v>CP GERMANO SA</v>
      </c>
      <c r="B6" s="341" t="str">
        <f>IF($C$45=0,"",$C$45)</f>
        <v>CP GERMANO SA</v>
      </c>
      <c r="C6" s="342" t="s">
        <v>25</v>
      </c>
      <c r="D6" s="343" t="s">
        <v>60</v>
      </c>
      <c r="E6" s="344" t="s">
        <v>61</v>
      </c>
      <c r="F6" s="344"/>
      <c r="G6" s="344"/>
      <c r="H6" s="344"/>
      <c r="I6" s="344"/>
      <c r="J6" s="344"/>
    </row>
    <row r="7" spans="1:17" x14ac:dyDescent="0.3">
      <c r="A7" s="94" t="str">
        <f>B6</f>
        <v>CP GERMANO SA</v>
      </c>
      <c r="B7" s="341"/>
      <c r="C7" s="342"/>
      <c r="D7" s="343"/>
      <c r="E7" s="344" t="s">
        <v>40</v>
      </c>
      <c r="F7" s="344"/>
      <c r="G7" s="344"/>
      <c r="H7" s="344" t="s">
        <v>41</v>
      </c>
      <c r="I7" s="344"/>
      <c r="J7" s="161" t="s">
        <v>62</v>
      </c>
    </row>
    <row r="8" spans="1:17" ht="15" customHeight="1" x14ac:dyDescent="0.3">
      <c r="A8" s="94" t="str">
        <f>B6</f>
        <v>CP GERMANO SA</v>
      </c>
      <c r="B8" s="341"/>
      <c r="C8" s="342"/>
      <c r="D8" s="343"/>
      <c r="E8" s="102" t="str">
        <f>IFERROR(VLOOKUP($B6,Matrice,3,FALSE),"")</f>
        <v>DMT</v>
      </c>
      <c r="F8" s="102" t="str">
        <f>IFERROR(VLOOKUP($B6,Matrice,4,FALSE),"")</f>
        <v>CVR</v>
      </c>
      <c r="G8" s="102" t="str">
        <f>IFERROR(VLOOKUP($B6,Matrice,5,FALSE),"")</f>
        <v>Avg NBR</v>
      </c>
      <c r="H8" s="102" t="str">
        <f>IFERROR(VLOOKUP($B6,Matrice,6,FALSE),"")</f>
        <v>Tx MEA</v>
      </c>
      <c r="I8" s="102" t="str">
        <f>IFERROR(VLOOKUP($B6,Matrice,7,FALSE),"")</f>
        <v>Note qualité</v>
      </c>
      <c r="J8" s="102" t="str">
        <f>IFERROR(VLOOKUP($B6,Matrice,8,FALSE),"")</f>
        <v>INTITULE KPI6</v>
      </c>
    </row>
    <row r="9" spans="1:17" x14ac:dyDescent="0.3">
      <c r="A9" s="94" t="str">
        <f>B6</f>
        <v>CP GERMANO SA</v>
      </c>
      <c r="B9" s="341"/>
      <c r="C9" s="162" t="s">
        <v>63</v>
      </c>
      <c r="D9" s="163">
        <v>1200</v>
      </c>
      <c r="E9" s="31">
        <v>350</v>
      </c>
      <c r="F9" s="29">
        <v>0.02</v>
      </c>
      <c r="G9" s="135">
        <v>750</v>
      </c>
      <c r="H9" s="29">
        <v>0.1</v>
      </c>
      <c r="I9" s="29">
        <v>0.8</v>
      </c>
      <c r="J9" s="136">
        <v>0</v>
      </c>
      <c r="K9" s="104"/>
      <c r="L9" s="105"/>
      <c r="M9" s="105"/>
      <c r="N9" s="105"/>
      <c r="O9" s="105"/>
      <c r="P9" s="105"/>
      <c r="Q9" s="105"/>
    </row>
    <row r="10" spans="1:17" x14ac:dyDescent="0.3">
      <c r="A10" s="94" t="str">
        <f>B6</f>
        <v>CP GERMANO SA</v>
      </c>
      <c r="B10" s="341"/>
      <c r="C10" s="162" t="s">
        <v>27</v>
      </c>
      <c r="D10" s="163">
        <v>1200</v>
      </c>
      <c r="E10" s="31">
        <v>300</v>
      </c>
      <c r="F10" s="29">
        <v>0.03</v>
      </c>
      <c r="G10" s="135">
        <v>900</v>
      </c>
      <c r="H10" s="29">
        <v>0.05</v>
      </c>
      <c r="I10" s="29">
        <v>0.85</v>
      </c>
      <c r="J10" s="136">
        <v>0</v>
      </c>
      <c r="K10" s="104"/>
      <c r="L10" s="105"/>
      <c r="M10" s="105"/>
      <c r="N10" s="105"/>
      <c r="O10" s="105"/>
      <c r="P10" s="105"/>
      <c r="Q10" s="105"/>
    </row>
    <row r="11" spans="1:17" x14ac:dyDescent="0.3">
      <c r="A11" s="94" t="str">
        <f>B6</f>
        <v>CP GERMANO SA</v>
      </c>
      <c r="B11" s="341"/>
      <c r="C11" s="162" t="s">
        <v>64</v>
      </c>
      <c r="D11" s="163">
        <v>1200</v>
      </c>
      <c r="E11" s="31">
        <v>240</v>
      </c>
      <c r="F11" s="29">
        <v>0.04</v>
      </c>
      <c r="G11" s="135">
        <v>100</v>
      </c>
      <c r="H11" s="29">
        <v>0.02</v>
      </c>
      <c r="I11" s="29">
        <v>0.9</v>
      </c>
      <c r="J11" s="136">
        <v>0</v>
      </c>
      <c r="K11" s="104"/>
      <c r="L11" s="105"/>
      <c r="M11" s="105"/>
      <c r="N11" s="105"/>
      <c r="O11" s="105"/>
      <c r="P11" s="105"/>
      <c r="Q11" s="105"/>
    </row>
    <row r="12" spans="1:17" ht="4.5" customHeight="1" x14ac:dyDescent="0.3"/>
    <row r="13" spans="1:17" ht="15" customHeight="1" outlineLevel="1" x14ac:dyDescent="0.3">
      <c r="A13" s="94" t="str">
        <f>B13</f>
        <v/>
      </c>
      <c r="B13" s="341" t="str">
        <f>IF($C$46=0,"",$C$46)</f>
        <v/>
      </c>
      <c r="C13" s="342" t="str">
        <f>C6</f>
        <v>Statut</v>
      </c>
      <c r="D13" s="343" t="str">
        <f>D6</f>
        <v>Prime (Montant Brut)</v>
      </c>
      <c r="E13" s="344" t="s">
        <v>61</v>
      </c>
      <c r="F13" s="344"/>
      <c r="G13" s="344"/>
      <c r="H13" s="344"/>
      <c r="I13" s="344"/>
      <c r="J13" s="344"/>
    </row>
    <row r="14" spans="1:17" outlineLevel="1" x14ac:dyDescent="0.3">
      <c r="A14" s="94" t="str">
        <f>B13</f>
        <v/>
      </c>
      <c r="B14" s="341"/>
      <c r="C14" s="342"/>
      <c r="D14" s="343"/>
      <c r="E14" s="344" t="s">
        <v>40</v>
      </c>
      <c r="F14" s="344"/>
      <c r="G14" s="344"/>
      <c r="H14" s="344" t="s">
        <v>41</v>
      </c>
      <c r="I14" s="344"/>
      <c r="J14" s="161" t="s">
        <v>62</v>
      </c>
    </row>
    <row r="15" spans="1:17" ht="15" customHeight="1" outlineLevel="1" x14ac:dyDescent="0.3">
      <c r="A15" s="94" t="str">
        <f>B13</f>
        <v/>
      </c>
      <c r="B15" s="341"/>
      <c r="C15" s="342"/>
      <c r="D15" s="343"/>
      <c r="E15" s="102" t="str">
        <f>IFERROR(VLOOKUP($B13,Matrice,3,FALSE),"")</f>
        <v/>
      </c>
      <c r="F15" s="102" t="str">
        <f>IFERROR(VLOOKUP($B13,Matrice,4,FALSE),"")</f>
        <v/>
      </c>
      <c r="G15" s="102" t="str">
        <f>IFERROR(VLOOKUP($B13,Matrice,5,FALSE),"")</f>
        <v/>
      </c>
      <c r="H15" s="102" t="str">
        <f>IFERROR(VLOOKUP($B13,Matrice,6,FALSE),"")</f>
        <v/>
      </c>
      <c r="I15" s="102" t="str">
        <f>IFERROR(VLOOKUP($B13,Matrice,7,FALSE),"")</f>
        <v/>
      </c>
      <c r="J15" s="102" t="str">
        <f>IFERROR(VLOOKUP($B13,Matrice,8,FALSE),"")</f>
        <v/>
      </c>
      <c r="L15" s="105"/>
      <c r="M15" s="105"/>
      <c r="N15" s="105"/>
      <c r="O15" s="105"/>
      <c r="P15" s="105"/>
      <c r="Q15" s="105"/>
    </row>
    <row r="16" spans="1:17" outlineLevel="1" x14ac:dyDescent="0.3">
      <c r="A16" s="94" t="str">
        <f>B13</f>
        <v/>
      </c>
      <c r="B16" s="341"/>
      <c r="C16" s="162" t="str">
        <f>C9</f>
        <v>Débutant</v>
      </c>
      <c r="D16" s="163">
        <v>1200</v>
      </c>
      <c r="E16" s="31"/>
      <c r="F16" s="29"/>
      <c r="G16" s="135"/>
      <c r="H16" s="29"/>
      <c r="I16" s="29"/>
      <c r="J16" s="136">
        <v>0</v>
      </c>
      <c r="L16" s="105"/>
      <c r="M16" s="105"/>
      <c r="N16" s="105"/>
      <c r="O16" s="105"/>
      <c r="P16" s="105"/>
      <c r="Q16" s="105"/>
    </row>
    <row r="17" spans="1:17" outlineLevel="1" x14ac:dyDescent="0.3">
      <c r="A17" s="94" t="str">
        <f>B13</f>
        <v/>
      </c>
      <c r="B17" s="341"/>
      <c r="C17" s="162" t="str">
        <f>C10</f>
        <v>Confirmé</v>
      </c>
      <c r="D17" s="163">
        <v>1200</v>
      </c>
      <c r="E17" s="31"/>
      <c r="F17" s="29"/>
      <c r="G17" s="135"/>
      <c r="H17" s="29"/>
      <c r="I17" s="29"/>
      <c r="J17" s="136">
        <v>0</v>
      </c>
      <c r="L17" s="105"/>
      <c r="M17" s="105"/>
      <c r="N17" s="105"/>
      <c r="O17" s="105"/>
      <c r="P17" s="105"/>
      <c r="Q17" s="105"/>
    </row>
    <row r="18" spans="1:17" outlineLevel="1" x14ac:dyDescent="0.3">
      <c r="A18" s="94" t="str">
        <f>B13</f>
        <v/>
      </c>
      <c r="B18" s="341"/>
      <c r="C18" s="162" t="str">
        <f>C11</f>
        <v>Sénior</v>
      </c>
      <c r="D18" s="163">
        <v>1200</v>
      </c>
      <c r="E18" s="31"/>
      <c r="F18" s="29"/>
      <c r="G18" s="135"/>
      <c r="H18" s="29"/>
      <c r="I18" s="29"/>
      <c r="J18" s="136">
        <v>0</v>
      </c>
      <c r="L18" s="105"/>
      <c r="M18" s="105"/>
      <c r="N18" s="105"/>
      <c r="O18" s="105"/>
      <c r="P18" s="105"/>
      <c r="Q18" s="105"/>
    </row>
    <row r="19" spans="1:17" ht="4.5" customHeight="1" x14ac:dyDescent="0.3"/>
    <row r="20" spans="1:17" ht="15" hidden="1" customHeight="1" outlineLevel="1" x14ac:dyDescent="0.3">
      <c r="A20" s="94" t="str">
        <f>B20</f>
        <v/>
      </c>
      <c r="B20" s="341" t="str">
        <f>IF($C$47=0,"",$C$47)</f>
        <v/>
      </c>
      <c r="C20" s="342" t="str">
        <f>C6</f>
        <v>Statut</v>
      </c>
      <c r="D20" s="343" t="str">
        <f>D6</f>
        <v>Prime (Montant Brut)</v>
      </c>
      <c r="E20" s="344" t="s">
        <v>61</v>
      </c>
      <c r="F20" s="344"/>
      <c r="G20" s="344"/>
      <c r="H20" s="344"/>
      <c r="I20" s="344"/>
      <c r="J20" s="344"/>
    </row>
    <row r="21" spans="1:17" hidden="1" outlineLevel="1" x14ac:dyDescent="0.3">
      <c r="A21" s="94" t="str">
        <f>B20</f>
        <v/>
      </c>
      <c r="B21" s="341"/>
      <c r="C21" s="342"/>
      <c r="D21" s="343"/>
      <c r="E21" s="344" t="s">
        <v>40</v>
      </c>
      <c r="F21" s="344"/>
      <c r="G21" s="344"/>
      <c r="H21" s="344" t="s">
        <v>41</v>
      </c>
      <c r="I21" s="344"/>
      <c r="J21" s="161" t="s">
        <v>62</v>
      </c>
    </row>
    <row r="22" spans="1:17" ht="15" hidden="1" customHeight="1" outlineLevel="1" x14ac:dyDescent="0.3">
      <c r="A22" s="94" t="str">
        <f>B20</f>
        <v/>
      </c>
      <c r="B22" s="341"/>
      <c r="C22" s="342"/>
      <c r="D22" s="343"/>
      <c r="E22" s="102" t="str">
        <f>IFERROR(VLOOKUP($B20,Matrice,3,FALSE),"")</f>
        <v/>
      </c>
      <c r="F22" s="102" t="str">
        <f>IFERROR(VLOOKUP($B20,Matrice,4,FALSE),"")</f>
        <v/>
      </c>
      <c r="G22" s="102" t="str">
        <f>IFERROR(VLOOKUP($B20,Matrice,5,FALSE),"")</f>
        <v/>
      </c>
      <c r="H22" s="102" t="str">
        <f>IFERROR(VLOOKUP($B20,Matrice,6,FALSE),"")</f>
        <v/>
      </c>
      <c r="I22" s="102" t="str">
        <f>IFERROR(VLOOKUP($B20,Matrice,7,FALSE),"")</f>
        <v/>
      </c>
      <c r="J22" s="102" t="str">
        <f>IFERROR(VLOOKUP($B20,Matrice,8,FALSE),"")</f>
        <v/>
      </c>
      <c r="L22" s="105"/>
      <c r="M22" s="105"/>
      <c r="N22" s="105"/>
      <c r="O22" s="105"/>
      <c r="P22" s="105"/>
      <c r="Q22" s="105"/>
    </row>
    <row r="23" spans="1:17" hidden="1" outlineLevel="1" x14ac:dyDescent="0.3">
      <c r="A23" s="94" t="str">
        <f>B20</f>
        <v/>
      </c>
      <c r="B23" s="341"/>
      <c r="C23" s="162" t="str">
        <f>C9</f>
        <v>Débutant</v>
      </c>
      <c r="D23" s="163">
        <v>1200</v>
      </c>
      <c r="E23" s="33"/>
      <c r="F23" s="30"/>
      <c r="G23" s="33"/>
      <c r="H23" s="29"/>
      <c r="I23" s="32"/>
      <c r="J23" s="103">
        <v>0</v>
      </c>
      <c r="L23" s="105"/>
      <c r="M23" s="105"/>
      <c r="N23" s="105"/>
      <c r="O23" s="105"/>
      <c r="P23" s="105"/>
      <c r="Q23" s="105"/>
    </row>
    <row r="24" spans="1:17" hidden="1" outlineLevel="1" x14ac:dyDescent="0.3">
      <c r="A24" s="94" t="str">
        <f>B20</f>
        <v/>
      </c>
      <c r="B24" s="341"/>
      <c r="C24" s="162" t="str">
        <f>C10</f>
        <v>Confirmé</v>
      </c>
      <c r="D24" s="163">
        <v>960</v>
      </c>
      <c r="E24" s="33"/>
      <c r="F24" s="30"/>
      <c r="G24" s="33"/>
      <c r="H24" s="29"/>
      <c r="I24" s="32"/>
      <c r="J24" s="103">
        <v>0</v>
      </c>
      <c r="L24" s="105"/>
      <c r="M24" s="105"/>
      <c r="N24" s="105"/>
      <c r="O24" s="105"/>
      <c r="P24" s="105"/>
      <c r="Q24" s="105"/>
    </row>
    <row r="25" spans="1:17" hidden="1" outlineLevel="1" x14ac:dyDescent="0.3">
      <c r="A25" s="94" t="str">
        <f>B20</f>
        <v/>
      </c>
      <c r="B25" s="341"/>
      <c r="C25" s="162" t="str">
        <f>C11</f>
        <v>Sénior</v>
      </c>
      <c r="D25" s="163">
        <v>960</v>
      </c>
      <c r="E25" s="33"/>
      <c r="F25" s="30"/>
      <c r="G25" s="33"/>
      <c r="H25" s="29"/>
      <c r="I25" s="32"/>
      <c r="J25" s="103">
        <v>0</v>
      </c>
      <c r="L25" s="105"/>
      <c r="M25" s="105"/>
      <c r="N25" s="105"/>
      <c r="O25" s="105"/>
      <c r="P25" s="105"/>
      <c r="Q25" s="105"/>
    </row>
    <row r="26" spans="1:17" ht="4.5" hidden="1" customHeight="1" x14ac:dyDescent="0.3"/>
    <row r="27" spans="1:17" ht="15" hidden="1" customHeight="1" outlineLevel="1" x14ac:dyDescent="0.3">
      <c r="A27" s="94" t="str">
        <f>B27</f>
        <v/>
      </c>
      <c r="B27" s="341" t="str">
        <f>IF($C$48=0,"",$C$48)</f>
        <v/>
      </c>
      <c r="C27" s="342" t="str">
        <f>C6</f>
        <v>Statut</v>
      </c>
      <c r="D27" s="343" t="str">
        <f>D6</f>
        <v>Prime (Montant Brut)</v>
      </c>
      <c r="E27" s="345" t="s">
        <v>61</v>
      </c>
      <c r="F27" s="345"/>
      <c r="G27" s="345"/>
      <c r="H27" s="345"/>
      <c r="I27" s="345"/>
      <c r="J27" s="345"/>
    </row>
    <row r="28" spans="1:17" hidden="1" outlineLevel="1" x14ac:dyDescent="0.3">
      <c r="A28" s="94" t="str">
        <f>B27</f>
        <v/>
      </c>
      <c r="B28" s="341"/>
      <c r="C28" s="342"/>
      <c r="D28" s="343"/>
      <c r="E28" s="345" t="s">
        <v>40</v>
      </c>
      <c r="F28" s="345"/>
      <c r="G28" s="345"/>
      <c r="H28" s="345" t="s">
        <v>41</v>
      </c>
      <c r="I28" s="345"/>
      <c r="J28" s="164" t="s">
        <v>62</v>
      </c>
    </row>
    <row r="29" spans="1:17" ht="15" hidden="1" customHeight="1" outlineLevel="1" x14ac:dyDescent="0.3">
      <c r="A29" s="94" t="str">
        <f>B27</f>
        <v/>
      </c>
      <c r="B29" s="341"/>
      <c r="C29" s="342"/>
      <c r="D29" s="343"/>
      <c r="E29" s="102" t="str">
        <f>IFERROR(VLOOKUP($B27,Matrice,3,FALSE),"")</f>
        <v/>
      </c>
      <c r="F29" s="102" t="str">
        <f>IFERROR(VLOOKUP($B27,Matrice,4,FALSE),"")</f>
        <v/>
      </c>
      <c r="G29" s="102" t="str">
        <f>IFERROR(VLOOKUP($B27,Matrice,5,FALSE),"")</f>
        <v/>
      </c>
      <c r="H29" s="102" t="str">
        <f>IFERROR(VLOOKUP($B27,Matrice,6,FALSE),"")</f>
        <v/>
      </c>
      <c r="I29" s="102" t="str">
        <f>IFERROR(VLOOKUP($B27,Matrice,7,FALSE),"")</f>
        <v/>
      </c>
      <c r="J29" s="102" t="str">
        <f>IFERROR(VLOOKUP($B27,Matrice,8,FALSE),"")</f>
        <v/>
      </c>
      <c r="L29" s="105"/>
      <c r="M29" s="105"/>
      <c r="N29" s="105"/>
      <c r="O29" s="105"/>
      <c r="P29" s="105"/>
      <c r="Q29" s="105"/>
    </row>
    <row r="30" spans="1:17" hidden="1" outlineLevel="1" x14ac:dyDescent="0.3">
      <c r="A30" s="94" t="str">
        <f>B27</f>
        <v/>
      </c>
      <c r="B30" s="341"/>
      <c r="C30" s="162" t="str">
        <f>C9</f>
        <v>Débutant</v>
      </c>
      <c r="D30" s="163">
        <v>960</v>
      </c>
      <c r="E30" s="33"/>
      <c r="F30" s="34"/>
      <c r="G30" s="33"/>
      <c r="H30" s="29"/>
      <c r="I30" s="32"/>
      <c r="J30" s="103">
        <v>0</v>
      </c>
      <c r="L30" s="105"/>
      <c r="M30" s="105"/>
      <c r="N30" s="105"/>
      <c r="O30" s="105"/>
      <c r="P30" s="105"/>
      <c r="Q30" s="105"/>
    </row>
    <row r="31" spans="1:17" hidden="1" outlineLevel="1" x14ac:dyDescent="0.3">
      <c r="A31" s="94" t="str">
        <f>B27</f>
        <v/>
      </c>
      <c r="B31" s="341"/>
      <c r="C31" s="162" t="str">
        <f>C10</f>
        <v>Confirmé</v>
      </c>
      <c r="D31" s="163">
        <v>960</v>
      </c>
      <c r="E31" s="33"/>
      <c r="F31" s="34"/>
      <c r="G31" s="33"/>
      <c r="H31" s="29"/>
      <c r="I31" s="32"/>
      <c r="J31" s="103">
        <v>0</v>
      </c>
      <c r="L31" s="105"/>
      <c r="M31" s="105"/>
      <c r="N31" s="105"/>
      <c r="O31" s="105"/>
      <c r="P31" s="105"/>
      <c r="Q31" s="105"/>
    </row>
    <row r="32" spans="1:17" hidden="1" outlineLevel="1" x14ac:dyDescent="0.3">
      <c r="A32" s="94" t="str">
        <f>B27</f>
        <v/>
      </c>
      <c r="B32" s="341"/>
      <c r="C32" s="162" t="str">
        <f>C11</f>
        <v>Sénior</v>
      </c>
      <c r="D32" s="163">
        <v>960</v>
      </c>
      <c r="E32" s="33"/>
      <c r="F32" s="34"/>
      <c r="G32" s="33"/>
      <c r="H32" s="29"/>
      <c r="I32" s="32"/>
      <c r="J32" s="103">
        <v>0</v>
      </c>
      <c r="L32" s="105"/>
      <c r="M32" s="105"/>
      <c r="N32" s="105"/>
      <c r="O32" s="105"/>
      <c r="P32" s="105"/>
      <c r="Q32" s="105"/>
    </row>
    <row r="33" spans="1:17" ht="4.5" hidden="1" customHeight="1" x14ac:dyDescent="0.3"/>
    <row r="34" spans="1:17" ht="15" hidden="1" customHeight="1" outlineLevel="1" x14ac:dyDescent="0.3">
      <c r="A34" s="94" t="str">
        <f>B34</f>
        <v/>
      </c>
      <c r="B34" s="341" t="str">
        <f>IF($C$48=0,"",$C$49)</f>
        <v/>
      </c>
      <c r="C34" s="342" t="str">
        <f>C13</f>
        <v>Statut</v>
      </c>
      <c r="D34" s="343" t="str">
        <f>D13</f>
        <v>Prime (Montant Brut)</v>
      </c>
      <c r="E34" s="345" t="s">
        <v>61</v>
      </c>
      <c r="F34" s="345"/>
      <c r="G34" s="345"/>
      <c r="H34" s="345"/>
      <c r="I34" s="345"/>
      <c r="J34" s="345"/>
    </row>
    <row r="35" spans="1:17" hidden="1" outlineLevel="1" x14ac:dyDescent="0.3">
      <c r="A35" s="94" t="str">
        <f>B34</f>
        <v/>
      </c>
      <c r="B35" s="341"/>
      <c r="C35" s="342"/>
      <c r="D35" s="343"/>
      <c r="E35" s="345" t="s">
        <v>40</v>
      </c>
      <c r="F35" s="345"/>
      <c r="G35" s="345"/>
      <c r="H35" s="345" t="s">
        <v>41</v>
      </c>
      <c r="I35" s="345"/>
      <c r="J35" s="164" t="s">
        <v>62</v>
      </c>
    </row>
    <row r="36" spans="1:17" ht="15" hidden="1" customHeight="1" outlineLevel="1" x14ac:dyDescent="0.3">
      <c r="A36" s="94" t="str">
        <f>B34</f>
        <v/>
      </c>
      <c r="B36" s="341"/>
      <c r="C36" s="342"/>
      <c r="D36" s="343"/>
      <c r="E36" s="102" t="str">
        <f>IFERROR(VLOOKUP($B34,Matrice,3,FALSE),"")</f>
        <v/>
      </c>
      <c r="F36" s="102" t="str">
        <f>IFERROR(VLOOKUP($B34,Matrice,4,FALSE),"")</f>
        <v/>
      </c>
      <c r="G36" s="102" t="str">
        <f>IFERROR(VLOOKUP($B34,Matrice,5,FALSE),"")</f>
        <v/>
      </c>
      <c r="H36" s="102" t="str">
        <f>IFERROR(VLOOKUP($B34,Matrice,6,FALSE),"")</f>
        <v/>
      </c>
      <c r="I36" s="102" t="str">
        <f>IFERROR(VLOOKUP($B34,Matrice,7,FALSE),"")</f>
        <v/>
      </c>
      <c r="J36" s="102" t="str">
        <f>IFERROR(VLOOKUP($B34,Matrice,8,FALSE),"")</f>
        <v/>
      </c>
      <c r="L36" s="105"/>
      <c r="M36" s="105"/>
      <c r="N36" s="105"/>
      <c r="O36" s="105"/>
      <c r="P36" s="105"/>
      <c r="Q36" s="105"/>
    </row>
    <row r="37" spans="1:17" hidden="1" outlineLevel="1" x14ac:dyDescent="0.3">
      <c r="A37" s="94" t="str">
        <f>B34</f>
        <v/>
      </c>
      <c r="B37" s="341"/>
      <c r="C37" s="162" t="str">
        <f>C16</f>
        <v>Débutant</v>
      </c>
      <c r="D37" s="163">
        <v>960</v>
      </c>
      <c r="E37" s="33"/>
      <c r="F37" s="34"/>
      <c r="G37" s="33"/>
      <c r="H37" s="29"/>
      <c r="I37" s="32"/>
      <c r="J37" s="103">
        <v>0</v>
      </c>
      <c r="L37" s="105"/>
      <c r="M37" s="105"/>
      <c r="N37" s="105"/>
      <c r="O37" s="105"/>
      <c r="P37" s="105"/>
      <c r="Q37" s="105"/>
    </row>
    <row r="38" spans="1:17" hidden="1" outlineLevel="1" x14ac:dyDescent="0.3">
      <c r="A38" s="94" t="str">
        <f>B34</f>
        <v/>
      </c>
      <c r="B38" s="341"/>
      <c r="C38" s="162" t="str">
        <f>C17</f>
        <v>Confirmé</v>
      </c>
      <c r="D38" s="163">
        <v>960</v>
      </c>
      <c r="E38" s="33"/>
      <c r="F38" s="34"/>
      <c r="G38" s="33"/>
      <c r="H38" s="29"/>
      <c r="I38" s="32"/>
      <c r="J38" s="103">
        <v>0</v>
      </c>
      <c r="L38" s="105"/>
      <c r="M38" s="105"/>
      <c r="N38" s="105"/>
      <c r="O38" s="105"/>
      <c r="P38" s="105"/>
      <c r="Q38" s="105"/>
    </row>
    <row r="39" spans="1:17" hidden="1" outlineLevel="1" x14ac:dyDescent="0.3">
      <c r="A39" s="94" t="str">
        <f>B34</f>
        <v/>
      </c>
      <c r="B39" s="341"/>
      <c r="C39" s="162" t="str">
        <f>C18</f>
        <v>Sénior</v>
      </c>
      <c r="D39" s="163">
        <v>1440</v>
      </c>
      <c r="E39" s="33"/>
      <c r="F39" s="34"/>
      <c r="G39" s="33"/>
      <c r="H39" s="29"/>
      <c r="I39" s="32"/>
      <c r="J39" s="103">
        <v>0</v>
      </c>
      <c r="L39" s="105"/>
      <c r="M39" s="105"/>
      <c r="N39" s="105"/>
      <c r="O39" s="105"/>
      <c r="P39" s="105"/>
      <c r="Q39" s="105"/>
    </row>
    <row r="40" spans="1:17" ht="4.5" customHeight="1" collapsed="1" x14ac:dyDescent="0.3"/>
    <row r="43" spans="1:17" x14ac:dyDescent="0.3">
      <c r="C43" s="346" t="s">
        <v>65</v>
      </c>
      <c r="D43" s="346"/>
      <c r="E43" s="346"/>
      <c r="F43" s="346"/>
      <c r="G43" s="346"/>
      <c r="H43" s="346"/>
      <c r="I43" s="346"/>
      <c r="J43" s="346"/>
    </row>
    <row r="44" spans="1:17" ht="4.5" customHeight="1" x14ac:dyDescent="0.3"/>
    <row r="45" spans="1:17" x14ac:dyDescent="0.3">
      <c r="C45" s="347" t="s">
        <v>148</v>
      </c>
      <c r="D45" s="348"/>
      <c r="E45" s="26" t="s">
        <v>137</v>
      </c>
      <c r="F45" s="26" t="s">
        <v>145</v>
      </c>
      <c r="G45" s="26" t="s">
        <v>146</v>
      </c>
      <c r="H45" s="26" t="s">
        <v>139</v>
      </c>
      <c r="I45" s="26" t="s">
        <v>147</v>
      </c>
      <c r="J45" s="26" t="s">
        <v>131</v>
      </c>
    </row>
    <row r="46" spans="1:17" x14ac:dyDescent="0.3">
      <c r="C46" s="347"/>
      <c r="D46" s="348"/>
      <c r="E46" s="26"/>
      <c r="F46" s="26"/>
      <c r="G46" s="26"/>
      <c r="H46" s="26"/>
      <c r="I46" s="26"/>
      <c r="J46" s="26"/>
    </row>
    <row r="47" spans="1:17" x14ac:dyDescent="0.3">
      <c r="C47" s="347"/>
      <c r="D47" s="348"/>
      <c r="E47" s="26"/>
      <c r="F47" s="26"/>
      <c r="G47" s="26"/>
      <c r="H47" s="26"/>
      <c r="I47" s="26"/>
      <c r="J47" s="26"/>
    </row>
    <row r="48" spans="1:17" x14ac:dyDescent="0.3">
      <c r="C48" s="347"/>
      <c r="D48" s="348"/>
      <c r="E48" s="26"/>
      <c r="F48" s="26"/>
      <c r="G48" s="26"/>
      <c r="H48" s="26"/>
      <c r="I48" s="26"/>
      <c r="J48" s="26"/>
    </row>
    <row r="49" spans="3:10" x14ac:dyDescent="0.3">
      <c r="C49" s="347"/>
      <c r="D49" s="348"/>
      <c r="E49" s="26"/>
      <c r="F49" s="26"/>
      <c r="G49" s="26"/>
      <c r="H49" s="26"/>
      <c r="I49" s="26"/>
      <c r="J49" s="26"/>
    </row>
    <row r="50" spans="3:10" ht="4.5" customHeight="1" x14ac:dyDescent="0.3"/>
    <row r="51" spans="3:10" x14ac:dyDescent="0.3">
      <c r="E51" s="107"/>
      <c r="F51" s="98"/>
    </row>
    <row r="52" spans="3:10" x14ac:dyDescent="0.3">
      <c r="E52" s="316" t="s">
        <v>66</v>
      </c>
      <c r="F52" s="316"/>
      <c r="G52" s="316"/>
      <c r="H52" s="316"/>
      <c r="I52" s="316"/>
      <c r="J52" s="316"/>
    </row>
    <row r="53" spans="3:10" ht="4.5" customHeight="1" x14ac:dyDescent="0.3">
      <c r="E53" s="94"/>
    </row>
    <row r="54" spans="3:10" x14ac:dyDescent="0.3">
      <c r="E54" s="167" t="s">
        <v>67</v>
      </c>
      <c r="G54" s="167" t="s">
        <v>68</v>
      </c>
      <c r="I54" s="167" t="s">
        <v>69</v>
      </c>
    </row>
    <row r="55" spans="3:10" ht="4.5" customHeight="1" x14ac:dyDescent="0.3">
      <c r="E55" s="94"/>
    </row>
    <row r="56" spans="3:10" x14ac:dyDescent="0.3">
      <c r="E56" s="165">
        <v>0.85</v>
      </c>
      <c r="G56" s="109">
        <v>0.9</v>
      </c>
      <c r="I56" s="165">
        <v>1</v>
      </c>
    </row>
    <row r="57" spans="3:10" ht="4.5" customHeight="1" x14ac:dyDescent="0.3">
      <c r="E57" s="94"/>
    </row>
    <row r="58" spans="3:10" x14ac:dyDescent="0.3">
      <c r="F58" s="167" t="s">
        <v>70</v>
      </c>
      <c r="H58" s="167" t="s">
        <v>71</v>
      </c>
      <c r="J58" s="167" t="s">
        <v>72</v>
      </c>
    </row>
    <row r="59" spans="3:10" ht="4.5" customHeight="1" x14ac:dyDescent="0.3"/>
    <row r="60" spans="3:10" x14ac:dyDescent="0.3">
      <c r="F60" s="110">
        <v>0.85</v>
      </c>
      <c r="H60" s="110">
        <v>0.9</v>
      </c>
      <c r="J60" s="110">
        <v>1</v>
      </c>
    </row>
    <row r="62" spans="3:10" ht="4.5" customHeight="1" x14ac:dyDescent="0.3">
      <c r="E62" s="98"/>
      <c r="F62" s="98"/>
      <c r="G62" s="98"/>
    </row>
    <row r="63" spans="3:10" s="111" customFormat="1" ht="29.25" customHeight="1" x14ac:dyDescent="0.2">
      <c r="E63" s="328" t="s">
        <v>79</v>
      </c>
      <c r="F63" s="328"/>
      <c r="G63" s="328"/>
      <c r="H63" s="328"/>
    </row>
    <row r="64" spans="3:10" ht="4.5" customHeight="1" x14ac:dyDescent="0.3"/>
    <row r="65" spans="2:10" ht="21" customHeight="1" x14ac:dyDescent="0.3">
      <c r="E65" s="327" t="s">
        <v>85</v>
      </c>
      <c r="F65" s="327"/>
      <c r="G65" s="327" t="s">
        <v>84</v>
      </c>
      <c r="H65" s="327"/>
    </row>
    <row r="66" spans="2:10" x14ac:dyDescent="0.3">
      <c r="E66" s="331" t="s">
        <v>80</v>
      </c>
      <c r="F66" s="332"/>
      <c r="G66" s="329" t="s">
        <v>87</v>
      </c>
      <c r="H66" s="330"/>
    </row>
    <row r="67" spans="2:10" x14ac:dyDescent="0.3">
      <c r="E67" s="333" t="s">
        <v>81</v>
      </c>
      <c r="F67" s="334"/>
      <c r="G67" s="329" t="s">
        <v>88</v>
      </c>
      <c r="H67" s="330"/>
    </row>
    <row r="68" spans="2:10" x14ac:dyDescent="0.3">
      <c r="E68" s="335" t="s">
        <v>82</v>
      </c>
      <c r="F68" s="336"/>
      <c r="G68" s="318"/>
      <c r="H68" s="319"/>
    </row>
    <row r="69" spans="2:10" x14ac:dyDescent="0.3">
      <c r="E69" s="337" t="s">
        <v>83</v>
      </c>
      <c r="F69" s="338"/>
      <c r="G69" s="318"/>
      <c r="H69" s="319"/>
    </row>
    <row r="71" spans="2:10" x14ac:dyDescent="0.3">
      <c r="E71" s="316" t="s">
        <v>129</v>
      </c>
      <c r="F71" s="316"/>
      <c r="G71" s="316"/>
      <c r="H71" s="316"/>
      <c r="I71" s="316"/>
      <c r="J71" s="316"/>
    </row>
    <row r="72" spans="2:10" ht="6.75" customHeight="1" x14ac:dyDescent="0.3"/>
    <row r="73" spans="2:10" x14ac:dyDescent="0.3">
      <c r="B73" s="320" t="str">
        <f>IF(G66="",E66,G66)</f>
        <v>MISSION</v>
      </c>
      <c r="C73" s="320"/>
      <c r="D73" s="320"/>
      <c r="E73" s="320"/>
      <c r="G73" s="325" t="str">
        <f>IF(G67="",E67,G67)</f>
        <v>PRIME DE LANGUE</v>
      </c>
      <c r="H73" s="325"/>
      <c r="I73" s="325"/>
      <c r="J73" s="325"/>
    </row>
    <row r="74" spans="2:10" ht="6.75" customHeight="1" x14ac:dyDescent="0.3">
      <c r="B74" s="96"/>
      <c r="E74" s="94"/>
      <c r="G74" s="96"/>
    </row>
    <row r="75" spans="2:10" x14ac:dyDescent="0.3">
      <c r="B75" s="108" t="s">
        <v>20</v>
      </c>
      <c r="C75" s="108" t="s">
        <v>21</v>
      </c>
      <c r="D75" s="108" t="s">
        <v>119</v>
      </c>
      <c r="E75" s="108"/>
      <c r="G75" s="108" t="s">
        <v>20</v>
      </c>
      <c r="H75" s="108" t="s">
        <v>21</v>
      </c>
      <c r="I75" s="326" t="s">
        <v>119</v>
      </c>
      <c r="J75" s="326"/>
    </row>
    <row r="76" spans="2:10" x14ac:dyDescent="0.3">
      <c r="B76" s="26"/>
      <c r="C76" s="26"/>
      <c r="D76" s="318"/>
      <c r="E76" s="319"/>
      <c r="G76" s="26"/>
      <c r="H76" s="26"/>
      <c r="I76" s="318"/>
      <c r="J76" s="319"/>
    </row>
    <row r="77" spans="2:10" x14ac:dyDescent="0.3">
      <c r="B77" s="26"/>
      <c r="C77" s="26"/>
      <c r="D77" s="318"/>
      <c r="E77" s="319"/>
      <c r="G77" s="26"/>
      <c r="H77" s="26"/>
      <c r="I77" s="318"/>
      <c r="J77" s="319"/>
    </row>
    <row r="78" spans="2:10" x14ac:dyDescent="0.3">
      <c r="B78" s="26"/>
      <c r="C78" s="26"/>
      <c r="D78" s="318"/>
      <c r="E78" s="319"/>
      <c r="G78" s="26"/>
      <c r="H78" s="26"/>
      <c r="I78" s="318"/>
      <c r="J78" s="319"/>
    </row>
    <row r="79" spans="2:10" x14ac:dyDescent="0.3">
      <c r="B79" s="26"/>
      <c r="C79" s="26"/>
      <c r="D79" s="318"/>
      <c r="E79" s="319"/>
      <c r="G79" s="26"/>
      <c r="H79" s="26"/>
      <c r="I79" s="318"/>
      <c r="J79" s="319"/>
    </row>
    <row r="80" spans="2:10" x14ac:dyDescent="0.3">
      <c r="B80" s="26"/>
      <c r="C80" s="26"/>
      <c r="D80" s="318"/>
      <c r="E80" s="319"/>
      <c r="G80" s="26"/>
      <c r="H80" s="26"/>
      <c r="I80" s="318"/>
      <c r="J80" s="319"/>
    </row>
    <row r="81" spans="2:10" x14ac:dyDescent="0.3">
      <c r="B81" s="26"/>
      <c r="C81" s="26"/>
      <c r="D81" s="318"/>
      <c r="E81" s="319"/>
      <c r="G81" s="26"/>
      <c r="H81" s="26"/>
      <c r="I81" s="318"/>
      <c r="J81" s="319"/>
    </row>
    <row r="82" spans="2:10" x14ac:dyDescent="0.3">
      <c r="B82" s="26"/>
      <c r="C82" s="26"/>
      <c r="D82" s="318"/>
      <c r="E82" s="319"/>
      <c r="G82" s="26"/>
      <c r="H82" s="26"/>
      <c r="I82" s="318"/>
      <c r="J82" s="319"/>
    </row>
    <row r="83" spans="2:10" x14ac:dyDescent="0.3">
      <c r="B83" s="26"/>
      <c r="C83" s="26"/>
      <c r="D83" s="318"/>
      <c r="E83" s="319"/>
      <c r="G83" s="26"/>
      <c r="H83" s="26"/>
      <c r="I83" s="318"/>
      <c r="J83" s="319"/>
    </row>
    <row r="84" spans="2:10" x14ac:dyDescent="0.3">
      <c r="B84" s="26"/>
      <c r="C84" s="26"/>
      <c r="D84" s="318"/>
      <c r="E84" s="319"/>
      <c r="G84" s="26"/>
      <c r="H84" s="26"/>
      <c r="I84" s="318"/>
      <c r="J84" s="319"/>
    </row>
    <row r="85" spans="2:10" x14ac:dyDescent="0.3">
      <c r="B85" s="26"/>
      <c r="C85" s="26"/>
      <c r="D85" s="318"/>
      <c r="E85" s="319"/>
      <c r="G85" s="26"/>
      <c r="H85" s="26"/>
      <c r="I85" s="318"/>
      <c r="J85" s="319"/>
    </row>
    <row r="86" spans="2:10" x14ac:dyDescent="0.3">
      <c r="B86" s="26"/>
      <c r="C86" s="26"/>
      <c r="D86" s="318"/>
      <c r="E86" s="319"/>
      <c r="G86" s="26"/>
      <c r="H86" s="26"/>
      <c r="I86" s="318"/>
      <c r="J86" s="319"/>
    </row>
    <row r="87" spans="2:10" x14ac:dyDescent="0.3">
      <c r="B87" s="26"/>
      <c r="C87" s="26"/>
      <c r="D87" s="318"/>
      <c r="E87" s="319"/>
      <c r="G87" s="26"/>
      <c r="H87" s="26"/>
      <c r="I87" s="318"/>
      <c r="J87" s="319"/>
    </row>
    <row r="88" spans="2:10" x14ac:dyDescent="0.3">
      <c r="B88" s="26"/>
      <c r="C88" s="26"/>
      <c r="D88" s="318"/>
      <c r="E88" s="319"/>
      <c r="G88" s="26"/>
      <c r="H88" s="26"/>
      <c r="I88" s="318"/>
      <c r="J88" s="319"/>
    </row>
    <row r="89" spans="2:10" x14ac:dyDescent="0.3">
      <c r="B89" s="26"/>
      <c r="C89" s="26"/>
      <c r="D89" s="318"/>
      <c r="E89" s="319"/>
      <c r="G89" s="26"/>
      <c r="H89" s="26"/>
      <c r="I89" s="318"/>
      <c r="J89" s="319"/>
    </row>
    <row r="90" spans="2:10" x14ac:dyDescent="0.3">
      <c r="B90" s="26"/>
      <c r="C90" s="26"/>
      <c r="D90" s="318"/>
      <c r="E90" s="319"/>
      <c r="G90" s="26"/>
      <c r="H90" s="26"/>
      <c r="I90" s="318"/>
      <c r="J90" s="319"/>
    </row>
    <row r="91" spans="2:10" x14ac:dyDescent="0.3">
      <c r="B91" s="26"/>
      <c r="C91" s="26"/>
      <c r="D91" s="318"/>
      <c r="E91" s="319"/>
      <c r="G91" s="26"/>
      <c r="H91" s="26"/>
      <c r="I91" s="318"/>
      <c r="J91" s="319"/>
    </row>
    <row r="92" spans="2:10" x14ac:dyDescent="0.3">
      <c r="B92" s="26"/>
      <c r="C92" s="26"/>
      <c r="D92" s="318"/>
      <c r="E92" s="319"/>
      <c r="G92" s="26"/>
      <c r="H92" s="26"/>
      <c r="I92" s="318"/>
      <c r="J92" s="319"/>
    </row>
    <row r="93" spans="2:10" x14ac:dyDescent="0.3">
      <c r="B93" s="26"/>
      <c r="C93" s="26"/>
      <c r="D93" s="318"/>
      <c r="E93" s="319"/>
      <c r="G93" s="26"/>
      <c r="H93" s="26"/>
      <c r="I93" s="318"/>
      <c r="J93" s="319"/>
    </row>
    <row r="94" spans="2:10" x14ac:dyDescent="0.3">
      <c r="B94" s="26"/>
      <c r="C94" s="26"/>
      <c r="D94" s="318"/>
      <c r="E94" s="319"/>
      <c r="G94" s="26"/>
      <c r="H94" s="26"/>
      <c r="I94" s="318"/>
      <c r="J94" s="319"/>
    </row>
    <row r="95" spans="2:10" x14ac:dyDescent="0.3">
      <c r="B95" s="26"/>
      <c r="C95" s="26"/>
      <c r="D95" s="318"/>
      <c r="E95" s="319"/>
      <c r="G95" s="26"/>
      <c r="H95" s="26"/>
      <c r="I95" s="318"/>
      <c r="J95" s="319"/>
    </row>
    <row r="96" spans="2:10" x14ac:dyDescent="0.3">
      <c r="B96" s="26"/>
      <c r="C96" s="26"/>
      <c r="D96" s="318"/>
      <c r="E96" s="319"/>
      <c r="G96" s="26"/>
      <c r="H96" s="26"/>
      <c r="I96" s="318"/>
      <c r="J96" s="319"/>
    </row>
    <row r="97" spans="2:10" x14ac:dyDescent="0.3">
      <c r="B97" s="26"/>
      <c r="C97" s="26"/>
      <c r="D97" s="318"/>
      <c r="E97" s="319"/>
      <c r="G97" s="26"/>
      <c r="H97" s="26"/>
      <c r="I97" s="318"/>
      <c r="J97" s="319"/>
    </row>
    <row r="98" spans="2:10" x14ac:dyDescent="0.3">
      <c r="B98" s="26"/>
      <c r="C98" s="26"/>
      <c r="D98" s="318"/>
      <c r="E98" s="319"/>
      <c r="G98" s="26"/>
      <c r="H98" s="26"/>
      <c r="I98" s="318"/>
      <c r="J98" s="319"/>
    </row>
    <row r="99" spans="2:10" x14ac:dyDescent="0.3">
      <c r="B99" s="26"/>
      <c r="C99" s="26"/>
      <c r="D99" s="318"/>
      <c r="E99" s="319"/>
      <c r="G99" s="26"/>
      <c r="H99" s="26"/>
      <c r="I99" s="318"/>
      <c r="J99" s="319"/>
    </row>
    <row r="100" spans="2:10" x14ac:dyDescent="0.3">
      <c r="B100" s="26"/>
      <c r="C100" s="26"/>
      <c r="D100" s="318"/>
      <c r="E100" s="319"/>
      <c r="G100" s="26"/>
      <c r="H100" s="26"/>
      <c r="I100" s="318"/>
      <c r="J100" s="319"/>
    </row>
    <row r="101" spans="2:10" x14ac:dyDescent="0.3">
      <c r="B101" s="26"/>
      <c r="C101" s="26"/>
      <c r="D101" s="318"/>
      <c r="E101" s="319"/>
      <c r="G101" s="26"/>
      <c r="H101" s="26"/>
      <c r="I101" s="318"/>
      <c r="J101" s="319"/>
    </row>
    <row r="102" spans="2:10" x14ac:dyDescent="0.3">
      <c r="B102" s="26"/>
      <c r="C102" s="26"/>
      <c r="D102" s="318"/>
      <c r="E102" s="319"/>
      <c r="G102" s="26"/>
      <c r="H102" s="26"/>
      <c r="I102" s="318"/>
      <c r="J102" s="319"/>
    </row>
    <row r="103" spans="2:10" x14ac:dyDescent="0.3">
      <c r="B103" s="26"/>
      <c r="C103" s="26"/>
      <c r="D103" s="318"/>
      <c r="E103" s="319"/>
      <c r="G103" s="26"/>
      <c r="H103" s="26"/>
      <c r="I103" s="318"/>
      <c r="J103" s="319"/>
    </row>
    <row r="104" spans="2:10" x14ac:dyDescent="0.3">
      <c r="B104" s="26"/>
      <c r="C104" s="26"/>
      <c r="D104" s="318"/>
      <c r="E104" s="319"/>
      <c r="G104" s="26"/>
      <c r="H104" s="26"/>
      <c r="I104" s="318"/>
      <c r="J104" s="319"/>
    </row>
    <row r="105" spans="2:10" hidden="1" x14ac:dyDescent="0.3">
      <c r="B105" s="26"/>
      <c r="C105" s="26"/>
      <c r="D105" s="318"/>
      <c r="E105" s="319"/>
      <c r="G105" s="26"/>
      <c r="H105" s="26"/>
      <c r="I105" s="318"/>
      <c r="J105" s="319"/>
    </row>
    <row r="106" spans="2:10" hidden="1" x14ac:dyDescent="0.3">
      <c r="B106" s="26"/>
      <c r="C106" s="26"/>
      <c r="D106" s="318"/>
      <c r="E106" s="319"/>
      <c r="G106" s="26"/>
      <c r="H106" s="26"/>
      <c r="I106" s="318"/>
      <c r="J106" s="319"/>
    </row>
    <row r="107" spans="2:10" hidden="1" x14ac:dyDescent="0.3">
      <c r="B107" s="26"/>
      <c r="C107" s="26"/>
      <c r="D107" s="318"/>
      <c r="E107" s="319"/>
      <c r="G107" s="26"/>
      <c r="H107" s="26"/>
      <c r="I107" s="318"/>
      <c r="J107" s="319"/>
    </row>
    <row r="108" spans="2:10" hidden="1" x14ac:dyDescent="0.3">
      <c r="B108" s="26"/>
      <c r="C108" s="26"/>
      <c r="D108" s="318"/>
      <c r="E108" s="319"/>
      <c r="G108" s="26"/>
      <c r="H108" s="26"/>
      <c r="I108" s="318"/>
      <c r="J108" s="319"/>
    </row>
    <row r="109" spans="2:10" hidden="1" x14ac:dyDescent="0.3">
      <c r="B109" s="26"/>
      <c r="C109" s="26"/>
      <c r="D109" s="318"/>
      <c r="E109" s="319"/>
      <c r="G109" s="26"/>
      <c r="H109" s="26"/>
      <c r="I109" s="318"/>
      <c r="J109" s="319"/>
    </row>
    <row r="110" spans="2:10" hidden="1" x14ac:dyDescent="0.3">
      <c r="B110" s="26"/>
      <c r="C110" s="26"/>
      <c r="D110" s="318"/>
      <c r="E110" s="319"/>
      <c r="G110" s="26"/>
      <c r="H110" s="26"/>
      <c r="I110" s="318"/>
      <c r="J110" s="319"/>
    </row>
    <row r="111" spans="2:10" hidden="1" x14ac:dyDescent="0.3">
      <c r="B111" s="26"/>
      <c r="C111" s="26"/>
      <c r="D111" s="318"/>
      <c r="E111" s="319"/>
      <c r="G111" s="26"/>
      <c r="H111" s="26"/>
      <c r="I111" s="318"/>
      <c r="J111" s="319"/>
    </row>
    <row r="112" spans="2:10" hidden="1" x14ac:dyDescent="0.3">
      <c r="B112" s="26"/>
      <c r="C112" s="26"/>
      <c r="D112" s="318"/>
      <c r="E112" s="319"/>
      <c r="G112" s="26"/>
      <c r="H112" s="26"/>
      <c r="I112" s="318"/>
      <c r="J112" s="319"/>
    </row>
    <row r="113" spans="2:10" hidden="1" x14ac:dyDescent="0.3">
      <c r="B113" s="26"/>
      <c r="C113" s="26"/>
      <c r="D113" s="318"/>
      <c r="E113" s="319"/>
      <c r="G113" s="26"/>
      <c r="H113" s="26"/>
      <c r="I113" s="318"/>
      <c r="J113" s="319"/>
    </row>
    <row r="114" spans="2:10" hidden="1" x14ac:dyDescent="0.3">
      <c r="B114" s="26"/>
      <c r="C114" s="26"/>
      <c r="D114" s="318"/>
      <c r="E114" s="319"/>
      <c r="G114" s="26"/>
      <c r="H114" s="26"/>
      <c r="I114" s="318"/>
      <c r="J114" s="319"/>
    </row>
    <row r="115" spans="2:10" hidden="1" x14ac:dyDescent="0.3">
      <c r="B115" s="26"/>
      <c r="C115" s="26"/>
      <c r="D115" s="318"/>
      <c r="E115" s="319"/>
      <c r="G115" s="26"/>
      <c r="H115" s="26"/>
      <c r="I115" s="318"/>
      <c r="J115" s="319"/>
    </row>
    <row r="116" spans="2:10" hidden="1" x14ac:dyDescent="0.3">
      <c r="B116" s="26"/>
      <c r="C116" s="26"/>
      <c r="D116" s="318"/>
      <c r="E116" s="319"/>
      <c r="G116" s="26"/>
      <c r="H116" s="26"/>
      <c r="I116" s="318"/>
      <c r="J116" s="319"/>
    </row>
    <row r="117" spans="2:10" hidden="1" x14ac:dyDescent="0.3">
      <c r="B117" s="26"/>
      <c r="C117" s="26"/>
      <c r="D117" s="318"/>
      <c r="E117" s="319"/>
      <c r="G117" s="26"/>
      <c r="H117" s="26"/>
      <c r="I117" s="318"/>
      <c r="J117" s="319"/>
    </row>
    <row r="118" spans="2:10" hidden="1" x14ac:dyDescent="0.3">
      <c r="B118" s="26"/>
      <c r="C118" s="26"/>
      <c r="D118" s="318"/>
      <c r="E118" s="319"/>
      <c r="G118" s="26"/>
      <c r="H118" s="26"/>
      <c r="I118" s="318"/>
      <c r="J118" s="319"/>
    </row>
    <row r="119" spans="2:10" hidden="1" x14ac:dyDescent="0.3">
      <c r="B119" s="26"/>
      <c r="C119" s="26"/>
      <c r="D119" s="318"/>
      <c r="E119" s="319"/>
      <c r="G119" s="26"/>
      <c r="H119" s="26"/>
      <c r="I119" s="318"/>
      <c r="J119" s="319"/>
    </row>
    <row r="120" spans="2:10" hidden="1" x14ac:dyDescent="0.3">
      <c r="B120" s="26"/>
      <c r="C120" s="26"/>
      <c r="D120" s="318"/>
      <c r="E120" s="319"/>
      <c r="G120" s="26"/>
      <c r="H120" s="26"/>
      <c r="I120" s="318"/>
      <c r="J120" s="319"/>
    </row>
    <row r="121" spans="2:10" hidden="1" x14ac:dyDescent="0.3">
      <c r="B121" s="26"/>
      <c r="C121" s="26"/>
      <c r="D121" s="318"/>
      <c r="E121" s="319"/>
      <c r="G121" s="26"/>
      <c r="H121" s="26"/>
      <c r="I121" s="318"/>
      <c r="J121" s="319"/>
    </row>
    <row r="122" spans="2:10" hidden="1" x14ac:dyDescent="0.3">
      <c r="B122" s="26"/>
      <c r="C122" s="26"/>
      <c r="D122" s="318"/>
      <c r="E122" s="319"/>
      <c r="G122" s="26"/>
      <c r="H122" s="26"/>
      <c r="I122" s="318"/>
      <c r="J122" s="319"/>
    </row>
    <row r="123" spans="2:10" hidden="1" x14ac:dyDescent="0.3">
      <c r="B123" s="26"/>
      <c r="C123" s="26"/>
      <c r="D123" s="318"/>
      <c r="E123" s="319"/>
      <c r="G123" s="26"/>
      <c r="H123" s="26"/>
      <c r="I123" s="318"/>
      <c r="J123" s="319"/>
    </row>
    <row r="124" spans="2:10" hidden="1" x14ac:dyDescent="0.3">
      <c r="B124" s="26"/>
      <c r="C124" s="26"/>
      <c r="D124" s="318"/>
      <c r="E124" s="319"/>
      <c r="G124" s="26"/>
      <c r="H124" s="26"/>
      <c r="I124" s="318"/>
      <c r="J124" s="319"/>
    </row>
    <row r="125" spans="2:10" hidden="1" x14ac:dyDescent="0.3">
      <c r="B125" s="26"/>
      <c r="C125" s="26"/>
      <c r="D125" s="318"/>
      <c r="E125" s="319"/>
      <c r="G125" s="26"/>
      <c r="H125" s="26"/>
      <c r="I125" s="318"/>
      <c r="J125" s="319"/>
    </row>
    <row r="126" spans="2:10" hidden="1" x14ac:dyDescent="0.3">
      <c r="B126" s="26"/>
      <c r="C126" s="26"/>
      <c r="D126" s="318"/>
      <c r="E126" s="319"/>
      <c r="G126" s="26"/>
      <c r="H126" s="26"/>
      <c r="I126" s="318"/>
      <c r="J126" s="319"/>
    </row>
    <row r="127" spans="2:10" hidden="1" x14ac:dyDescent="0.3">
      <c r="B127" s="26"/>
      <c r="C127" s="26"/>
      <c r="D127" s="318"/>
      <c r="E127" s="319"/>
      <c r="G127" s="26"/>
      <c r="H127" s="26"/>
      <c r="I127" s="318"/>
      <c r="J127" s="319"/>
    </row>
    <row r="128" spans="2:10" hidden="1" x14ac:dyDescent="0.3">
      <c r="B128" s="26"/>
      <c r="C128" s="26"/>
      <c r="D128" s="318"/>
      <c r="E128" s="319"/>
      <c r="G128" s="26"/>
      <c r="H128" s="26"/>
      <c r="I128" s="318"/>
      <c r="J128" s="319"/>
    </row>
    <row r="129" spans="2:10" hidden="1" x14ac:dyDescent="0.3">
      <c r="B129" s="26"/>
      <c r="C129" s="26"/>
      <c r="D129" s="318"/>
      <c r="E129" s="319"/>
      <c r="G129" s="26"/>
      <c r="H129" s="26"/>
      <c r="I129" s="318"/>
      <c r="J129" s="319"/>
    </row>
    <row r="130" spans="2:10" hidden="1" x14ac:dyDescent="0.3">
      <c r="B130" s="26"/>
      <c r="C130" s="26"/>
      <c r="D130" s="318"/>
      <c r="E130" s="319"/>
      <c r="G130" s="26"/>
      <c r="H130" s="26"/>
      <c r="I130" s="318"/>
      <c r="J130" s="319"/>
    </row>
    <row r="131" spans="2:10" hidden="1" x14ac:dyDescent="0.3">
      <c r="B131" s="26"/>
      <c r="C131" s="26"/>
      <c r="D131" s="318"/>
      <c r="E131" s="319"/>
      <c r="G131" s="26"/>
      <c r="H131" s="26"/>
      <c r="I131" s="318"/>
      <c r="J131" s="319"/>
    </row>
    <row r="132" spans="2:10" hidden="1" x14ac:dyDescent="0.3">
      <c r="B132" s="26"/>
      <c r="C132" s="26"/>
      <c r="D132" s="318"/>
      <c r="E132" s="319"/>
      <c r="G132" s="26"/>
      <c r="H132" s="26"/>
      <c r="I132" s="318"/>
      <c r="J132" s="319"/>
    </row>
    <row r="133" spans="2:10" hidden="1" x14ac:dyDescent="0.3">
      <c r="B133" s="26"/>
      <c r="C133" s="26"/>
      <c r="D133" s="318"/>
      <c r="E133" s="319"/>
      <c r="G133" s="26"/>
      <c r="H133" s="26"/>
      <c r="I133" s="318"/>
      <c r="J133" s="319"/>
    </row>
    <row r="134" spans="2:10" hidden="1" x14ac:dyDescent="0.3">
      <c r="B134" s="26"/>
      <c r="C134" s="26"/>
      <c r="D134" s="318"/>
      <c r="E134" s="319"/>
      <c r="G134" s="26"/>
      <c r="H134" s="26"/>
      <c r="I134" s="318"/>
      <c r="J134" s="319"/>
    </row>
    <row r="135" spans="2:10" hidden="1" x14ac:dyDescent="0.3">
      <c r="B135" s="26"/>
      <c r="C135" s="26"/>
      <c r="D135" s="318"/>
      <c r="E135" s="319"/>
      <c r="G135" s="26"/>
      <c r="H135" s="26"/>
      <c r="I135" s="318"/>
      <c r="J135" s="319"/>
    </row>
    <row r="136" spans="2:10" hidden="1" x14ac:dyDescent="0.3">
      <c r="B136" s="26"/>
      <c r="C136" s="26"/>
      <c r="D136" s="318"/>
      <c r="E136" s="319"/>
      <c r="G136" s="26"/>
      <c r="H136" s="26"/>
      <c r="I136" s="318"/>
      <c r="J136" s="319"/>
    </row>
    <row r="137" spans="2:10" hidden="1" x14ac:dyDescent="0.3">
      <c r="B137" s="26"/>
      <c r="C137" s="26"/>
      <c r="D137" s="318"/>
      <c r="E137" s="319"/>
      <c r="G137" s="26"/>
      <c r="H137" s="26"/>
      <c r="I137" s="318"/>
      <c r="J137" s="319"/>
    </row>
    <row r="139" spans="2:10" x14ac:dyDescent="0.3">
      <c r="B139" s="321" t="str">
        <f>IF(G68="",E68,G68)</f>
        <v>PRIME 3</v>
      </c>
      <c r="C139" s="321"/>
      <c r="D139" s="321"/>
      <c r="E139" s="321"/>
      <c r="G139" s="339" t="str">
        <f>IF(G69="",E69,G69)</f>
        <v>PRIME 4</v>
      </c>
      <c r="H139" s="339"/>
      <c r="I139" s="339"/>
      <c r="J139" s="339"/>
    </row>
    <row r="140" spans="2:10" ht="6.75" customHeight="1" x14ac:dyDescent="0.3">
      <c r="B140" s="96"/>
      <c r="E140" s="94"/>
      <c r="G140" s="96"/>
    </row>
    <row r="141" spans="2:10" x14ac:dyDescent="0.3">
      <c r="B141" s="108" t="s">
        <v>20</v>
      </c>
      <c r="C141" s="108" t="s">
        <v>21</v>
      </c>
      <c r="D141" s="108" t="s">
        <v>119</v>
      </c>
      <c r="E141" s="108"/>
      <c r="G141" s="108" t="s">
        <v>20</v>
      </c>
      <c r="H141" s="108" t="s">
        <v>21</v>
      </c>
      <c r="I141" s="326" t="s">
        <v>119</v>
      </c>
      <c r="J141" s="326"/>
    </row>
    <row r="142" spans="2:10" x14ac:dyDescent="0.3">
      <c r="B142" s="26"/>
      <c r="C142" s="26"/>
      <c r="D142" s="318"/>
      <c r="E142" s="319"/>
      <c r="G142" s="26"/>
      <c r="H142" s="26"/>
      <c r="I142" s="318"/>
      <c r="J142" s="319"/>
    </row>
    <row r="143" spans="2:10" x14ac:dyDescent="0.3">
      <c r="B143" s="26"/>
      <c r="C143" s="26"/>
      <c r="D143" s="318"/>
      <c r="E143" s="319"/>
      <c r="G143" s="26"/>
      <c r="H143" s="26"/>
      <c r="I143" s="318"/>
      <c r="J143" s="319"/>
    </row>
    <row r="144" spans="2:10" x14ac:dyDescent="0.3">
      <c r="B144" s="26"/>
      <c r="C144" s="26"/>
      <c r="D144" s="318"/>
      <c r="E144" s="319"/>
      <c r="G144" s="26"/>
      <c r="H144" s="26"/>
      <c r="I144" s="318"/>
      <c r="J144" s="319"/>
    </row>
    <row r="145" spans="2:10" x14ac:dyDescent="0.3">
      <c r="B145" s="26"/>
      <c r="C145" s="26"/>
      <c r="D145" s="318"/>
      <c r="E145" s="319"/>
      <c r="G145" s="26"/>
      <c r="H145" s="26"/>
      <c r="I145" s="318"/>
      <c r="J145" s="319"/>
    </row>
    <row r="146" spans="2:10" x14ac:dyDescent="0.3">
      <c r="B146" s="26"/>
      <c r="C146" s="26"/>
      <c r="D146" s="318"/>
      <c r="E146" s="319"/>
      <c r="G146" s="26"/>
      <c r="H146" s="26"/>
      <c r="I146" s="318"/>
      <c r="J146" s="319"/>
    </row>
    <row r="147" spans="2:10" x14ac:dyDescent="0.3">
      <c r="B147" s="26"/>
      <c r="C147" s="26"/>
      <c r="D147" s="318"/>
      <c r="E147" s="319"/>
      <c r="G147" s="26"/>
      <c r="H147" s="26"/>
      <c r="I147" s="318"/>
      <c r="J147" s="319"/>
    </row>
    <row r="148" spans="2:10" x14ac:dyDescent="0.3">
      <c r="B148" s="26"/>
      <c r="C148" s="26"/>
      <c r="D148" s="318"/>
      <c r="E148" s="319"/>
      <c r="G148" s="26"/>
      <c r="H148" s="26"/>
      <c r="I148" s="318"/>
      <c r="J148" s="319"/>
    </row>
    <row r="149" spans="2:10" x14ac:dyDescent="0.3">
      <c r="B149" s="26"/>
      <c r="C149" s="26"/>
      <c r="D149" s="318"/>
      <c r="E149" s="319"/>
      <c r="G149" s="26"/>
      <c r="H149" s="26"/>
      <c r="I149" s="318"/>
      <c r="J149" s="319"/>
    </row>
    <row r="150" spans="2:10" x14ac:dyDescent="0.3">
      <c r="B150" s="26"/>
      <c r="C150" s="26"/>
      <c r="D150" s="318"/>
      <c r="E150" s="319"/>
      <c r="G150" s="26"/>
      <c r="H150" s="26"/>
      <c r="I150" s="318"/>
      <c r="J150" s="319"/>
    </row>
    <row r="151" spans="2:10" x14ac:dyDescent="0.3">
      <c r="B151" s="26"/>
      <c r="C151" s="26"/>
      <c r="D151" s="318"/>
      <c r="E151" s="319"/>
      <c r="G151" s="26"/>
      <c r="H151" s="26"/>
      <c r="I151" s="318"/>
      <c r="J151" s="319"/>
    </row>
    <row r="152" spans="2:10" x14ac:dyDescent="0.3">
      <c r="B152" s="26"/>
      <c r="C152" s="26"/>
      <c r="D152" s="318"/>
      <c r="E152" s="319"/>
      <c r="G152" s="26"/>
      <c r="H152" s="26"/>
      <c r="I152" s="318"/>
      <c r="J152" s="319"/>
    </row>
    <row r="153" spans="2:10" x14ac:dyDescent="0.3">
      <c r="B153" s="26"/>
      <c r="C153" s="26"/>
      <c r="D153" s="318"/>
      <c r="E153" s="319"/>
      <c r="G153" s="26"/>
      <c r="H153" s="26"/>
      <c r="I153" s="318"/>
      <c r="J153" s="319"/>
    </row>
    <row r="154" spans="2:10" x14ac:dyDescent="0.3">
      <c r="B154" s="26"/>
      <c r="C154" s="26"/>
      <c r="D154" s="318"/>
      <c r="E154" s="319"/>
      <c r="G154" s="26"/>
      <c r="H154" s="26"/>
      <c r="I154" s="318"/>
      <c r="J154" s="319"/>
    </row>
    <row r="155" spans="2:10" x14ac:dyDescent="0.3">
      <c r="B155" s="26"/>
      <c r="C155" s="26"/>
      <c r="D155" s="318"/>
      <c r="E155" s="319"/>
      <c r="G155" s="26"/>
      <c r="H155" s="26"/>
      <c r="I155" s="318"/>
      <c r="J155" s="319"/>
    </row>
    <row r="156" spans="2:10" x14ac:dyDescent="0.3">
      <c r="B156" s="26"/>
      <c r="C156" s="26"/>
      <c r="D156" s="318"/>
      <c r="E156" s="319"/>
      <c r="G156" s="26"/>
      <c r="H156" s="26"/>
      <c r="I156" s="318"/>
      <c r="J156" s="319"/>
    </row>
    <row r="157" spans="2:10" x14ac:dyDescent="0.3">
      <c r="B157" s="26"/>
      <c r="C157" s="26"/>
      <c r="D157" s="318"/>
      <c r="E157" s="319"/>
      <c r="G157" s="26"/>
      <c r="H157" s="26"/>
      <c r="I157" s="318"/>
      <c r="J157" s="319"/>
    </row>
    <row r="158" spans="2:10" x14ac:dyDescent="0.3">
      <c r="B158" s="26"/>
      <c r="C158" s="26"/>
      <c r="D158" s="318"/>
      <c r="E158" s="319"/>
      <c r="G158" s="26"/>
      <c r="H158" s="26"/>
      <c r="I158" s="318"/>
      <c r="J158" s="319"/>
    </row>
    <row r="159" spans="2:10" x14ac:dyDescent="0.3">
      <c r="B159" s="26"/>
      <c r="C159" s="26"/>
      <c r="D159" s="318"/>
      <c r="E159" s="319"/>
      <c r="G159" s="26"/>
      <c r="H159" s="26"/>
      <c r="I159" s="318"/>
      <c r="J159" s="319"/>
    </row>
    <row r="160" spans="2:10" x14ac:dyDescent="0.3">
      <c r="B160" s="26"/>
      <c r="C160" s="26"/>
      <c r="D160" s="318"/>
      <c r="E160" s="319"/>
      <c r="G160" s="26"/>
      <c r="H160" s="26"/>
      <c r="I160" s="318"/>
      <c r="J160" s="319"/>
    </row>
    <row r="161" spans="2:10" x14ac:dyDescent="0.3">
      <c r="B161" s="26"/>
      <c r="C161" s="26"/>
      <c r="D161" s="318"/>
      <c r="E161" s="319"/>
      <c r="G161" s="26"/>
      <c r="H161" s="26"/>
      <c r="I161" s="318"/>
      <c r="J161" s="319"/>
    </row>
    <row r="162" spans="2:10" x14ac:dyDescent="0.3">
      <c r="B162" s="26"/>
      <c r="C162" s="26"/>
      <c r="D162" s="318"/>
      <c r="E162" s="319"/>
      <c r="G162" s="26"/>
      <c r="H162" s="26"/>
      <c r="I162" s="318"/>
      <c r="J162" s="319"/>
    </row>
    <row r="163" spans="2:10" x14ac:dyDescent="0.3">
      <c r="B163" s="26"/>
      <c r="C163" s="26"/>
      <c r="D163" s="318"/>
      <c r="E163" s="319"/>
      <c r="G163" s="26"/>
      <c r="H163" s="26"/>
      <c r="I163" s="318"/>
      <c r="J163" s="319"/>
    </row>
    <row r="164" spans="2:10" x14ac:dyDescent="0.3">
      <c r="B164" s="26"/>
      <c r="C164" s="26"/>
      <c r="D164" s="318"/>
      <c r="E164" s="319"/>
      <c r="G164" s="26"/>
      <c r="H164" s="26"/>
      <c r="I164" s="318"/>
      <c r="J164" s="319"/>
    </row>
    <row r="165" spans="2:10" x14ac:dyDescent="0.3">
      <c r="B165" s="26"/>
      <c r="C165" s="26"/>
      <c r="D165" s="318"/>
      <c r="E165" s="319"/>
      <c r="G165" s="26"/>
      <c r="H165" s="26"/>
      <c r="I165" s="318"/>
      <c r="J165" s="319"/>
    </row>
    <row r="166" spans="2:10" x14ac:dyDescent="0.3">
      <c r="B166" s="26"/>
      <c r="C166" s="26"/>
      <c r="D166" s="318"/>
      <c r="E166" s="319"/>
      <c r="G166" s="26"/>
      <c r="H166" s="26"/>
      <c r="I166" s="318"/>
      <c r="J166" s="319"/>
    </row>
    <row r="167" spans="2:10" x14ac:dyDescent="0.3">
      <c r="B167" s="26"/>
      <c r="C167" s="26"/>
      <c r="D167" s="318"/>
      <c r="E167" s="319"/>
      <c r="G167" s="26"/>
      <c r="H167" s="26"/>
      <c r="I167" s="318"/>
      <c r="J167" s="319"/>
    </row>
    <row r="168" spans="2:10" x14ac:dyDescent="0.3">
      <c r="B168" s="26"/>
      <c r="C168" s="26"/>
      <c r="D168" s="318"/>
      <c r="E168" s="319"/>
      <c r="G168" s="26"/>
      <c r="H168" s="26"/>
      <c r="I168" s="318"/>
      <c r="J168" s="319"/>
    </row>
    <row r="169" spans="2:10" x14ac:dyDescent="0.3">
      <c r="B169" s="26"/>
      <c r="C169" s="26"/>
      <c r="D169" s="318"/>
      <c r="E169" s="319"/>
      <c r="G169" s="26"/>
      <c r="H169" s="26"/>
      <c r="I169" s="318"/>
      <c r="J169" s="319"/>
    </row>
    <row r="170" spans="2:10" x14ac:dyDescent="0.3">
      <c r="B170" s="26"/>
      <c r="C170" s="26"/>
      <c r="D170" s="318"/>
      <c r="E170" s="319"/>
      <c r="G170" s="26"/>
      <c r="H170" s="26"/>
      <c r="I170" s="318"/>
      <c r="J170" s="319"/>
    </row>
    <row r="171" spans="2:10" x14ac:dyDescent="0.3">
      <c r="B171" s="26"/>
      <c r="C171" s="26"/>
      <c r="D171" s="318"/>
      <c r="E171" s="319"/>
      <c r="G171" s="26"/>
      <c r="H171" s="26"/>
      <c r="I171" s="318"/>
      <c r="J171" s="319"/>
    </row>
    <row r="172" spans="2:10" x14ac:dyDescent="0.3">
      <c r="B172" s="26"/>
      <c r="C172" s="26"/>
      <c r="D172" s="318"/>
      <c r="E172" s="319"/>
      <c r="G172" s="26"/>
      <c r="H172" s="26"/>
      <c r="I172" s="318"/>
      <c r="J172" s="319"/>
    </row>
    <row r="173" spans="2:10" hidden="1" x14ac:dyDescent="0.3">
      <c r="B173" s="26"/>
      <c r="C173" s="26"/>
      <c r="D173" s="318"/>
      <c r="E173" s="319"/>
      <c r="G173" s="26"/>
      <c r="H173" s="26"/>
      <c r="I173" s="318"/>
      <c r="J173" s="319"/>
    </row>
    <row r="174" spans="2:10" hidden="1" x14ac:dyDescent="0.3">
      <c r="B174" s="26"/>
      <c r="C174" s="26"/>
      <c r="D174" s="318"/>
      <c r="E174" s="319"/>
      <c r="G174" s="26"/>
      <c r="H174" s="26"/>
      <c r="I174" s="318"/>
      <c r="J174" s="319"/>
    </row>
    <row r="175" spans="2:10" hidden="1" x14ac:dyDescent="0.3">
      <c r="B175" s="26"/>
      <c r="C175" s="26"/>
      <c r="D175" s="318"/>
      <c r="E175" s="319"/>
      <c r="G175" s="26"/>
      <c r="H175" s="26"/>
      <c r="I175" s="318"/>
      <c r="J175" s="319"/>
    </row>
    <row r="176" spans="2:10" hidden="1" x14ac:dyDescent="0.3">
      <c r="B176" s="26"/>
      <c r="C176" s="26"/>
      <c r="D176" s="318"/>
      <c r="E176" s="319"/>
      <c r="G176" s="26"/>
      <c r="H176" s="26"/>
      <c r="I176" s="318"/>
      <c r="J176" s="319"/>
    </row>
    <row r="177" spans="2:10" hidden="1" x14ac:dyDescent="0.3">
      <c r="B177" s="26"/>
      <c r="C177" s="26"/>
      <c r="D177" s="318"/>
      <c r="E177" s="319"/>
      <c r="G177" s="26"/>
      <c r="H177" s="26"/>
      <c r="I177" s="318"/>
      <c r="J177" s="319"/>
    </row>
    <row r="178" spans="2:10" hidden="1" x14ac:dyDescent="0.3">
      <c r="B178" s="26"/>
      <c r="C178" s="26"/>
      <c r="D178" s="318"/>
      <c r="E178" s="319"/>
      <c r="G178" s="26"/>
      <c r="H178" s="26"/>
      <c r="I178" s="318"/>
      <c r="J178" s="319"/>
    </row>
    <row r="179" spans="2:10" hidden="1" x14ac:dyDescent="0.3">
      <c r="B179" s="26"/>
      <c r="C179" s="26"/>
      <c r="D179" s="318"/>
      <c r="E179" s="319"/>
      <c r="G179" s="26"/>
      <c r="H179" s="26"/>
      <c r="I179" s="318"/>
      <c r="J179" s="319"/>
    </row>
    <row r="180" spans="2:10" hidden="1" x14ac:dyDescent="0.3">
      <c r="B180" s="26"/>
      <c r="C180" s="26"/>
      <c r="D180" s="318"/>
      <c r="E180" s="319"/>
      <c r="G180" s="26"/>
      <c r="H180" s="26"/>
      <c r="I180" s="318"/>
      <c r="J180" s="319"/>
    </row>
    <row r="181" spans="2:10" hidden="1" x14ac:dyDescent="0.3">
      <c r="B181" s="26"/>
      <c r="C181" s="26"/>
      <c r="D181" s="318"/>
      <c r="E181" s="319"/>
      <c r="G181" s="26"/>
      <c r="H181" s="26"/>
      <c r="I181" s="318"/>
      <c r="J181" s="319"/>
    </row>
    <row r="182" spans="2:10" hidden="1" x14ac:dyDescent="0.3">
      <c r="B182" s="26"/>
      <c r="C182" s="26"/>
      <c r="D182" s="318"/>
      <c r="E182" s="319"/>
      <c r="G182" s="26"/>
      <c r="H182" s="26"/>
      <c r="I182" s="318"/>
      <c r="J182" s="319"/>
    </row>
    <row r="183" spans="2:10" hidden="1" x14ac:dyDescent="0.3">
      <c r="B183" s="26"/>
      <c r="C183" s="26"/>
      <c r="D183" s="318"/>
      <c r="E183" s="319"/>
      <c r="G183" s="26"/>
      <c r="H183" s="26"/>
      <c r="I183" s="318"/>
      <c r="J183" s="319"/>
    </row>
    <row r="184" spans="2:10" hidden="1" x14ac:dyDescent="0.3">
      <c r="B184" s="26"/>
      <c r="C184" s="26"/>
      <c r="D184" s="318"/>
      <c r="E184" s="319"/>
      <c r="G184" s="26"/>
      <c r="H184" s="26"/>
      <c r="I184" s="318"/>
      <c r="J184" s="319"/>
    </row>
    <row r="185" spans="2:10" hidden="1" x14ac:dyDescent="0.3">
      <c r="B185" s="26"/>
      <c r="C185" s="26"/>
      <c r="D185" s="318"/>
      <c r="E185" s="319"/>
      <c r="G185" s="26"/>
      <c r="H185" s="26"/>
      <c r="I185" s="318"/>
      <c r="J185" s="319"/>
    </row>
    <row r="186" spans="2:10" hidden="1" x14ac:dyDescent="0.3">
      <c r="B186" s="26"/>
      <c r="C186" s="26"/>
      <c r="D186" s="318"/>
      <c r="E186" s="319"/>
      <c r="G186" s="26"/>
      <c r="H186" s="26"/>
      <c r="I186" s="318"/>
      <c r="J186" s="319"/>
    </row>
    <row r="187" spans="2:10" hidden="1" x14ac:dyDescent="0.3">
      <c r="B187" s="26"/>
      <c r="C187" s="26"/>
      <c r="D187" s="318"/>
      <c r="E187" s="319"/>
      <c r="G187" s="26"/>
      <c r="H187" s="26"/>
      <c r="I187" s="318"/>
      <c r="J187" s="319"/>
    </row>
    <row r="188" spans="2:10" hidden="1" x14ac:dyDescent="0.3">
      <c r="B188" s="26"/>
      <c r="C188" s="26"/>
      <c r="D188" s="318"/>
      <c r="E188" s="319"/>
      <c r="G188" s="26"/>
      <c r="H188" s="26"/>
      <c r="I188" s="318"/>
      <c r="J188" s="319"/>
    </row>
    <row r="189" spans="2:10" hidden="1" x14ac:dyDescent="0.3">
      <c r="B189" s="26"/>
      <c r="C189" s="26"/>
      <c r="D189" s="318"/>
      <c r="E189" s="319"/>
      <c r="G189" s="26"/>
      <c r="H189" s="26"/>
      <c r="I189" s="318"/>
      <c r="J189" s="319"/>
    </row>
    <row r="190" spans="2:10" hidden="1" x14ac:dyDescent="0.3">
      <c r="B190" s="26"/>
      <c r="C190" s="26"/>
      <c r="D190" s="318"/>
      <c r="E190" s="319"/>
      <c r="G190" s="26"/>
      <c r="H190" s="26"/>
      <c r="I190" s="318"/>
      <c r="J190" s="319"/>
    </row>
    <row r="191" spans="2:10" hidden="1" x14ac:dyDescent="0.3">
      <c r="B191" s="26"/>
      <c r="C191" s="26"/>
      <c r="D191" s="318"/>
      <c r="E191" s="319"/>
      <c r="G191" s="26"/>
      <c r="H191" s="26"/>
      <c r="I191" s="130"/>
      <c r="J191" s="131"/>
    </row>
    <row r="192" spans="2:10" hidden="1" x14ac:dyDescent="0.3">
      <c r="B192" s="26"/>
      <c r="C192" s="26"/>
      <c r="D192" s="318"/>
      <c r="E192" s="319"/>
      <c r="G192" s="26"/>
      <c r="H192" s="26"/>
      <c r="I192" s="130"/>
      <c r="J192" s="131"/>
    </row>
    <row r="193" spans="2:10" hidden="1" x14ac:dyDescent="0.3">
      <c r="B193" s="26"/>
      <c r="C193" s="26"/>
      <c r="D193" s="318"/>
      <c r="E193" s="319"/>
      <c r="G193" s="26"/>
      <c r="H193" s="26"/>
      <c r="I193" s="318"/>
      <c r="J193" s="319"/>
    </row>
    <row r="194" spans="2:10" hidden="1" x14ac:dyDescent="0.3">
      <c r="B194" s="26"/>
      <c r="C194" s="26"/>
      <c r="D194" s="318"/>
      <c r="E194" s="319"/>
      <c r="G194" s="26"/>
      <c r="H194" s="26"/>
      <c r="I194" s="318"/>
      <c r="J194" s="319"/>
    </row>
    <row r="195" spans="2:10" hidden="1" x14ac:dyDescent="0.3">
      <c r="B195" s="26"/>
      <c r="C195" s="26"/>
      <c r="D195" s="318"/>
      <c r="E195" s="319"/>
      <c r="G195" s="26"/>
      <c r="H195" s="26"/>
      <c r="I195" s="318"/>
      <c r="J195" s="319"/>
    </row>
    <row r="196" spans="2:10" hidden="1" x14ac:dyDescent="0.3">
      <c r="B196" s="26"/>
      <c r="C196" s="26"/>
      <c r="D196" s="318"/>
      <c r="E196" s="319"/>
      <c r="G196" s="26"/>
      <c r="H196" s="26"/>
      <c r="I196" s="318"/>
      <c r="J196" s="319"/>
    </row>
    <row r="197" spans="2:10" hidden="1" x14ac:dyDescent="0.3">
      <c r="B197" s="26"/>
      <c r="C197" s="26"/>
      <c r="D197" s="318"/>
      <c r="E197" s="319"/>
      <c r="G197" s="26"/>
      <c r="H197" s="26"/>
      <c r="I197" s="318"/>
      <c r="J197" s="319"/>
    </row>
    <row r="198" spans="2:10" hidden="1" x14ac:dyDescent="0.3">
      <c r="B198" s="26"/>
      <c r="C198" s="26"/>
      <c r="D198" s="318"/>
      <c r="E198" s="319"/>
      <c r="G198" s="26"/>
      <c r="H198" s="26"/>
      <c r="I198" s="318"/>
      <c r="J198" s="319"/>
    </row>
    <row r="199" spans="2:10" hidden="1" x14ac:dyDescent="0.3">
      <c r="B199" s="26"/>
      <c r="C199" s="26"/>
      <c r="D199" s="318"/>
      <c r="E199" s="319"/>
      <c r="G199" s="26"/>
      <c r="H199" s="26"/>
      <c r="I199" s="318"/>
      <c r="J199" s="319"/>
    </row>
    <row r="200" spans="2:10" hidden="1" x14ac:dyDescent="0.3">
      <c r="B200" s="26"/>
      <c r="C200" s="26"/>
      <c r="D200" s="318"/>
      <c r="E200" s="319"/>
      <c r="G200" s="26"/>
      <c r="H200" s="26"/>
      <c r="I200" s="318"/>
      <c r="J200" s="319"/>
    </row>
    <row r="201" spans="2:10" hidden="1" x14ac:dyDescent="0.3">
      <c r="B201" s="26"/>
      <c r="C201" s="26"/>
      <c r="D201" s="318"/>
      <c r="E201" s="319"/>
      <c r="G201" s="26"/>
      <c r="H201" s="26"/>
      <c r="I201" s="318"/>
      <c r="J201" s="319"/>
    </row>
    <row r="202" spans="2:10" hidden="1" x14ac:dyDescent="0.3">
      <c r="B202" s="26"/>
      <c r="C202" s="26"/>
      <c r="D202" s="318"/>
      <c r="E202" s="319"/>
      <c r="G202" s="26"/>
      <c r="H202" s="26"/>
      <c r="I202" s="318"/>
      <c r="J202" s="319"/>
    </row>
    <row r="203" spans="2:10" hidden="1" x14ac:dyDescent="0.3">
      <c r="B203" s="26"/>
      <c r="C203" s="26"/>
      <c r="D203" s="318"/>
      <c r="E203" s="319"/>
      <c r="G203" s="26"/>
      <c r="H203" s="26"/>
      <c r="I203" s="318"/>
      <c r="J203" s="319"/>
    </row>
    <row r="205" spans="2:10" x14ac:dyDescent="0.3">
      <c r="D205" s="317" t="s">
        <v>120</v>
      </c>
      <c r="E205" s="317"/>
      <c r="F205" s="317"/>
      <c r="G205" s="317"/>
      <c r="H205" s="317"/>
    </row>
    <row r="206" spans="2:10" ht="6" customHeight="1" x14ac:dyDescent="0.3">
      <c r="D206" s="96"/>
      <c r="E206" s="94"/>
    </row>
    <row r="207" spans="2:10" x14ac:dyDescent="0.3">
      <c r="D207" s="96"/>
      <c r="E207" s="101" t="s">
        <v>20</v>
      </c>
      <c r="F207" s="101" t="s">
        <v>21</v>
      </c>
      <c r="G207" s="101" t="s">
        <v>130</v>
      </c>
      <c r="H207" s="101" t="s">
        <v>119</v>
      </c>
    </row>
    <row r="208" spans="2:10" x14ac:dyDescent="0.3">
      <c r="D208" s="96"/>
      <c r="E208" s="26"/>
      <c r="F208" s="26"/>
      <c r="G208" s="26"/>
      <c r="H208" s="106">
        <f>IFERROR(VLOOKUP(G208,$C$276:$G$328,4,TRUE),0)</f>
        <v>0</v>
      </c>
    </row>
    <row r="209" spans="4:8" x14ac:dyDescent="0.3">
      <c r="D209" s="96"/>
      <c r="E209" s="26"/>
      <c r="F209" s="26"/>
      <c r="G209" s="26"/>
      <c r="H209" s="106">
        <f t="shared" ref="H209:H269" si="1">IFERROR(VLOOKUP(G209,$C$276:$G$328,4,TRUE),0)</f>
        <v>0</v>
      </c>
    </row>
    <row r="210" spans="4:8" x14ac:dyDescent="0.3">
      <c r="D210" s="96"/>
      <c r="E210" s="26"/>
      <c r="F210" s="26"/>
      <c r="G210" s="26"/>
      <c r="H210" s="106">
        <f t="shared" si="1"/>
        <v>0</v>
      </c>
    </row>
    <row r="211" spans="4:8" x14ac:dyDescent="0.3">
      <c r="D211" s="96"/>
      <c r="E211" s="26"/>
      <c r="F211" s="26"/>
      <c r="G211" s="26"/>
      <c r="H211" s="106">
        <f t="shared" si="1"/>
        <v>0</v>
      </c>
    </row>
    <row r="212" spans="4:8" x14ac:dyDescent="0.3">
      <c r="D212" s="96"/>
      <c r="E212" s="26"/>
      <c r="F212" s="26"/>
      <c r="G212" s="26"/>
      <c r="H212" s="106">
        <f t="shared" si="1"/>
        <v>0</v>
      </c>
    </row>
    <row r="213" spans="4:8" x14ac:dyDescent="0.3">
      <c r="D213" s="96"/>
      <c r="E213" s="26"/>
      <c r="F213" s="26"/>
      <c r="G213" s="26"/>
      <c r="H213" s="106">
        <f t="shared" si="1"/>
        <v>0</v>
      </c>
    </row>
    <row r="214" spans="4:8" x14ac:dyDescent="0.3">
      <c r="D214" s="96"/>
      <c r="E214" s="26"/>
      <c r="F214" s="26"/>
      <c r="G214" s="26"/>
      <c r="H214" s="106">
        <f t="shared" si="1"/>
        <v>0</v>
      </c>
    </row>
    <row r="215" spans="4:8" x14ac:dyDescent="0.3">
      <c r="D215" s="96"/>
      <c r="E215" s="26"/>
      <c r="F215" s="26"/>
      <c r="G215" s="26"/>
      <c r="H215" s="106">
        <f t="shared" si="1"/>
        <v>0</v>
      </c>
    </row>
    <row r="216" spans="4:8" x14ac:dyDescent="0.3">
      <c r="D216" s="96"/>
      <c r="E216" s="26"/>
      <c r="F216" s="26"/>
      <c r="G216" s="26"/>
      <c r="H216" s="106">
        <f t="shared" si="1"/>
        <v>0</v>
      </c>
    </row>
    <row r="217" spans="4:8" x14ac:dyDescent="0.3">
      <c r="D217" s="96"/>
      <c r="E217" s="26"/>
      <c r="F217" s="26"/>
      <c r="G217" s="26"/>
      <c r="H217" s="106">
        <f t="shared" si="1"/>
        <v>0</v>
      </c>
    </row>
    <row r="218" spans="4:8" x14ac:dyDescent="0.3">
      <c r="D218" s="96"/>
      <c r="E218" s="26"/>
      <c r="F218" s="26"/>
      <c r="G218" s="26"/>
      <c r="H218" s="106">
        <f t="shared" si="1"/>
        <v>0</v>
      </c>
    </row>
    <row r="219" spans="4:8" x14ac:dyDescent="0.3">
      <c r="D219" s="96"/>
      <c r="E219" s="26"/>
      <c r="F219" s="26"/>
      <c r="G219" s="26"/>
      <c r="H219" s="106">
        <f t="shared" si="1"/>
        <v>0</v>
      </c>
    </row>
    <row r="220" spans="4:8" x14ac:dyDescent="0.3">
      <c r="D220" s="96"/>
      <c r="E220" s="26"/>
      <c r="F220" s="26"/>
      <c r="G220" s="26"/>
      <c r="H220" s="106">
        <f t="shared" si="1"/>
        <v>0</v>
      </c>
    </row>
    <row r="221" spans="4:8" x14ac:dyDescent="0.3">
      <c r="D221" s="96"/>
      <c r="E221" s="26"/>
      <c r="F221" s="26"/>
      <c r="G221" s="26"/>
      <c r="H221" s="106">
        <f t="shared" si="1"/>
        <v>0</v>
      </c>
    </row>
    <row r="222" spans="4:8" x14ac:dyDescent="0.3">
      <c r="D222" s="96"/>
      <c r="E222" s="26"/>
      <c r="F222" s="26"/>
      <c r="G222" s="26"/>
      <c r="H222" s="106">
        <f t="shared" si="1"/>
        <v>0</v>
      </c>
    </row>
    <row r="223" spans="4:8" x14ac:dyDescent="0.3">
      <c r="D223" s="96"/>
      <c r="E223" s="26"/>
      <c r="F223" s="26"/>
      <c r="G223" s="26"/>
      <c r="H223" s="106">
        <f t="shared" si="1"/>
        <v>0</v>
      </c>
    </row>
    <row r="224" spans="4:8" x14ac:dyDescent="0.3">
      <c r="D224" s="96"/>
      <c r="E224" s="26"/>
      <c r="F224" s="26"/>
      <c r="G224" s="26"/>
      <c r="H224" s="106">
        <f t="shared" si="1"/>
        <v>0</v>
      </c>
    </row>
    <row r="225" spans="4:8" x14ac:dyDescent="0.3">
      <c r="D225" s="96"/>
      <c r="E225" s="26"/>
      <c r="F225" s="26"/>
      <c r="G225" s="26"/>
      <c r="H225" s="106">
        <f t="shared" si="1"/>
        <v>0</v>
      </c>
    </row>
    <row r="226" spans="4:8" x14ac:dyDescent="0.3">
      <c r="D226" s="96"/>
      <c r="E226" s="26"/>
      <c r="F226" s="26"/>
      <c r="G226" s="26"/>
      <c r="H226" s="106">
        <f t="shared" si="1"/>
        <v>0</v>
      </c>
    </row>
    <row r="227" spans="4:8" x14ac:dyDescent="0.3">
      <c r="D227" s="96"/>
      <c r="E227" s="26"/>
      <c r="F227" s="26"/>
      <c r="G227" s="26"/>
      <c r="H227" s="106">
        <f t="shared" si="1"/>
        <v>0</v>
      </c>
    </row>
    <row r="228" spans="4:8" x14ac:dyDescent="0.3">
      <c r="D228" s="96"/>
      <c r="E228" s="26"/>
      <c r="F228" s="26"/>
      <c r="G228" s="26"/>
      <c r="H228" s="106">
        <f t="shared" si="1"/>
        <v>0</v>
      </c>
    </row>
    <row r="229" spans="4:8" x14ac:dyDescent="0.3">
      <c r="D229" s="96"/>
      <c r="E229" s="26"/>
      <c r="F229" s="26"/>
      <c r="G229" s="26"/>
      <c r="H229" s="106">
        <f t="shared" si="1"/>
        <v>0</v>
      </c>
    </row>
    <row r="230" spans="4:8" x14ac:dyDescent="0.3">
      <c r="D230" s="96"/>
      <c r="E230" s="26"/>
      <c r="F230" s="26"/>
      <c r="G230" s="26"/>
      <c r="H230" s="106">
        <f t="shared" si="1"/>
        <v>0</v>
      </c>
    </row>
    <row r="231" spans="4:8" x14ac:dyDescent="0.3">
      <c r="D231" s="96"/>
      <c r="E231" s="26"/>
      <c r="F231" s="26"/>
      <c r="G231" s="26"/>
      <c r="H231" s="106">
        <f t="shared" si="1"/>
        <v>0</v>
      </c>
    </row>
    <row r="232" spans="4:8" x14ac:dyDescent="0.3">
      <c r="D232" s="96"/>
      <c r="E232" s="26"/>
      <c r="F232" s="26"/>
      <c r="G232" s="26"/>
      <c r="H232" s="106">
        <f t="shared" si="1"/>
        <v>0</v>
      </c>
    </row>
    <row r="233" spans="4:8" x14ac:dyDescent="0.3">
      <c r="D233" s="96"/>
      <c r="E233" s="26"/>
      <c r="F233" s="26"/>
      <c r="G233" s="26"/>
      <c r="H233" s="106">
        <f t="shared" si="1"/>
        <v>0</v>
      </c>
    </row>
    <row r="234" spans="4:8" x14ac:dyDescent="0.3">
      <c r="D234" s="96"/>
      <c r="E234" s="26"/>
      <c r="F234" s="26"/>
      <c r="G234" s="26"/>
      <c r="H234" s="106">
        <f t="shared" si="1"/>
        <v>0</v>
      </c>
    </row>
    <row r="235" spans="4:8" x14ac:dyDescent="0.3">
      <c r="D235" s="96"/>
      <c r="E235" s="26"/>
      <c r="F235" s="26"/>
      <c r="G235" s="26"/>
      <c r="H235" s="106">
        <f t="shared" si="1"/>
        <v>0</v>
      </c>
    </row>
    <row r="236" spans="4:8" x14ac:dyDescent="0.3">
      <c r="D236" s="96"/>
      <c r="E236" s="26"/>
      <c r="F236" s="26"/>
      <c r="G236" s="26"/>
      <c r="H236" s="106">
        <f t="shared" si="1"/>
        <v>0</v>
      </c>
    </row>
    <row r="237" spans="4:8" x14ac:dyDescent="0.3">
      <c r="D237" s="96"/>
      <c r="E237" s="26"/>
      <c r="F237" s="26"/>
      <c r="G237" s="26"/>
      <c r="H237" s="106">
        <f t="shared" si="1"/>
        <v>0</v>
      </c>
    </row>
    <row r="238" spans="4:8" x14ac:dyDescent="0.3">
      <c r="D238" s="96"/>
      <c r="E238" s="26"/>
      <c r="F238" s="26"/>
      <c r="G238" s="26"/>
      <c r="H238" s="106">
        <f t="shared" si="1"/>
        <v>0</v>
      </c>
    </row>
    <row r="239" spans="4:8" x14ac:dyDescent="0.3">
      <c r="D239" s="96"/>
      <c r="E239" s="26"/>
      <c r="F239" s="26"/>
      <c r="G239" s="26"/>
      <c r="H239" s="106">
        <f t="shared" si="1"/>
        <v>0</v>
      </c>
    </row>
    <row r="240" spans="4:8" x14ac:dyDescent="0.3">
      <c r="D240" s="96"/>
      <c r="E240" s="26"/>
      <c r="F240" s="26"/>
      <c r="G240" s="26"/>
      <c r="H240" s="106">
        <f t="shared" si="1"/>
        <v>0</v>
      </c>
    </row>
    <row r="241" spans="4:8" x14ac:dyDescent="0.3">
      <c r="D241" s="96"/>
      <c r="E241" s="26"/>
      <c r="F241" s="26"/>
      <c r="G241" s="26"/>
      <c r="H241" s="106">
        <f t="shared" si="1"/>
        <v>0</v>
      </c>
    </row>
    <row r="242" spans="4:8" x14ac:dyDescent="0.3">
      <c r="D242" s="96"/>
      <c r="E242" s="26"/>
      <c r="F242" s="26"/>
      <c r="G242" s="26"/>
      <c r="H242" s="106">
        <f t="shared" si="1"/>
        <v>0</v>
      </c>
    </row>
    <row r="243" spans="4:8" x14ac:dyDescent="0.3">
      <c r="D243" s="96"/>
      <c r="E243" s="26"/>
      <c r="F243" s="26"/>
      <c r="G243" s="26"/>
      <c r="H243" s="106">
        <f t="shared" si="1"/>
        <v>0</v>
      </c>
    </row>
    <row r="244" spans="4:8" x14ac:dyDescent="0.3">
      <c r="D244" s="96"/>
      <c r="E244" s="26"/>
      <c r="F244" s="26"/>
      <c r="G244" s="26"/>
      <c r="H244" s="106">
        <f t="shared" si="1"/>
        <v>0</v>
      </c>
    </row>
    <row r="245" spans="4:8" x14ac:dyDescent="0.3">
      <c r="D245" s="96"/>
      <c r="E245" s="26"/>
      <c r="F245" s="26"/>
      <c r="G245" s="26"/>
      <c r="H245" s="106">
        <f t="shared" si="1"/>
        <v>0</v>
      </c>
    </row>
    <row r="246" spans="4:8" x14ac:dyDescent="0.3">
      <c r="D246" s="96"/>
      <c r="E246" s="26"/>
      <c r="F246" s="26"/>
      <c r="G246" s="26"/>
      <c r="H246" s="106">
        <f t="shared" si="1"/>
        <v>0</v>
      </c>
    </row>
    <row r="247" spans="4:8" x14ac:dyDescent="0.3">
      <c r="D247" s="96"/>
      <c r="E247" s="26"/>
      <c r="F247" s="26"/>
      <c r="G247" s="26"/>
      <c r="H247" s="106">
        <f t="shared" si="1"/>
        <v>0</v>
      </c>
    </row>
    <row r="248" spans="4:8" x14ac:dyDescent="0.3">
      <c r="D248" s="96"/>
      <c r="E248" s="26"/>
      <c r="F248" s="26"/>
      <c r="G248" s="26"/>
      <c r="H248" s="106">
        <f t="shared" si="1"/>
        <v>0</v>
      </c>
    </row>
    <row r="249" spans="4:8" x14ac:dyDescent="0.3">
      <c r="D249" s="96"/>
      <c r="E249" s="26"/>
      <c r="F249" s="26"/>
      <c r="G249" s="26"/>
      <c r="H249" s="106">
        <f t="shared" si="1"/>
        <v>0</v>
      </c>
    </row>
    <row r="250" spans="4:8" x14ac:dyDescent="0.3">
      <c r="D250" s="96"/>
      <c r="E250" s="26"/>
      <c r="F250" s="26"/>
      <c r="G250" s="26"/>
      <c r="H250" s="106">
        <f t="shared" si="1"/>
        <v>0</v>
      </c>
    </row>
    <row r="251" spans="4:8" x14ac:dyDescent="0.3">
      <c r="D251" s="96"/>
      <c r="E251" s="26"/>
      <c r="F251" s="26"/>
      <c r="G251" s="26"/>
      <c r="H251" s="106">
        <f t="shared" si="1"/>
        <v>0</v>
      </c>
    </row>
    <row r="252" spans="4:8" x14ac:dyDescent="0.3">
      <c r="D252" s="96"/>
      <c r="E252" s="26"/>
      <c r="F252" s="26"/>
      <c r="G252" s="26"/>
      <c r="H252" s="106">
        <f t="shared" si="1"/>
        <v>0</v>
      </c>
    </row>
    <row r="253" spans="4:8" x14ac:dyDescent="0.3">
      <c r="D253" s="96"/>
      <c r="E253" s="26"/>
      <c r="F253" s="26"/>
      <c r="G253" s="26"/>
      <c r="H253" s="106">
        <f t="shared" si="1"/>
        <v>0</v>
      </c>
    </row>
    <row r="254" spans="4:8" x14ac:dyDescent="0.3">
      <c r="D254" s="96"/>
      <c r="E254" s="26"/>
      <c r="F254" s="26"/>
      <c r="G254" s="26"/>
      <c r="H254" s="106">
        <f t="shared" si="1"/>
        <v>0</v>
      </c>
    </row>
    <row r="255" spans="4:8" x14ac:dyDescent="0.3">
      <c r="D255" s="96"/>
      <c r="E255" s="26"/>
      <c r="F255" s="26"/>
      <c r="G255" s="26"/>
      <c r="H255" s="106">
        <f t="shared" si="1"/>
        <v>0</v>
      </c>
    </row>
    <row r="256" spans="4:8" x14ac:dyDescent="0.3">
      <c r="D256" s="96"/>
      <c r="E256" s="26"/>
      <c r="F256" s="26"/>
      <c r="G256" s="26"/>
      <c r="H256" s="106">
        <f t="shared" si="1"/>
        <v>0</v>
      </c>
    </row>
    <row r="257" spans="3:10" x14ac:dyDescent="0.3">
      <c r="D257" s="96"/>
      <c r="E257" s="26"/>
      <c r="F257" s="26"/>
      <c r="G257" s="26"/>
      <c r="H257" s="106">
        <f t="shared" si="1"/>
        <v>0</v>
      </c>
    </row>
    <row r="258" spans="3:10" x14ac:dyDescent="0.3">
      <c r="D258" s="96"/>
      <c r="E258" s="26"/>
      <c r="F258" s="26"/>
      <c r="G258" s="26"/>
      <c r="H258" s="106">
        <f t="shared" si="1"/>
        <v>0</v>
      </c>
    </row>
    <row r="259" spans="3:10" x14ac:dyDescent="0.3">
      <c r="D259" s="96"/>
      <c r="E259" s="26"/>
      <c r="F259" s="26"/>
      <c r="G259" s="26"/>
      <c r="H259" s="106">
        <f t="shared" si="1"/>
        <v>0</v>
      </c>
    </row>
    <row r="260" spans="3:10" x14ac:dyDescent="0.3">
      <c r="D260" s="96"/>
      <c r="E260" s="45"/>
      <c r="F260" s="46"/>
      <c r="G260" s="46"/>
      <c r="H260" s="106">
        <f t="shared" si="1"/>
        <v>0</v>
      </c>
    </row>
    <row r="261" spans="3:10" x14ac:dyDescent="0.3">
      <c r="D261" s="96"/>
      <c r="E261" s="45"/>
      <c r="F261" s="46"/>
      <c r="G261" s="46"/>
      <c r="H261" s="106">
        <f t="shared" si="1"/>
        <v>0</v>
      </c>
    </row>
    <row r="262" spans="3:10" x14ac:dyDescent="0.3">
      <c r="E262" s="45"/>
      <c r="F262" s="46"/>
      <c r="G262" s="46"/>
      <c r="H262" s="106">
        <f t="shared" si="1"/>
        <v>0</v>
      </c>
    </row>
    <row r="263" spans="3:10" x14ac:dyDescent="0.3">
      <c r="E263" s="45"/>
      <c r="F263" s="46"/>
      <c r="G263" s="46"/>
      <c r="H263" s="106">
        <f t="shared" si="1"/>
        <v>0</v>
      </c>
    </row>
    <row r="264" spans="3:10" x14ac:dyDescent="0.3">
      <c r="E264" s="45"/>
      <c r="F264" s="46"/>
      <c r="G264" s="46"/>
      <c r="H264" s="106">
        <f t="shared" si="1"/>
        <v>0</v>
      </c>
    </row>
    <row r="265" spans="3:10" x14ac:dyDescent="0.3">
      <c r="E265" s="45"/>
      <c r="F265" s="46"/>
      <c r="G265" s="46"/>
      <c r="H265" s="106">
        <f t="shared" si="1"/>
        <v>0</v>
      </c>
    </row>
    <row r="266" spans="3:10" x14ac:dyDescent="0.3">
      <c r="E266" s="45"/>
      <c r="F266" s="46"/>
      <c r="G266" s="46"/>
      <c r="H266" s="106">
        <f t="shared" si="1"/>
        <v>0</v>
      </c>
    </row>
    <row r="267" spans="3:10" x14ac:dyDescent="0.3">
      <c r="E267" s="45"/>
      <c r="F267" s="46"/>
      <c r="G267" s="46"/>
      <c r="H267" s="106">
        <f t="shared" si="1"/>
        <v>0</v>
      </c>
    </row>
    <row r="268" spans="3:10" x14ac:dyDescent="0.3">
      <c r="E268" s="45"/>
      <c r="F268" s="46"/>
      <c r="G268" s="46"/>
      <c r="H268" s="106">
        <f t="shared" si="1"/>
        <v>0</v>
      </c>
    </row>
    <row r="269" spans="3:10" x14ac:dyDescent="0.3">
      <c r="E269" s="45"/>
      <c r="F269" s="46"/>
      <c r="G269" s="46"/>
      <c r="H269" s="106">
        <f t="shared" si="1"/>
        <v>0</v>
      </c>
    </row>
    <row r="271" spans="3:10" x14ac:dyDescent="0.3">
      <c r="C271" s="322" t="s">
        <v>132</v>
      </c>
      <c r="D271" s="322"/>
      <c r="E271" s="322"/>
      <c r="F271" s="322"/>
      <c r="G271" s="322"/>
      <c r="H271" s="322"/>
      <c r="I271" s="322"/>
      <c r="J271" s="322"/>
    </row>
    <row r="273" spans="2:9" x14ac:dyDescent="0.3">
      <c r="B273" s="113" t="s">
        <v>123</v>
      </c>
      <c r="C273" s="114">
        <v>10.5</v>
      </c>
      <c r="E273" s="115" t="s">
        <v>127</v>
      </c>
      <c r="F273" s="43" t="s">
        <v>128</v>
      </c>
      <c r="H273" s="116" t="s">
        <v>126</v>
      </c>
      <c r="I273" s="44"/>
    </row>
    <row r="276" spans="2:9" x14ac:dyDescent="0.3">
      <c r="C276" s="323" t="s">
        <v>125</v>
      </c>
      <c r="D276" s="324"/>
      <c r="E276" s="117" t="s">
        <v>121</v>
      </c>
      <c r="F276" s="117" t="s">
        <v>122</v>
      </c>
      <c r="G276" s="117" t="s">
        <v>124</v>
      </c>
    </row>
    <row r="277" spans="2:9" x14ac:dyDescent="0.3">
      <c r="C277" s="314"/>
      <c r="D277" s="315"/>
      <c r="E277" s="118">
        <f>IFERROR(G277*C277,"")</f>
        <v>0</v>
      </c>
      <c r="F277" s="47"/>
      <c r="G277" s="119">
        <f>IFERROR((IF($F$273="VENTES",F277/(C277*$C$273),IF($F$273="RDV",F277/(C277*$I$273*$C$273),0))),"")</f>
        <v>0</v>
      </c>
    </row>
    <row r="278" spans="2:9" x14ac:dyDescent="0.3">
      <c r="C278" s="314"/>
      <c r="D278" s="315"/>
      <c r="E278" s="118">
        <f t="shared" ref="E278:E305" si="2">IFERROR(G278*C278,"")</f>
        <v>0</v>
      </c>
      <c r="F278" s="47"/>
      <c r="G278" s="119">
        <f t="shared" ref="G278:G341" si="3">IFERROR((IF($F$273="VENTES",F278/(C278*$C$273),IF($F$273="RDV",F278/(C278*$I$273*$C$273),0))),"")</f>
        <v>0</v>
      </c>
    </row>
    <row r="279" spans="2:9" x14ac:dyDescent="0.3">
      <c r="C279" s="314"/>
      <c r="D279" s="315"/>
      <c r="E279" s="118">
        <f t="shared" si="2"/>
        <v>0</v>
      </c>
      <c r="F279" s="47"/>
      <c r="G279" s="119">
        <f t="shared" si="3"/>
        <v>0</v>
      </c>
    </row>
    <row r="280" spans="2:9" x14ac:dyDescent="0.3">
      <c r="C280" s="314"/>
      <c r="D280" s="315"/>
      <c r="E280" s="118">
        <f t="shared" si="2"/>
        <v>0</v>
      </c>
      <c r="F280" s="47"/>
      <c r="G280" s="119">
        <f t="shared" si="3"/>
        <v>0</v>
      </c>
    </row>
    <row r="281" spans="2:9" x14ac:dyDescent="0.3">
      <c r="C281" s="314"/>
      <c r="D281" s="315"/>
      <c r="E281" s="118">
        <f t="shared" si="2"/>
        <v>0</v>
      </c>
      <c r="F281" s="47"/>
      <c r="G281" s="119">
        <f t="shared" si="3"/>
        <v>0</v>
      </c>
    </row>
    <row r="282" spans="2:9" x14ac:dyDescent="0.3">
      <c r="C282" s="314"/>
      <c r="D282" s="315"/>
      <c r="E282" s="118">
        <f t="shared" si="2"/>
        <v>0</v>
      </c>
      <c r="F282" s="47"/>
      <c r="G282" s="119">
        <f t="shared" si="3"/>
        <v>0</v>
      </c>
    </row>
    <row r="283" spans="2:9" x14ac:dyDescent="0.3">
      <c r="C283" s="314"/>
      <c r="D283" s="315"/>
      <c r="E283" s="118">
        <f t="shared" si="2"/>
        <v>0</v>
      </c>
      <c r="F283" s="47"/>
      <c r="G283" s="119">
        <f t="shared" si="3"/>
        <v>0</v>
      </c>
    </row>
    <row r="284" spans="2:9" x14ac:dyDescent="0.3">
      <c r="C284" s="314"/>
      <c r="D284" s="315"/>
      <c r="E284" s="118">
        <f t="shared" si="2"/>
        <v>0</v>
      </c>
      <c r="F284" s="47"/>
      <c r="G284" s="119">
        <f t="shared" si="3"/>
        <v>0</v>
      </c>
    </row>
    <row r="285" spans="2:9" x14ac:dyDescent="0.3">
      <c r="C285" s="314"/>
      <c r="D285" s="315"/>
      <c r="E285" s="118">
        <f t="shared" si="2"/>
        <v>0</v>
      </c>
      <c r="F285" s="47"/>
      <c r="G285" s="119">
        <f t="shared" si="3"/>
        <v>0</v>
      </c>
    </row>
    <row r="286" spans="2:9" x14ac:dyDescent="0.3">
      <c r="C286" s="314"/>
      <c r="D286" s="315"/>
      <c r="E286" s="118">
        <f t="shared" si="2"/>
        <v>0</v>
      </c>
      <c r="F286" s="47"/>
      <c r="G286" s="119">
        <f t="shared" si="3"/>
        <v>0</v>
      </c>
    </row>
    <row r="287" spans="2:9" x14ac:dyDescent="0.3">
      <c r="C287" s="314"/>
      <c r="D287" s="315"/>
      <c r="E287" s="118">
        <f t="shared" si="2"/>
        <v>0</v>
      </c>
      <c r="F287" s="47"/>
      <c r="G287" s="119">
        <f t="shared" si="3"/>
        <v>0</v>
      </c>
    </row>
    <row r="288" spans="2:9" x14ac:dyDescent="0.3">
      <c r="C288" s="314"/>
      <c r="D288" s="315"/>
      <c r="E288" s="118">
        <f t="shared" si="2"/>
        <v>0</v>
      </c>
      <c r="F288" s="47"/>
      <c r="G288" s="119">
        <f t="shared" si="3"/>
        <v>0</v>
      </c>
    </row>
    <row r="289" spans="3:7" x14ac:dyDescent="0.3">
      <c r="C289" s="314"/>
      <c r="D289" s="315"/>
      <c r="E289" s="118">
        <f t="shared" si="2"/>
        <v>0</v>
      </c>
      <c r="F289" s="47"/>
      <c r="G289" s="119">
        <f t="shared" si="3"/>
        <v>0</v>
      </c>
    </row>
    <row r="290" spans="3:7" x14ac:dyDescent="0.3">
      <c r="C290" s="314"/>
      <c r="D290" s="315"/>
      <c r="E290" s="118">
        <f t="shared" si="2"/>
        <v>0</v>
      </c>
      <c r="F290" s="47"/>
      <c r="G290" s="119">
        <f t="shared" si="3"/>
        <v>0</v>
      </c>
    </row>
    <row r="291" spans="3:7" x14ac:dyDescent="0.3">
      <c r="C291" s="314"/>
      <c r="D291" s="315"/>
      <c r="E291" s="118">
        <f t="shared" si="2"/>
        <v>0</v>
      </c>
      <c r="F291" s="47"/>
      <c r="G291" s="119">
        <f t="shared" si="3"/>
        <v>0</v>
      </c>
    </row>
    <row r="292" spans="3:7" x14ac:dyDescent="0.3">
      <c r="C292" s="314"/>
      <c r="D292" s="315"/>
      <c r="E292" s="118">
        <f t="shared" si="2"/>
        <v>0</v>
      </c>
      <c r="F292" s="47"/>
      <c r="G292" s="119">
        <f t="shared" si="3"/>
        <v>0</v>
      </c>
    </row>
    <row r="293" spans="3:7" x14ac:dyDescent="0.3">
      <c r="C293" s="314"/>
      <c r="D293" s="315"/>
      <c r="E293" s="118">
        <f t="shared" si="2"/>
        <v>0</v>
      </c>
      <c r="F293" s="47"/>
      <c r="G293" s="119">
        <f t="shared" si="3"/>
        <v>0</v>
      </c>
    </row>
    <row r="294" spans="3:7" x14ac:dyDescent="0.3">
      <c r="C294" s="314"/>
      <c r="D294" s="315"/>
      <c r="E294" s="118">
        <f t="shared" si="2"/>
        <v>0</v>
      </c>
      <c r="F294" s="47"/>
      <c r="G294" s="119">
        <f t="shared" si="3"/>
        <v>0</v>
      </c>
    </row>
    <row r="295" spans="3:7" x14ac:dyDescent="0.3">
      <c r="C295" s="314"/>
      <c r="D295" s="315"/>
      <c r="E295" s="118">
        <f t="shared" si="2"/>
        <v>0</v>
      </c>
      <c r="F295" s="47"/>
      <c r="G295" s="119">
        <f t="shared" si="3"/>
        <v>0</v>
      </c>
    </row>
    <row r="296" spans="3:7" x14ac:dyDescent="0.3">
      <c r="C296" s="314"/>
      <c r="D296" s="315"/>
      <c r="E296" s="118">
        <f t="shared" si="2"/>
        <v>0</v>
      </c>
      <c r="F296" s="47"/>
      <c r="G296" s="119">
        <f t="shared" si="3"/>
        <v>0</v>
      </c>
    </row>
    <row r="297" spans="3:7" x14ac:dyDescent="0.3">
      <c r="C297" s="314"/>
      <c r="D297" s="315"/>
      <c r="E297" s="118">
        <f t="shared" si="2"/>
        <v>0</v>
      </c>
      <c r="F297" s="47"/>
      <c r="G297" s="119">
        <f t="shared" si="3"/>
        <v>0</v>
      </c>
    </row>
    <row r="298" spans="3:7" x14ac:dyDescent="0.3">
      <c r="C298" s="314"/>
      <c r="D298" s="315"/>
      <c r="E298" s="118">
        <f t="shared" si="2"/>
        <v>0</v>
      </c>
      <c r="F298" s="47"/>
      <c r="G298" s="119">
        <f t="shared" si="3"/>
        <v>0</v>
      </c>
    </row>
    <row r="299" spans="3:7" x14ac:dyDescent="0.3">
      <c r="C299" s="314"/>
      <c r="D299" s="315"/>
      <c r="E299" s="118">
        <f t="shared" si="2"/>
        <v>0</v>
      </c>
      <c r="F299" s="47"/>
      <c r="G299" s="119">
        <f t="shared" si="3"/>
        <v>0</v>
      </c>
    </row>
    <row r="300" spans="3:7" x14ac:dyDescent="0.3">
      <c r="C300" s="314"/>
      <c r="D300" s="315"/>
      <c r="E300" s="118">
        <f t="shared" si="2"/>
        <v>0</v>
      </c>
      <c r="F300" s="47"/>
      <c r="G300" s="119">
        <f t="shared" si="3"/>
        <v>0</v>
      </c>
    </row>
    <row r="301" spans="3:7" x14ac:dyDescent="0.3">
      <c r="C301" s="314"/>
      <c r="D301" s="315"/>
      <c r="E301" s="118">
        <f t="shared" si="2"/>
        <v>0</v>
      </c>
      <c r="F301" s="47"/>
      <c r="G301" s="119">
        <f t="shared" si="3"/>
        <v>0</v>
      </c>
    </row>
    <row r="302" spans="3:7" x14ac:dyDescent="0.3">
      <c r="C302" s="314"/>
      <c r="D302" s="315"/>
      <c r="E302" s="118">
        <f t="shared" si="2"/>
        <v>0</v>
      </c>
      <c r="F302" s="47"/>
      <c r="G302" s="119">
        <f t="shared" si="3"/>
        <v>0</v>
      </c>
    </row>
    <row r="303" spans="3:7" x14ac:dyDescent="0.3">
      <c r="C303" s="314"/>
      <c r="D303" s="315"/>
      <c r="E303" s="118">
        <f t="shared" si="2"/>
        <v>0</v>
      </c>
      <c r="F303" s="47"/>
      <c r="G303" s="119">
        <f t="shared" si="3"/>
        <v>0</v>
      </c>
    </row>
    <row r="304" spans="3:7" x14ac:dyDescent="0.3">
      <c r="C304" s="314"/>
      <c r="D304" s="315"/>
      <c r="E304" s="118">
        <f t="shared" si="2"/>
        <v>0</v>
      </c>
      <c r="F304" s="47"/>
      <c r="G304" s="119">
        <f t="shared" si="3"/>
        <v>0</v>
      </c>
    </row>
    <row r="305" spans="3:7" x14ac:dyDescent="0.3">
      <c r="C305" s="314"/>
      <c r="D305" s="315"/>
      <c r="E305" s="118">
        <f t="shared" si="2"/>
        <v>0</v>
      </c>
      <c r="F305" s="47"/>
      <c r="G305" s="119">
        <f t="shared" si="3"/>
        <v>0</v>
      </c>
    </row>
    <row r="306" spans="3:7" x14ac:dyDescent="0.3">
      <c r="C306" s="314"/>
      <c r="D306" s="315"/>
      <c r="E306" s="112"/>
      <c r="F306" s="47"/>
      <c r="G306" s="119">
        <f t="shared" si="3"/>
        <v>0</v>
      </c>
    </row>
    <row r="307" spans="3:7" x14ac:dyDescent="0.3">
      <c r="C307" s="314"/>
      <c r="D307" s="315"/>
      <c r="E307" s="112"/>
      <c r="F307" s="47"/>
      <c r="G307" s="119">
        <f t="shared" si="3"/>
        <v>0</v>
      </c>
    </row>
    <row r="308" spans="3:7" x14ac:dyDescent="0.3">
      <c r="C308" s="314"/>
      <c r="D308" s="315"/>
      <c r="E308" s="112"/>
      <c r="F308" s="47"/>
      <c r="G308" s="119">
        <f t="shared" si="3"/>
        <v>0</v>
      </c>
    </row>
    <row r="309" spans="3:7" x14ac:dyDescent="0.3">
      <c r="C309" s="314"/>
      <c r="D309" s="315"/>
      <c r="E309" s="112"/>
      <c r="F309" s="47"/>
      <c r="G309" s="119">
        <f t="shared" si="3"/>
        <v>0</v>
      </c>
    </row>
    <row r="310" spans="3:7" x14ac:dyDescent="0.3">
      <c r="C310" s="314"/>
      <c r="D310" s="315"/>
      <c r="E310" s="112"/>
      <c r="F310" s="47"/>
      <c r="G310" s="119">
        <f t="shared" si="3"/>
        <v>0</v>
      </c>
    </row>
    <row r="311" spans="3:7" x14ac:dyDescent="0.3">
      <c r="C311" s="314"/>
      <c r="D311" s="315"/>
      <c r="E311" s="112"/>
      <c r="F311" s="47"/>
      <c r="G311" s="119">
        <f t="shared" si="3"/>
        <v>0</v>
      </c>
    </row>
    <row r="312" spans="3:7" x14ac:dyDescent="0.3">
      <c r="C312" s="314"/>
      <c r="D312" s="315"/>
      <c r="E312" s="112"/>
      <c r="F312" s="47"/>
      <c r="G312" s="119">
        <f t="shared" si="3"/>
        <v>0</v>
      </c>
    </row>
    <row r="313" spans="3:7" x14ac:dyDescent="0.3">
      <c r="C313" s="314"/>
      <c r="D313" s="315"/>
      <c r="E313" s="112"/>
      <c r="F313" s="47"/>
      <c r="G313" s="119">
        <f t="shared" si="3"/>
        <v>0</v>
      </c>
    </row>
    <row r="314" spans="3:7" x14ac:dyDescent="0.3">
      <c r="C314" s="314"/>
      <c r="D314" s="315"/>
      <c r="E314" s="112"/>
      <c r="F314" s="47"/>
      <c r="G314" s="119">
        <f t="shared" si="3"/>
        <v>0</v>
      </c>
    </row>
    <row r="315" spans="3:7" x14ac:dyDescent="0.3">
      <c r="C315" s="314"/>
      <c r="D315" s="315"/>
      <c r="E315" s="112"/>
      <c r="F315" s="47"/>
      <c r="G315" s="119">
        <f t="shared" si="3"/>
        <v>0</v>
      </c>
    </row>
    <row r="316" spans="3:7" x14ac:dyDescent="0.3">
      <c r="C316" s="314"/>
      <c r="D316" s="315"/>
      <c r="E316" s="112"/>
      <c r="F316" s="47"/>
      <c r="G316" s="119">
        <f t="shared" si="3"/>
        <v>0</v>
      </c>
    </row>
    <row r="317" spans="3:7" x14ac:dyDescent="0.3">
      <c r="C317" s="314"/>
      <c r="D317" s="315"/>
      <c r="E317" s="112"/>
      <c r="F317" s="47"/>
      <c r="G317" s="119">
        <f t="shared" si="3"/>
        <v>0</v>
      </c>
    </row>
    <row r="318" spans="3:7" x14ac:dyDescent="0.3">
      <c r="C318" s="314"/>
      <c r="D318" s="315"/>
      <c r="E318" s="112"/>
      <c r="F318" s="47"/>
      <c r="G318" s="119">
        <f t="shared" si="3"/>
        <v>0</v>
      </c>
    </row>
    <row r="319" spans="3:7" x14ac:dyDescent="0.3">
      <c r="C319" s="314"/>
      <c r="D319" s="315"/>
      <c r="E319" s="112"/>
      <c r="F319" s="47"/>
      <c r="G319" s="119">
        <f t="shared" si="3"/>
        <v>0</v>
      </c>
    </row>
    <row r="320" spans="3:7" x14ac:dyDescent="0.3">
      <c r="C320" s="314"/>
      <c r="D320" s="315"/>
      <c r="E320" s="112"/>
      <c r="F320" s="47"/>
      <c r="G320" s="119">
        <f t="shared" si="3"/>
        <v>0</v>
      </c>
    </row>
    <row r="321" spans="3:7" x14ac:dyDescent="0.3">
      <c r="C321" s="314"/>
      <c r="D321" s="315"/>
      <c r="E321" s="112"/>
      <c r="F321" s="47"/>
      <c r="G321" s="119">
        <f t="shared" si="3"/>
        <v>0</v>
      </c>
    </row>
    <row r="322" spans="3:7" x14ac:dyDescent="0.3">
      <c r="C322" s="314"/>
      <c r="D322" s="315"/>
      <c r="E322" s="112"/>
      <c r="F322" s="47"/>
      <c r="G322" s="119">
        <f t="shared" si="3"/>
        <v>0</v>
      </c>
    </row>
    <row r="323" spans="3:7" x14ac:dyDescent="0.3">
      <c r="C323" s="314"/>
      <c r="D323" s="315"/>
      <c r="E323" s="112"/>
      <c r="F323" s="47"/>
      <c r="G323" s="119">
        <f t="shared" si="3"/>
        <v>0</v>
      </c>
    </row>
    <row r="324" spans="3:7" x14ac:dyDescent="0.3">
      <c r="C324" s="314"/>
      <c r="D324" s="315"/>
      <c r="E324" s="112"/>
      <c r="F324" s="47"/>
      <c r="G324" s="119">
        <f t="shared" si="3"/>
        <v>0</v>
      </c>
    </row>
    <row r="325" spans="3:7" x14ac:dyDescent="0.3">
      <c r="C325" s="314"/>
      <c r="D325" s="315"/>
      <c r="E325" s="112"/>
      <c r="F325" s="47"/>
      <c r="G325" s="119">
        <f t="shared" si="3"/>
        <v>0</v>
      </c>
    </row>
    <row r="326" spans="3:7" x14ac:dyDescent="0.3">
      <c r="C326" s="314"/>
      <c r="D326" s="315"/>
      <c r="E326" s="112"/>
      <c r="F326" s="47"/>
      <c r="G326" s="119">
        <f t="shared" si="3"/>
        <v>0</v>
      </c>
    </row>
    <row r="327" spans="3:7" x14ac:dyDescent="0.3">
      <c r="C327" s="314"/>
      <c r="D327" s="315"/>
      <c r="E327" s="112"/>
      <c r="F327" s="47"/>
      <c r="G327" s="119">
        <f t="shared" si="3"/>
        <v>0</v>
      </c>
    </row>
    <row r="328" spans="3:7" x14ac:dyDescent="0.3">
      <c r="C328" s="314"/>
      <c r="D328" s="315"/>
      <c r="E328" s="112"/>
      <c r="F328" s="47"/>
      <c r="G328" s="119">
        <f t="shared" si="3"/>
        <v>0</v>
      </c>
    </row>
    <row r="329" spans="3:7" x14ac:dyDescent="0.3">
      <c r="C329" s="314"/>
      <c r="D329" s="315"/>
      <c r="E329" s="112"/>
      <c r="F329" s="47"/>
      <c r="G329" s="119">
        <f t="shared" si="3"/>
        <v>0</v>
      </c>
    </row>
    <row r="330" spans="3:7" x14ac:dyDescent="0.3">
      <c r="C330" s="314"/>
      <c r="D330" s="315"/>
      <c r="E330" s="112"/>
      <c r="F330" s="47"/>
      <c r="G330" s="119">
        <f t="shared" si="3"/>
        <v>0</v>
      </c>
    </row>
    <row r="331" spans="3:7" x14ac:dyDescent="0.3">
      <c r="C331" s="314"/>
      <c r="D331" s="315"/>
      <c r="E331" s="112"/>
      <c r="F331" s="47"/>
      <c r="G331" s="119">
        <f t="shared" si="3"/>
        <v>0</v>
      </c>
    </row>
    <row r="332" spans="3:7" x14ac:dyDescent="0.3">
      <c r="C332" s="314"/>
      <c r="D332" s="315"/>
      <c r="E332" s="112"/>
      <c r="F332" s="47"/>
      <c r="G332" s="119">
        <f t="shared" si="3"/>
        <v>0</v>
      </c>
    </row>
    <row r="333" spans="3:7" x14ac:dyDescent="0.3">
      <c r="C333" s="314"/>
      <c r="D333" s="315"/>
      <c r="E333" s="112"/>
      <c r="F333" s="47"/>
      <c r="G333" s="119">
        <f t="shared" si="3"/>
        <v>0</v>
      </c>
    </row>
    <row r="334" spans="3:7" x14ac:dyDescent="0.3">
      <c r="C334" s="314"/>
      <c r="D334" s="315"/>
      <c r="E334" s="112"/>
      <c r="F334" s="47"/>
      <c r="G334" s="119">
        <f t="shared" si="3"/>
        <v>0</v>
      </c>
    </row>
    <row r="335" spans="3:7" x14ac:dyDescent="0.3">
      <c r="C335" s="314"/>
      <c r="D335" s="315"/>
      <c r="E335" s="112"/>
      <c r="F335" s="47"/>
      <c r="G335" s="119">
        <f t="shared" si="3"/>
        <v>0</v>
      </c>
    </row>
    <row r="336" spans="3:7" x14ac:dyDescent="0.3">
      <c r="C336" s="314"/>
      <c r="D336" s="315"/>
      <c r="E336" s="112"/>
      <c r="F336" s="47"/>
      <c r="G336" s="119">
        <f t="shared" si="3"/>
        <v>0</v>
      </c>
    </row>
    <row r="337" spans="3:7" x14ac:dyDescent="0.3">
      <c r="C337" s="314"/>
      <c r="D337" s="315"/>
      <c r="E337" s="112"/>
      <c r="F337" s="47"/>
      <c r="G337" s="119">
        <f t="shared" si="3"/>
        <v>0</v>
      </c>
    </row>
    <row r="338" spans="3:7" x14ac:dyDescent="0.3">
      <c r="C338" s="314"/>
      <c r="D338" s="315"/>
      <c r="E338" s="112"/>
      <c r="F338" s="47"/>
      <c r="G338" s="119">
        <f t="shared" si="3"/>
        <v>0</v>
      </c>
    </row>
    <row r="339" spans="3:7" x14ac:dyDescent="0.3">
      <c r="C339" s="314"/>
      <c r="D339" s="315"/>
      <c r="E339" s="112"/>
      <c r="F339" s="47"/>
      <c r="G339" s="119">
        <f t="shared" si="3"/>
        <v>0</v>
      </c>
    </row>
    <row r="340" spans="3:7" x14ac:dyDescent="0.3">
      <c r="C340" s="314"/>
      <c r="D340" s="315"/>
      <c r="E340" s="112"/>
      <c r="F340" s="47"/>
      <c r="G340" s="119">
        <f t="shared" si="3"/>
        <v>0</v>
      </c>
    </row>
    <row r="341" spans="3:7" x14ac:dyDescent="0.3">
      <c r="C341" s="314"/>
      <c r="D341" s="315"/>
      <c r="E341" s="112"/>
      <c r="F341" s="47"/>
      <c r="G341" s="119">
        <f t="shared" si="3"/>
        <v>0</v>
      </c>
    </row>
  </sheetData>
  <sheetProtection formatCells="0" formatColumns="0" formatRows="0" autoFilter="0" pivotTables="0"/>
  <mergeCells count="370"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271:J271"/>
    <mergeCell ref="C276:D276"/>
    <mergeCell ref="C277:D277"/>
    <mergeCell ref="C278:D278"/>
    <mergeCell ref="C279:D279"/>
    <mergeCell ref="I202:J202"/>
    <mergeCell ref="I203:J203"/>
    <mergeCell ref="D195:E195"/>
    <mergeCell ref="D196:E196"/>
    <mergeCell ref="D197:E197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40:D340"/>
    <mergeCell ref="C341:D341"/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</mergeCells>
  <conditionalFormatting sqref="C1 C2:D2">
    <cfRule type="containsBlanks" dxfId="20" priority="26" stopIfTrue="1">
      <formula>LEN(TRIM(C1))=0</formula>
    </cfRule>
  </conditionalFormatting>
  <conditionalFormatting sqref="A73:A137 B74:E74 K73:XFD137 G75:I75 G73:J74 F73:F137 B73 A342:XFD1048576 H276:XFD276 C277 A276:B341 E277:XFD341 A204:XFD204 A270:XFD275 H206:XFD206 I205:XFD205 A205:C261 E260:G261 A262:G269 I207:XFD269 G132:J137 G129:I131 B75:D137 G76:J128 A19:XFD72 A16:D18 K16:XFD18 A12:XFD15 K9:XFD11 A1:XFD3 A5:XFD8 A4:D4 K4:XFD4 A9:D11">
    <cfRule type="containsBlanks" dxfId="19" priority="27">
      <formula>LEN(TRIM(A1))=0</formula>
    </cfRule>
  </conditionalFormatting>
  <conditionalFormatting sqref="B1:B2">
    <cfRule type="containsText" dxfId="18" priority="24" operator="containsText" text="EG">
      <formula>NOT(ISERROR(SEARCH("EG",B1)))</formula>
    </cfRule>
  </conditionalFormatting>
  <conditionalFormatting sqref="A64:B65 E64:H64 K63:XFD69 E65 G65:G69">
    <cfRule type="containsBlanks" dxfId="17" priority="23">
      <formula>LEN(TRIM(A63))=0</formula>
    </cfRule>
  </conditionalFormatting>
  <conditionalFormatting sqref="D76:D137">
    <cfRule type="containsBlanks" dxfId="16" priority="22">
      <formula>LEN(TRIM(D76))=0</formula>
    </cfRule>
  </conditionalFormatting>
  <conditionalFormatting sqref="D142:D203">
    <cfRule type="containsBlanks" dxfId="15" priority="18">
      <formula>LEN(TRIM(D142))=0</formula>
    </cfRule>
  </conditionalFormatting>
  <conditionalFormatting sqref="I76:I137">
    <cfRule type="containsBlanks" dxfId="14" priority="20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3" priority="19">
      <formula>LEN(TRIM(A138))=0</formula>
    </cfRule>
  </conditionalFormatting>
  <conditionalFormatting sqref="I142:I203">
    <cfRule type="containsBlanks" dxfId="12" priority="17">
      <formula>LEN(TRIM(I142))=0</formula>
    </cfRule>
  </conditionalFormatting>
  <conditionalFormatting sqref="E276:G276">
    <cfRule type="containsBlanks" dxfId="11" priority="14">
      <formula>LEN(TRIM(E276))=0</formula>
    </cfRule>
  </conditionalFormatting>
  <conditionalFormatting sqref="C276">
    <cfRule type="containsBlanks" dxfId="10" priority="15">
      <formula>LEN(TRIM(C276))=0</formula>
    </cfRule>
  </conditionalFormatting>
  <conditionalFormatting sqref="C278:C341">
    <cfRule type="containsBlanks" dxfId="9" priority="13">
      <formula>LEN(TRIM(C278))=0</formula>
    </cfRule>
  </conditionalFormatting>
  <conditionalFormatting sqref="F208:F259">
    <cfRule type="containsBlanks" dxfId="8" priority="11">
      <formula>LEN(TRIM(F208))=0</formula>
    </cfRule>
  </conditionalFormatting>
  <conditionalFormatting sqref="E207:F207 D206:G206 E208:G259 D205 D207:D261">
    <cfRule type="containsBlanks" dxfId="7" priority="12">
      <formula>LEN(TRIM(D205))=0</formula>
    </cfRule>
  </conditionalFormatting>
  <conditionalFormatting sqref="H208">
    <cfRule type="containsBlanks" dxfId="6" priority="9">
      <formula>LEN(TRIM(H208))=0</formula>
    </cfRule>
  </conditionalFormatting>
  <conditionalFormatting sqref="H209:H269">
    <cfRule type="containsBlanks" dxfId="5" priority="8">
      <formula>LEN(TRIM(H209))=0</formula>
    </cfRule>
  </conditionalFormatting>
  <conditionalFormatting sqref="C273 F273 I273">
    <cfRule type="containsBlanks" dxfId="4" priority="7">
      <formula>LEN(TRIM(C273))=0</formula>
    </cfRule>
  </conditionalFormatting>
  <conditionalFormatting sqref="F273">
    <cfRule type="containsText" dxfId="3" priority="6" operator="containsText" text="A RENSEIGNER">
      <formula>NOT(ISERROR(SEARCH("A RENSEIGNER",F273)))</formula>
    </cfRule>
  </conditionalFormatting>
  <conditionalFormatting sqref="E4:J4">
    <cfRule type="containsBlanks" dxfId="2" priority="3">
      <formula>LEN(TRIM(E4))=0</formula>
    </cfRule>
  </conditionalFormatting>
  <conditionalFormatting sqref="E9:J11">
    <cfRule type="containsBlanks" dxfId="1" priority="2">
      <formula>LEN(TRIM(E9))=0</formula>
    </cfRule>
  </conditionalFormatting>
  <conditionalFormatting sqref="E16:J18">
    <cfRule type="containsBlanks" dxfId="0" priority="1">
      <formula>LEN(TRIM(E16))=0</formula>
    </cfRule>
  </conditionalFormatting>
  <dataValidations disablePrompts="1"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D37:D39 D16:D18 D23:D25 D30:D32 D9:D11">
      <formula1>"960,1200,1440"</formula1>
    </dataValidation>
    <dataValidation type="list" allowBlank="1" showInputMessage="1" showErrorMessage="1" sqref="F273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2026-04-24T16:43:36Z</dcterms:modified>
</cp:coreProperties>
</file>